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drawings/drawing6.xml" ContentType="application/vnd.openxmlformats-officedocument.drawing+xml"/>
  <Override PartName="/xl/comments6.xml" ContentType="application/vnd.openxmlformats-officedocument.spreadsheetml.comments+xml"/>
  <Override PartName="/xl/drawings/drawing7.xml" ContentType="application/vnd.openxmlformats-officedocument.drawing+xml"/>
  <Override PartName="/xl/comments7.xml" ContentType="application/vnd.openxmlformats-officedocument.spreadsheetml.comments+xml"/>
  <Override PartName="/xl/drawings/drawing8.xml" ContentType="application/vnd.openxmlformats-officedocument.drawing+xml"/>
  <Override PartName="/xl/comments8.xml" ContentType="application/vnd.openxmlformats-officedocument.spreadsheetml.comments+xml"/>
  <Override PartName="/xl/drawings/drawing9.xml" ContentType="application/vnd.openxmlformats-officedocument.drawing+xml"/>
  <Override PartName="/xl/comments9.xml" ContentType="application/vnd.openxmlformats-officedocument.spreadsheetml.comments+xml"/>
  <Override PartName="/xl/drawings/drawing10.xml" ContentType="application/vnd.openxmlformats-officedocument.drawing+xml"/>
  <Override PartName="/xl/comments10.xml" ContentType="application/vnd.openxmlformats-officedocument.spreadsheetml.comments+xml"/>
  <Override PartName="/xl/drawings/drawing11.xml" ContentType="application/vnd.openxmlformats-officedocument.drawing+xml"/>
  <Override PartName="/xl/comments11.xml" ContentType="application/vnd.openxmlformats-officedocument.spreadsheetml.comments+xml"/>
  <Override PartName="/xl/drawings/drawing12.xml" ContentType="application/vnd.openxmlformats-officedocument.drawing+xml"/>
  <Override PartName="/xl/comments12.xml" ContentType="application/vnd.openxmlformats-officedocument.spreadsheetml.comments+xml"/>
  <Override PartName="/xl/drawings/drawing13.xml" ContentType="application/vnd.openxmlformats-officedocument.drawing+xml"/>
  <Override PartName="/xl/comments13.xml" ContentType="application/vnd.openxmlformats-officedocument.spreadsheetml.comments+xml"/>
  <Override PartName="/xl/drawings/drawing14.xml" ContentType="application/vnd.openxmlformats-officedocument.drawing+xml"/>
  <Override PartName="/xl/comments14.xml" ContentType="application/vnd.openxmlformats-officedocument.spreadsheetml.comments+xml"/>
  <Override PartName="/xl/comments15.xml" ContentType="application/vnd.openxmlformats-officedocument.spreadsheetml.comments+xml"/>
  <Override PartName="/xl/drawings/drawing15.xml" ContentType="application/vnd.openxmlformats-officedocument.drawing+xml"/>
  <Override PartName="/xl/comments16.xml" ContentType="application/vnd.openxmlformats-officedocument.spreadsheetml.comments+xml"/>
  <Override PartName="/xl/drawings/drawing16.xml" ContentType="application/vnd.openxmlformats-officedocument.drawing+xml"/>
  <Override PartName="/xl/comments17.xml" ContentType="application/vnd.openxmlformats-officedocument.spreadsheetml.comments+xml"/>
  <Override PartName="/xl/drawings/drawing17.xml" ContentType="application/vnd.openxmlformats-officedocument.drawing+xml"/>
  <Override PartName="/xl/comments18.xml" ContentType="application/vnd.openxmlformats-officedocument.spreadsheetml.comments+xml"/>
  <Override PartName="/xl/drawings/drawing18.xml" ContentType="application/vnd.openxmlformats-officedocument.drawing+xml"/>
  <Override PartName="/xl/comments19.xml" ContentType="application/vnd.openxmlformats-officedocument.spreadsheetml.comments+xml"/>
  <Override PartName="/xl/drawings/drawing19.xml" ContentType="application/vnd.openxmlformats-officedocument.drawing+xml"/>
  <Override PartName="/xl/comments20.xml" ContentType="application/vnd.openxmlformats-officedocument.spreadsheetml.comments+xml"/>
  <Override PartName="/xl/drawings/drawing20.xml" ContentType="application/vnd.openxmlformats-officedocument.drawing+xml"/>
  <Override PartName="/xl/comments21.xml" ContentType="application/vnd.openxmlformats-officedocument.spreadsheetml.comments+xml"/>
  <Override PartName="/xl/drawings/drawing21.xml" ContentType="application/vnd.openxmlformats-officedocument.drawing+xml"/>
  <Override PartName="/xl/comments22.xml" ContentType="application/vnd.openxmlformats-officedocument.spreadsheetml.comments+xml"/>
  <Override PartName="/xl/drawings/drawing22.xml" ContentType="application/vnd.openxmlformats-officedocument.drawing+xml"/>
  <Override PartName="/xl/comments23.xml" ContentType="application/vnd.openxmlformats-officedocument.spreadsheetml.comments+xml"/>
  <Override PartName="/xl/drawings/drawing23.xml" ContentType="application/vnd.openxmlformats-officedocument.drawing+xml"/>
  <Override PartName="/xl/comments24.xml" ContentType="application/vnd.openxmlformats-officedocument.spreadsheetml.comments+xml"/>
  <Override PartName="/xl/drawings/drawing24.xml" ContentType="application/vnd.openxmlformats-officedocument.drawing+xml"/>
  <Override PartName="/xl/comments25.xml" ContentType="application/vnd.openxmlformats-officedocument.spreadsheetml.comments+xml"/>
  <Override PartName="/xl/drawings/drawing25.xml" ContentType="application/vnd.openxmlformats-officedocument.drawing+xml"/>
  <Override PartName="/xl/comments26.xml" ContentType="application/vnd.openxmlformats-officedocument.spreadsheetml.comments+xml"/>
  <Override PartName="/xl/drawings/drawing26.xml" ContentType="application/vnd.openxmlformats-officedocument.drawing+xml"/>
  <Override PartName="/xl/comments27.xml" ContentType="application/vnd.openxmlformats-officedocument.spreadsheetml.comments+xml"/>
  <Override PartName="/xl/drawings/drawing27.xml" ContentType="application/vnd.openxmlformats-officedocument.drawing+xml"/>
  <Override PartName="/xl/comments28.xml" ContentType="application/vnd.openxmlformats-officedocument.spreadsheetml.comments+xml"/>
  <Override PartName="/xl/drawings/drawing28.xml" ContentType="application/vnd.openxmlformats-officedocument.drawing+xml"/>
  <Override PartName="/xl/comments29.xml" ContentType="application/vnd.openxmlformats-officedocument.spreadsheetml.comments+xml"/>
  <Override PartName="/xl/drawings/drawing29.xml" ContentType="application/vnd.openxmlformats-officedocument.drawing+xml"/>
  <Override PartName="/xl/comments30.xml" ContentType="application/vnd.openxmlformats-officedocument.spreadsheetml.comments+xml"/>
  <Override PartName="/xl/drawings/drawing30.xml" ContentType="application/vnd.openxmlformats-officedocument.drawing+xml"/>
  <Override PartName="/xl/comments31.xml" ContentType="application/vnd.openxmlformats-officedocument.spreadsheetml.comments+xml"/>
  <Override PartName="/xl/drawings/drawing31.xml" ContentType="application/vnd.openxmlformats-officedocument.drawing+xml"/>
  <Override PartName="/xl/comments32.xml" ContentType="application/vnd.openxmlformats-officedocument.spreadsheetml.comments+xml"/>
  <Override PartName="/xl/drawings/drawing32.xml" ContentType="application/vnd.openxmlformats-officedocument.drawing+xml"/>
  <Override PartName="/xl/comments33.xml" ContentType="application/vnd.openxmlformats-officedocument.spreadsheetml.comments+xml"/>
  <Override PartName="/xl/drawings/drawing33.xml" ContentType="application/vnd.openxmlformats-officedocument.drawing+xml"/>
  <Override PartName="/xl/comments34.xml" ContentType="application/vnd.openxmlformats-officedocument.spreadsheetml.comments+xml"/>
  <Override PartName="/xl/drawings/drawing34.xml" ContentType="application/vnd.openxmlformats-officedocument.drawing+xml"/>
  <Override PartName="/xl/comments35.xml" ContentType="application/vnd.openxmlformats-officedocument.spreadsheetml.comments+xml"/>
  <Override PartName="/xl/drawings/drawing35.xml" ContentType="application/vnd.openxmlformats-officedocument.drawing+xml"/>
  <Override PartName="/xl/comments36.xml" ContentType="application/vnd.openxmlformats-officedocument.spreadsheetml.comments+xml"/>
  <Override PartName="/xl/drawings/drawing36.xml" ContentType="application/vnd.openxmlformats-officedocument.drawing+xml"/>
  <Override PartName="/xl/comments37.xml" ContentType="application/vnd.openxmlformats-officedocument.spreadsheetml.comments+xml"/>
  <Override PartName="/xl/drawings/drawing37.xml" ContentType="application/vnd.openxmlformats-officedocument.drawing+xml"/>
  <Override PartName="/xl/comments38.xml" ContentType="application/vnd.openxmlformats-officedocument.spreadsheetml.comments+xml"/>
  <Override PartName="/xl/drawings/drawing38.xml" ContentType="application/vnd.openxmlformats-officedocument.drawing+xml"/>
  <Override PartName="/xl/comments39.xml" ContentType="application/vnd.openxmlformats-officedocument.spreadsheetml.comments+xml"/>
  <Override PartName="/xl/drawings/drawing39.xml" ContentType="application/vnd.openxmlformats-officedocument.drawing+xml"/>
  <Override PartName="/xl/comments40.xml" ContentType="application/vnd.openxmlformats-officedocument.spreadsheetml.comments+xml"/>
  <Override PartName="/xl/drawings/drawing40.xml" ContentType="application/vnd.openxmlformats-officedocument.drawing+xml"/>
  <Override PartName="/xl/comments41.xml" ContentType="application/vnd.openxmlformats-officedocument.spreadsheetml.comments+xml"/>
  <Override PartName="/xl/drawings/drawing41.xml" ContentType="application/vnd.openxmlformats-officedocument.drawing+xml"/>
  <Override PartName="/xl/comments42.xml" ContentType="application/vnd.openxmlformats-officedocument.spreadsheetml.comments+xml"/>
  <Override PartName="/xl/drawings/drawing42.xml" ContentType="application/vnd.openxmlformats-officedocument.drawing+xml"/>
  <Override PartName="/xl/comments43.xml" ContentType="application/vnd.openxmlformats-officedocument.spreadsheetml.comments+xml"/>
  <Override PartName="/xl/drawings/drawing43.xml" ContentType="application/vnd.openxmlformats-officedocument.drawing+xml"/>
  <Override PartName="/xl/comments44.xml" ContentType="application/vnd.openxmlformats-officedocument.spreadsheetml.comments+xml"/>
  <Override PartName="/xl/drawings/drawing44.xml" ContentType="application/vnd.openxmlformats-officedocument.drawing+xml"/>
  <Override PartName="/xl/comments45.xml" ContentType="application/vnd.openxmlformats-officedocument.spreadsheetml.comments+xml"/>
  <Override PartName="/xl/drawings/drawing45.xml" ContentType="application/vnd.openxmlformats-officedocument.drawing+xml"/>
  <Override PartName="/xl/comments46.xml" ContentType="application/vnd.openxmlformats-officedocument.spreadsheetml.comments+xml"/>
  <Override PartName="/xl/drawings/drawing46.xml" ContentType="application/vnd.openxmlformats-officedocument.drawing+xml"/>
  <Override PartName="/xl/comments47.xml" ContentType="application/vnd.openxmlformats-officedocument.spreadsheetml.comments+xml"/>
  <Override PartName="/xl/drawings/drawing47.xml" ContentType="application/vnd.openxmlformats-officedocument.drawing+xml"/>
  <Override PartName="/xl/comments48.xml" ContentType="application/vnd.openxmlformats-officedocument.spreadsheetml.comments+xml"/>
  <Override PartName="/xl/drawings/drawing48.xml" ContentType="application/vnd.openxmlformats-officedocument.drawing+xml"/>
  <Override PartName="/xl/drawings/drawing4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166925"/>
  <mc:AlternateContent xmlns:mc="http://schemas.openxmlformats.org/markup-compatibility/2006">
    <mc:Choice Requires="x15">
      <x15ac:absPath xmlns:x15ac="http://schemas.microsoft.com/office/spreadsheetml/2010/11/ac" url="\\192.168.1.200\共有\製造課\etc\"/>
    </mc:Choice>
  </mc:AlternateContent>
  <xr:revisionPtr revIDLastSave="0" documentId="13_ncr:1_{EEFF2905-536A-47EF-A94D-E5BBDB1CF292}" xr6:coauthVersionLast="47" xr6:coauthVersionMax="47" xr10:uidLastSave="{00000000-0000-0000-0000-000000000000}"/>
  <bookViews>
    <workbookView xWindow="-120" yWindow="-120" windowWidth="24240" windowHeight="13020" xr2:uid="{00000000-000D-0000-FFFF-FFFF00000000}"/>
  </bookViews>
  <sheets>
    <sheet name="原紙" sheetId="56" r:id="rId1"/>
    <sheet name="2026.1.2" sheetId="58" r:id="rId2"/>
    <sheet name="2025.11.12" sheetId="55" r:id="rId3"/>
    <sheet name="2025,9.10" sheetId="53" r:id="rId4"/>
    <sheet name="2025,7.8" sheetId="52" r:id="rId5"/>
    <sheet name="2025,5,6 " sheetId="51" r:id="rId6"/>
    <sheet name="2025,3,4" sheetId="50" r:id="rId7"/>
    <sheet name="2025,1,2" sheetId="48" r:id="rId8"/>
    <sheet name="2024,11,12" sheetId="47" r:id="rId9"/>
    <sheet name="2024,9,10" sheetId="46" r:id="rId10"/>
    <sheet name="2024,7,8" sheetId="45" r:id="rId11"/>
    <sheet name="原紙 (2)" sheetId="60" r:id="rId12"/>
    <sheet name="2024,5,6" sheetId="44" r:id="rId13"/>
    <sheet name="2024,3,4" sheetId="43" r:id="rId14"/>
    <sheet name="2024,1,2" sheetId="42" r:id="rId15"/>
    <sheet name="2023,11,12" sheetId="41" r:id="rId16"/>
    <sheet name="2023,9,10" sheetId="40" r:id="rId17"/>
    <sheet name="2023,7,8" sheetId="38" r:id="rId18"/>
    <sheet name="2023,5,6" sheetId="37" r:id="rId19"/>
    <sheet name="2023,3,4" sheetId="36" r:id="rId20"/>
    <sheet name="2023,1,2" sheetId="35" r:id="rId21"/>
    <sheet name="2022,11,12" sheetId="34" r:id="rId22"/>
    <sheet name="2022,9,10" sheetId="33" r:id="rId23"/>
    <sheet name="2022,7,8" sheetId="32" r:id="rId24"/>
    <sheet name="2022,5,6" sheetId="31" r:id="rId25"/>
    <sheet name="2022,3,4" sheetId="30" r:id="rId26"/>
    <sheet name="2022,1,2" sheetId="29" r:id="rId27"/>
    <sheet name="2021,11,12 (2)" sheetId="28" r:id="rId28"/>
    <sheet name="2021,11,12" sheetId="27" r:id="rId29"/>
    <sheet name="2021,9,10" sheetId="26" r:id="rId30"/>
    <sheet name="2021,7,8" sheetId="25" r:id="rId31"/>
    <sheet name="2021,5,6" sheetId="24" r:id="rId32"/>
    <sheet name="2021,3,4" sheetId="23" r:id="rId33"/>
    <sheet name="2021,1,2" sheetId="22" r:id="rId34"/>
    <sheet name="2020,11,12 (2)" sheetId="21" r:id="rId35"/>
    <sheet name="2020,11,12" sheetId="20" r:id="rId36"/>
    <sheet name="2020,9,10" sheetId="19" r:id="rId37"/>
    <sheet name="2020,7,8" sheetId="18" r:id="rId38"/>
    <sheet name="2020,5,6" sheetId="17" r:id="rId39"/>
    <sheet name="2020,3,4" sheetId="16" r:id="rId40"/>
    <sheet name="2020,1,2" sheetId="15" r:id="rId41"/>
    <sheet name="2019,11,12" sheetId="14" r:id="rId42"/>
    <sheet name="2019,9,10 " sheetId="13" r:id="rId43"/>
    <sheet name="2019,7,8" sheetId="12" r:id="rId44"/>
    <sheet name="2019,5,6" sheetId="11" r:id="rId45"/>
    <sheet name="2019,3,4" sheetId="8" r:id="rId46"/>
    <sheet name="2019,1,2 " sheetId="7" r:id="rId47"/>
    <sheet name="2018,11,12" sheetId="6" r:id="rId48"/>
    <sheet name="2018,9,10" sheetId="5" r:id="rId49"/>
    <sheet name="2018,7,8" sheetId="4" r:id="rId50"/>
    <sheet name="2018,5,6" sheetId="3" r:id="rId51"/>
    <sheet name="2018,3,4" sheetId="2" r:id="rId52"/>
    <sheet name="2018,1,2" sheetId="1" r:id="rId53"/>
  </sheets>
  <calcPr calcId="191029"/>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N58" i="60" l="1"/>
  <c r="L58" i="60"/>
  <c r="N57" i="60"/>
  <c r="L57" i="60"/>
  <c r="N56" i="60"/>
  <c r="L56" i="60"/>
  <c r="N55" i="60"/>
  <c r="L55" i="60"/>
  <c r="N54" i="60"/>
  <c r="L54" i="60"/>
  <c r="N53" i="60"/>
  <c r="L53" i="60"/>
  <c r="N52" i="60"/>
  <c r="L52" i="60"/>
  <c r="N51" i="60"/>
  <c r="L51" i="60"/>
  <c r="N50" i="60"/>
  <c r="L50" i="60"/>
  <c r="R49" i="60"/>
  <c r="P49" i="60"/>
  <c r="N49" i="60"/>
  <c r="L49" i="60"/>
  <c r="R48" i="60"/>
  <c r="P48" i="60"/>
  <c r="N48" i="60"/>
  <c r="L48" i="60"/>
  <c r="R47" i="60"/>
  <c r="P47" i="60"/>
  <c r="N47" i="60"/>
  <c r="L47" i="60"/>
  <c r="R46" i="60"/>
  <c r="P46" i="60"/>
  <c r="N46" i="60"/>
  <c r="L46" i="60"/>
  <c r="R45" i="60"/>
  <c r="P45" i="60"/>
  <c r="N45" i="60"/>
  <c r="L45" i="60"/>
  <c r="R44" i="60"/>
  <c r="R59" i="60" s="1"/>
  <c r="P44" i="60"/>
  <c r="P59" i="60" s="1"/>
  <c r="N44" i="60"/>
  <c r="N59" i="60" s="1"/>
  <c r="L44" i="60"/>
  <c r="L59" i="60" s="1"/>
  <c r="AC34" i="60"/>
  <c r="X34" i="60"/>
  <c r="Y33" i="60"/>
  <c r="Y32" i="60"/>
  <c r="Y31" i="60"/>
  <c r="Y30" i="60"/>
  <c r="Y29" i="60"/>
  <c r="Y28" i="60"/>
  <c r="Y27" i="60"/>
  <c r="Y26" i="60"/>
  <c r="Y25" i="60"/>
  <c r="AD24" i="60"/>
  <c r="Y24" i="60"/>
  <c r="R24" i="60"/>
  <c r="Q24" i="60"/>
  <c r="P24" i="60"/>
  <c r="O24" i="60"/>
  <c r="N24" i="60"/>
  <c r="M24" i="60"/>
  <c r="L24" i="60"/>
  <c r="K24" i="60"/>
  <c r="J24" i="60"/>
  <c r="I24" i="60"/>
  <c r="H24" i="60"/>
  <c r="G24" i="60"/>
  <c r="F24" i="60"/>
  <c r="E24" i="60"/>
  <c r="D24" i="60"/>
  <c r="C24" i="60"/>
  <c r="B24" i="60"/>
  <c r="A24" i="60"/>
  <c r="AD23" i="60"/>
  <c r="Y23" i="60"/>
  <c r="AD22" i="60"/>
  <c r="Y22" i="60"/>
  <c r="AD21" i="60"/>
  <c r="Y21" i="60"/>
  <c r="AD20" i="60"/>
  <c r="Y20" i="60"/>
  <c r="AD19" i="60"/>
  <c r="AD34" i="60" s="1"/>
  <c r="Y19" i="60"/>
  <c r="Y34" i="60" s="1"/>
  <c r="R17" i="60"/>
  <c r="Q17" i="60"/>
  <c r="P17" i="60"/>
  <c r="O17" i="60"/>
  <c r="N17" i="60"/>
  <c r="M17" i="60"/>
  <c r="L17" i="60"/>
  <c r="K17" i="60"/>
  <c r="J17" i="60"/>
  <c r="I17" i="60"/>
  <c r="H17" i="60"/>
  <c r="G17" i="60"/>
  <c r="F17" i="60"/>
  <c r="E17" i="60"/>
  <c r="D17" i="60"/>
  <c r="C17" i="60"/>
  <c r="B17" i="60"/>
  <c r="A17" i="60"/>
  <c r="P9" i="60"/>
  <c r="O9" i="60"/>
  <c r="N9" i="60"/>
  <c r="M9" i="60"/>
  <c r="L9" i="60"/>
  <c r="K9" i="60"/>
  <c r="J9" i="60"/>
  <c r="I9" i="60"/>
  <c r="H9" i="60"/>
  <c r="G9" i="60"/>
  <c r="F9" i="60"/>
  <c r="E9" i="60"/>
  <c r="D9" i="60"/>
  <c r="C9" i="60"/>
  <c r="B9" i="60"/>
  <c r="A9" i="60"/>
  <c r="R2" i="60"/>
  <c r="Q2" i="60"/>
  <c r="P2" i="60"/>
  <c r="O2" i="60"/>
  <c r="N2" i="60"/>
  <c r="M2" i="60"/>
  <c r="L2" i="60"/>
  <c r="K2" i="60"/>
  <c r="J2" i="60"/>
  <c r="I2" i="60"/>
  <c r="H2" i="60"/>
  <c r="G2" i="60"/>
  <c r="F2" i="60"/>
  <c r="E2" i="60"/>
  <c r="D2" i="60"/>
  <c r="C2" i="60"/>
  <c r="B2" i="60"/>
  <c r="A2" i="60"/>
  <c r="J1" i="60"/>
  <c r="I1" i="60"/>
  <c r="G1" i="60"/>
  <c r="I1" i="56"/>
  <c r="R50" i="58"/>
  <c r="P50" i="58"/>
  <c r="AD25" i="58"/>
  <c r="AD34" i="58" s="1"/>
  <c r="N58" i="58" l="1"/>
  <c r="L58" i="58"/>
  <c r="N57" i="58"/>
  <c r="L57" i="58"/>
  <c r="N56" i="58"/>
  <c r="L56" i="58"/>
  <c r="N55" i="58"/>
  <c r="L55" i="58"/>
  <c r="N54" i="58"/>
  <c r="L54" i="58"/>
  <c r="N53" i="58"/>
  <c r="L53" i="58"/>
  <c r="N52" i="58"/>
  <c r="L52" i="58"/>
  <c r="N51" i="58"/>
  <c r="L51" i="58"/>
  <c r="N50" i="58"/>
  <c r="L50" i="58"/>
  <c r="R49" i="58"/>
  <c r="P49" i="58"/>
  <c r="N49" i="58"/>
  <c r="L49" i="58"/>
  <c r="R48" i="58"/>
  <c r="P48" i="58"/>
  <c r="N48" i="58"/>
  <c r="L48" i="58"/>
  <c r="R47" i="58"/>
  <c r="P47" i="58"/>
  <c r="N47" i="58"/>
  <c r="L47" i="58"/>
  <c r="R46" i="58"/>
  <c r="P46" i="58"/>
  <c r="N46" i="58"/>
  <c r="L46" i="58"/>
  <c r="R45" i="58"/>
  <c r="P45" i="58"/>
  <c r="N45" i="58"/>
  <c r="L45" i="58"/>
  <c r="R44" i="58"/>
  <c r="P44" i="58"/>
  <c r="N44" i="58"/>
  <c r="L44" i="58"/>
  <c r="AC34" i="58"/>
  <c r="X34" i="58"/>
  <c r="Y33" i="58"/>
  <c r="Y32" i="58"/>
  <c r="Y31" i="58"/>
  <c r="Y30" i="58"/>
  <c r="Y29" i="58"/>
  <c r="Y28" i="58"/>
  <c r="Y27" i="58"/>
  <c r="Y26" i="58"/>
  <c r="Y25" i="58"/>
  <c r="AD24" i="58"/>
  <c r="Y24" i="58"/>
  <c r="AD23" i="58"/>
  <c r="Y23" i="58"/>
  <c r="AD22" i="58"/>
  <c r="Y22" i="58"/>
  <c r="AD21" i="58"/>
  <c r="Y21" i="58"/>
  <c r="AD20" i="58"/>
  <c r="Y20" i="58"/>
  <c r="AD19" i="58"/>
  <c r="Y19" i="58"/>
  <c r="G1" i="56"/>
  <c r="J1" i="56"/>
  <c r="A24" i="56"/>
  <c r="M17" i="56"/>
  <c r="A17" i="56"/>
  <c r="A9" i="56"/>
  <c r="M2" i="56"/>
  <c r="A2" i="56"/>
  <c r="Y34" i="58" l="1"/>
  <c r="P59" i="58"/>
  <c r="R59" i="58"/>
  <c r="L59" i="58"/>
  <c r="N59" i="58"/>
  <c r="C24" i="56"/>
  <c r="D24" i="56"/>
  <c r="E24" i="56"/>
  <c r="F24" i="56"/>
  <c r="G24" i="56"/>
  <c r="H24" i="56"/>
  <c r="I24" i="56"/>
  <c r="J24" i="56"/>
  <c r="K24" i="56"/>
  <c r="L24" i="56"/>
  <c r="M24" i="56"/>
  <c r="N24" i="56"/>
  <c r="O24" i="56"/>
  <c r="P24" i="56"/>
  <c r="Q24" i="56"/>
  <c r="R24" i="56"/>
  <c r="B24" i="56"/>
  <c r="O17" i="56"/>
  <c r="P17" i="56"/>
  <c r="Q17" i="56"/>
  <c r="R17" i="56"/>
  <c r="N17" i="56"/>
  <c r="C17" i="56"/>
  <c r="D17" i="56"/>
  <c r="E17" i="56"/>
  <c r="F17" i="56"/>
  <c r="G17" i="56"/>
  <c r="H17" i="56"/>
  <c r="I17" i="56"/>
  <c r="J17" i="56"/>
  <c r="K17" i="56"/>
  <c r="L17" i="56"/>
  <c r="B17" i="56"/>
  <c r="C9" i="56"/>
  <c r="D9" i="56"/>
  <c r="E9" i="56"/>
  <c r="F9" i="56"/>
  <c r="G9" i="56"/>
  <c r="H9" i="56"/>
  <c r="I9" i="56"/>
  <c r="J9" i="56"/>
  <c r="K9" i="56"/>
  <c r="L9" i="56"/>
  <c r="M9" i="56"/>
  <c r="N9" i="56"/>
  <c r="O9" i="56"/>
  <c r="P9" i="56"/>
  <c r="B9" i="56"/>
  <c r="O2" i="56"/>
  <c r="P2" i="56"/>
  <c r="Q2" i="56"/>
  <c r="R2" i="56"/>
  <c r="N2" i="56"/>
  <c r="C2" i="56"/>
  <c r="D2" i="56"/>
  <c r="E2" i="56"/>
  <c r="F2" i="56"/>
  <c r="G2" i="56"/>
  <c r="H2" i="56"/>
  <c r="I2" i="56"/>
  <c r="J2" i="56"/>
  <c r="K2" i="56"/>
  <c r="L2" i="56"/>
  <c r="B2" i="56"/>
  <c r="AC34" i="56"/>
  <c r="X34" i="56"/>
  <c r="Y33" i="56"/>
  <c r="Y32" i="56"/>
  <c r="Y31" i="56"/>
  <c r="Y30" i="56"/>
  <c r="Y29" i="56"/>
  <c r="Y28" i="56"/>
  <c r="Y27" i="56"/>
  <c r="Y26" i="56"/>
  <c r="Y25" i="56"/>
  <c r="AD24" i="56"/>
  <c r="Y24" i="56"/>
  <c r="AD23" i="56"/>
  <c r="Y23" i="56"/>
  <c r="AD22" i="56"/>
  <c r="Y22" i="56"/>
  <c r="AD21" i="56"/>
  <c r="Y21" i="56"/>
  <c r="AD20" i="56"/>
  <c r="Y20" i="56"/>
  <c r="AD19" i="56"/>
  <c r="Y19" i="56"/>
  <c r="N58" i="56"/>
  <c r="L58" i="56"/>
  <c r="N57" i="56"/>
  <c r="L57" i="56"/>
  <c r="N56" i="56"/>
  <c r="L56" i="56"/>
  <c r="N55" i="56"/>
  <c r="L55" i="56"/>
  <c r="N54" i="56"/>
  <c r="L54" i="56"/>
  <c r="N53" i="56"/>
  <c r="L53" i="56"/>
  <c r="N52" i="56"/>
  <c r="L52" i="56"/>
  <c r="N51" i="56"/>
  <c r="L51" i="56"/>
  <c r="N50" i="56"/>
  <c r="L50" i="56"/>
  <c r="R49" i="56"/>
  <c r="P49" i="56"/>
  <c r="N49" i="56"/>
  <c r="L49" i="56"/>
  <c r="R48" i="56"/>
  <c r="P48" i="56"/>
  <c r="N48" i="56"/>
  <c r="L48" i="56"/>
  <c r="R47" i="56"/>
  <c r="P47" i="56"/>
  <c r="N47" i="56"/>
  <c r="L47" i="56"/>
  <c r="R46" i="56"/>
  <c r="P46" i="56"/>
  <c r="N46" i="56"/>
  <c r="L46" i="56"/>
  <c r="R45" i="56"/>
  <c r="P45" i="56"/>
  <c r="N45" i="56"/>
  <c r="L45" i="56"/>
  <c r="R44" i="56"/>
  <c r="R59" i="56" s="1"/>
  <c r="P44" i="56"/>
  <c r="N44" i="56"/>
  <c r="N59" i="56" s="1"/>
  <c r="L44" i="56"/>
  <c r="N58" i="55"/>
  <c r="L58" i="55"/>
  <c r="N57" i="55"/>
  <c r="L57" i="55"/>
  <c r="N56" i="55"/>
  <c r="L56" i="55"/>
  <c r="N55" i="55"/>
  <c r="L55" i="55"/>
  <c r="N54" i="55"/>
  <c r="L54" i="55"/>
  <c r="N53" i="55"/>
  <c r="L53" i="55"/>
  <c r="N52" i="55"/>
  <c r="L52" i="55"/>
  <c r="N51" i="55"/>
  <c r="L51" i="55"/>
  <c r="N50" i="55"/>
  <c r="L50" i="55"/>
  <c r="R49" i="55"/>
  <c r="P49" i="55"/>
  <c r="N49" i="55"/>
  <c r="L49" i="55"/>
  <c r="R48" i="55"/>
  <c r="P48" i="55"/>
  <c r="N48" i="55"/>
  <c r="L48" i="55"/>
  <c r="R47" i="55"/>
  <c r="P47" i="55"/>
  <c r="N47" i="55"/>
  <c r="L47" i="55"/>
  <c r="R46" i="55"/>
  <c r="P46" i="55"/>
  <c r="N46" i="55"/>
  <c r="L46" i="55"/>
  <c r="R45" i="55"/>
  <c r="P45" i="55"/>
  <c r="N45" i="55"/>
  <c r="L45" i="55"/>
  <c r="R44" i="55"/>
  <c r="P44" i="55"/>
  <c r="N44" i="55"/>
  <c r="L44" i="55"/>
  <c r="AB34" i="55"/>
  <c r="W34" i="55"/>
  <c r="X33" i="55"/>
  <c r="X29" i="55"/>
  <c r="X31" i="55"/>
  <c r="X30" i="55"/>
  <c r="X32" i="55"/>
  <c r="X28" i="55"/>
  <c r="X27" i="55"/>
  <c r="X26" i="55"/>
  <c r="X25" i="55"/>
  <c r="AC24" i="55"/>
  <c r="X24" i="55"/>
  <c r="AC23" i="55"/>
  <c r="X23" i="55"/>
  <c r="AC22" i="55"/>
  <c r="X22" i="55"/>
  <c r="AC21" i="55"/>
  <c r="X21" i="55"/>
  <c r="AC20" i="55"/>
  <c r="X20" i="55"/>
  <c r="AC19" i="55"/>
  <c r="X19" i="55"/>
  <c r="Y34" i="53"/>
  <c r="W34" i="53"/>
  <c r="R45" i="53"/>
  <c r="R46" i="53"/>
  <c r="R47" i="53"/>
  <c r="R48" i="53"/>
  <c r="R49" i="53"/>
  <c r="P45" i="53"/>
  <c r="P46" i="53"/>
  <c r="P47" i="53"/>
  <c r="P48" i="53"/>
  <c r="P49" i="53"/>
  <c r="R44" i="53"/>
  <c r="P44" i="53"/>
  <c r="N45" i="53"/>
  <c r="N46" i="53"/>
  <c r="N47" i="53"/>
  <c r="N48" i="53"/>
  <c r="N49" i="53"/>
  <c r="N50" i="53"/>
  <c r="N51" i="53"/>
  <c r="N52" i="53"/>
  <c r="N53" i="53"/>
  <c r="N54" i="53"/>
  <c r="N55" i="53"/>
  <c r="N56" i="53"/>
  <c r="N57" i="53"/>
  <c r="N58" i="53"/>
  <c r="N44" i="53"/>
  <c r="L45" i="53"/>
  <c r="L46" i="53"/>
  <c r="L47" i="53"/>
  <c r="L48" i="53"/>
  <c r="L49" i="53"/>
  <c r="L50" i="53"/>
  <c r="L51" i="53"/>
  <c r="L52" i="53"/>
  <c r="L53" i="53"/>
  <c r="L54" i="53"/>
  <c r="L55" i="53"/>
  <c r="L56" i="53"/>
  <c r="L57" i="53"/>
  <c r="L58" i="53"/>
  <c r="L44" i="53"/>
  <c r="Z24" i="53"/>
  <c r="Z23" i="53"/>
  <c r="Z22" i="53"/>
  <c r="Z21" i="53"/>
  <c r="Z20" i="53"/>
  <c r="Z19" i="53"/>
  <c r="X33" i="53"/>
  <c r="X20" i="53"/>
  <c r="X21" i="53"/>
  <c r="X22" i="53"/>
  <c r="X23" i="53"/>
  <c r="X24" i="53"/>
  <c r="X25" i="53"/>
  <c r="X26" i="53"/>
  <c r="X27" i="53"/>
  <c r="X28" i="53"/>
  <c r="X29" i="53"/>
  <c r="X30" i="53"/>
  <c r="X31" i="53"/>
  <c r="X32" i="53"/>
  <c r="X19" i="53"/>
  <c r="AB13" i="52"/>
  <c r="AB30" i="52"/>
  <c r="Z13" i="52"/>
  <c r="Y13" i="52"/>
  <c r="W13" i="52"/>
  <c r="W15" i="52" s="1"/>
  <c r="Z30" i="52"/>
  <c r="Y30" i="52"/>
  <c r="W30" i="52"/>
  <c r="AB13" i="51"/>
  <c r="Z13" i="51"/>
  <c r="Y13" i="51"/>
  <c r="W13" i="51"/>
  <c r="AB30" i="51"/>
  <c r="Z30" i="51"/>
  <c r="Y30" i="51"/>
  <c r="W30" i="51"/>
  <c r="AB30" i="50"/>
  <c r="Z30" i="50"/>
  <c r="Y30" i="50"/>
  <c r="W30" i="50"/>
  <c r="W32" i="50" s="1"/>
  <c r="AA15" i="50"/>
  <c r="Y15" i="50"/>
  <c r="W15" i="50"/>
  <c r="AD34" i="56" l="1"/>
  <c r="Y34" i="56"/>
  <c r="L59" i="56"/>
  <c r="P59" i="56"/>
  <c r="AC34" i="55"/>
  <c r="R59" i="55"/>
  <c r="N59" i="55"/>
  <c r="L59" i="55"/>
  <c r="P59" i="55"/>
  <c r="X34" i="55"/>
  <c r="R59" i="53"/>
  <c r="P59" i="53"/>
  <c r="L59" i="53"/>
  <c r="N59" i="53"/>
  <c r="Z34" i="53"/>
  <c r="X34" i="53"/>
  <c r="W32" i="52"/>
  <c r="W15" i="51"/>
  <c r="W32" i="51"/>
  <c r="AA15" i="48"/>
  <c r="Y15" i="48"/>
  <c r="W15" i="48"/>
  <c r="AA32" i="48"/>
  <c r="Y32" i="48"/>
  <c r="W32" i="48"/>
  <c r="AA15" i="47"/>
  <c r="Y15" i="47"/>
  <c r="W15" i="47"/>
  <c r="AA32" i="47"/>
  <c r="Y32" i="47"/>
  <c r="W32" i="47"/>
  <c r="AA32" i="46"/>
  <c r="Y32" i="46"/>
  <c r="W32" i="46"/>
  <c r="AA15" i="46"/>
  <c r="Y15" i="46"/>
  <c r="W15" i="46"/>
  <c r="AA15" i="45"/>
  <c r="Y15" i="45"/>
  <c r="W15" i="45"/>
  <c r="AA32" i="45" l="1"/>
  <c r="Y32" i="45"/>
  <c r="W32" i="45"/>
  <c r="AA15" i="44"/>
  <c r="Y15" i="44"/>
  <c r="W15" i="44"/>
  <c r="AA32" i="44"/>
  <c r="Y32" i="44"/>
  <c r="W32" i="44"/>
  <c r="AA32" i="43"/>
  <c r="Y32" i="43"/>
  <c r="W32" i="43"/>
  <c r="AA15" i="43"/>
  <c r="Y15" i="43"/>
  <c r="W15" i="43"/>
  <c r="AA15" i="42" l="1"/>
  <c r="Y15" i="42"/>
  <c r="W15" i="42"/>
  <c r="AA32" i="42"/>
  <c r="Y32" i="42"/>
  <c r="W32" i="42"/>
  <c r="AA15" i="41"/>
  <c r="Y15" i="41"/>
  <c r="W15" i="41"/>
  <c r="AA32" i="41"/>
  <c r="Y32" i="41"/>
  <c r="W32" i="41"/>
  <c r="AA32" i="40"/>
  <c r="Y15" i="40" l="1"/>
  <c r="W15" i="40"/>
  <c r="Y32" i="40"/>
  <c r="W32" i="40"/>
  <c r="Y15" i="38"/>
  <c r="W15" i="38"/>
  <c r="Y32" i="38"/>
  <c r="W32" i="38"/>
  <c r="Y15" i="37"/>
  <c r="W15" i="37"/>
  <c r="Y32" i="37"/>
  <c r="W32" i="37"/>
  <c r="Y15" i="36"/>
  <c r="W15" i="36"/>
  <c r="Y32" i="36"/>
  <c r="W32" i="36"/>
  <c r="Y15" i="35"/>
  <c r="W15" i="35"/>
  <c r="Y32" i="35"/>
  <c r="W32" i="35"/>
  <c r="W32" i="34"/>
  <c r="Y32" i="34"/>
  <c r="W22" i="33"/>
  <c r="Y28" i="33"/>
  <c r="Y27" i="33"/>
  <c r="W28" i="33"/>
  <c r="Y29" i="33"/>
  <c r="Y26" i="33"/>
  <c r="Y25" i="33"/>
  <c r="Y24" i="33"/>
  <c r="Y23" i="33"/>
  <c r="Y22" i="33"/>
  <c r="Y21" i="33"/>
  <c r="Y20" i="33"/>
  <c r="W27" i="33"/>
  <c r="W26" i="33"/>
  <c r="W25" i="33"/>
  <c r="W24" i="33"/>
  <c r="W23" i="33"/>
  <c r="W21" i="33"/>
  <c r="W20" i="33"/>
  <c r="Y15" i="33"/>
  <c r="W15" i="33"/>
  <c r="W15" i="32"/>
  <c r="Y15" i="32"/>
  <c r="Y32" i="32"/>
  <c r="W32" i="32"/>
  <c r="Y15" i="31"/>
  <c r="W15" i="31"/>
  <c r="Y32" i="31"/>
  <c r="W32" i="31"/>
  <c r="Y15" i="30"/>
  <c r="W15" i="30"/>
  <c r="Y32" i="30"/>
  <c r="W32" i="30"/>
  <c r="Y15" i="29"/>
  <c r="W15" i="29"/>
  <c r="Y32" i="29"/>
  <c r="W32" i="29"/>
  <c r="AA32" i="28"/>
  <c r="Y32" i="28"/>
  <c r="W32" i="28"/>
  <c r="AA15" i="28"/>
  <c r="Y15" i="28"/>
  <c r="W15" i="28"/>
  <c r="AA15" i="27"/>
  <c r="Y15" i="27"/>
  <c r="W15" i="27"/>
  <c r="AA32" i="27"/>
  <c r="Y32" i="27"/>
  <c r="W32" i="27"/>
  <c r="AA15" i="26"/>
  <c r="Y15" i="26"/>
  <c r="W15" i="26"/>
  <c r="AA32" i="26"/>
  <c r="Y32" i="26"/>
  <c r="W32" i="26"/>
  <c r="AA15" i="25"/>
  <c r="Y15" i="25"/>
  <c r="W15" i="25"/>
  <c r="AA32" i="25"/>
  <c r="Y32" i="25"/>
  <c r="W32" i="25"/>
  <c r="AA15" i="24"/>
  <c r="Y15" i="24"/>
  <c r="W15" i="24"/>
  <c r="AA32" i="24"/>
  <c r="Y32" i="24"/>
  <c r="W32" i="24"/>
  <c r="AA15" i="23"/>
  <c r="Y15" i="23"/>
  <c r="W15" i="23"/>
  <c r="AA32" i="23"/>
  <c r="Y32" i="23"/>
  <c r="W32" i="23"/>
  <c r="AA15" i="22"/>
  <c r="Y15" i="22"/>
  <c r="W15" i="22"/>
  <c r="AA32" i="22"/>
  <c r="Y32" i="22"/>
  <c r="W32" i="22"/>
  <c r="Y32" i="33" l="1"/>
  <c r="W32" i="33"/>
  <c r="AA32" i="21"/>
  <c r="Y32" i="21"/>
  <c r="W32" i="21"/>
  <c r="AC15" i="21"/>
  <c r="AA15" i="21"/>
  <c r="Y15" i="21"/>
  <c r="W15" i="21"/>
  <c r="AC15" i="20" l="1"/>
  <c r="AA15" i="20"/>
  <c r="Y15" i="20"/>
  <c r="W15" i="20"/>
  <c r="AA32" i="20"/>
  <c r="Y32" i="20"/>
  <c r="W32" i="20"/>
  <c r="AC15" i="19" l="1"/>
  <c r="AA15" i="19"/>
  <c r="Y15" i="19"/>
  <c r="W15" i="19"/>
  <c r="AC32" i="19"/>
  <c r="AA32" i="19"/>
  <c r="Y32" i="19"/>
  <c r="W32" i="19"/>
  <c r="AC15" i="18" l="1"/>
  <c r="AA15" i="18"/>
  <c r="Y15" i="18"/>
  <c r="W15" i="18"/>
  <c r="AC32" i="18" l="1"/>
  <c r="AA32" i="18"/>
  <c r="Y32" i="18"/>
  <c r="W32" i="18"/>
  <c r="AC15" i="17" l="1"/>
  <c r="AA15" i="17"/>
  <c r="Y15" i="17"/>
  <c r="W15" i="17"/>
  <c r="AC32" i="17"/>
  <c r="AA32" i="17"/>
  <c r="Y32" i="17"/>
  <c r="W32" i="17"/>
  <c r="AC15" i="16" l="1"/>
  <c r="AA15" i="16"/>
  <c r="Y15" i="16"/>
  <c r="W15" i="16"/>
  <c r="AC32" i="16"/>
  <c r="AA32" i="16"/>
  <c r="Y32" i="16"/>
  <c r="W32" i="16"/>
  <c r="AC15" i="15" l="1"/>
  <c r="AA15" i="15"/>
  <c r="Y15" i="15"/>
  <c r="W15" i="15"/>
  <c r="AC32" i="15"/>
  <c r="AA32" i="15"/>
  <c r="Y32" i="15"/>
  <c r="W32" i="15"/>
  <c r="AC15" i="14" l="1"/>
  <c r="AA15" i="14"/>
  <c r="Y15" i="14"/>
  <c r="W15" i="14"/>
  <c r="AC32" i="14"/>
  <c r="AA32" i="14"/>
  <c r="Y32" i="14"/>
  <c r="W32" i="14"/>
  <c r="AC15" i="13" l="1"/>
  <c r="AA15" i="13"/>
  <c r="Y15" i="13"/>
  <c r="W15" i="13"/>
  <c r="AC32" i="13"/>
  <c r="AA32" i="13"/>
  <c r="Y32" i="13"/>
  <c r="W32" i="13"/>
  <c r="AC32" i="12" l="1"/>
  <c r="AA32" i="12"/>
  <c r="Y32" i="12"/>
  <c r="W32" i="12"/>
  <c r="W16" i="12" l="1"/>
  <c r="AC16" i="12" l="1"/>
  <c r="AA16" i="12"/>
  <c r="Y16" i="12"/>
  <c r="W14" i="11" l="1"/>
  <c r="Y14" i="11"/>
  <c r="AA14" i="11"/>
  <c r="W33" i="11"/>
  <c r="Y33" i="11"/>
  <c r="AA33" i="11"/>
  <c r="AC33" i="11"/>
  <c r="AA13" i="8" l="1"/>
  <c r="Y13" i="8"/>
  <c r="W13" i="8"/>
  <c r="AA28" i="8"/>
  <c r="Y28" i="8"/>
  <c r="W28" i="8"/>
  <c r="AA13" i="7" l="1"/>
  <c r="Y13" i="7"/>
  <c r="W13" i="7"/>
  <c r="AA28" i="7"/>
  <c r="Y28" i="7"/>
  <c r="W28" i="7"/>
  <c r="AA13" i="6" l="1"/>
  <c r="Y13" i="6"/>
  <c r="W13" i="6"/>
  <c r="AA28" i="6"/>
  <c r="Y28" i="6"/>
  <c r="W28" i="6"/>
  <c r="W28" i="5" l="1"/>
  <c r="Y28" i="5"/>
  <c r="AA28" i="5"/>
  <c r="AA13" i="5"/>
  <c r="Y13" i="5"/>
  <c r="W13" i="5"/>
  <c r="AA36" i="4" l="1"/>
  <c r="Y36" i="4"/>
  <c r="W36" i="4"/>
  <c r="AA22" i="4" l="1"/>
  <c r="Y22" i="4"/>
  <c r="W22" i="4"/>
  <c r="AA10" i="4"/>
  <c r="Y10" i="4"/>
  <c r="W10" i="4"/>
  <c r="AA32" i="3" l="1"/>
  <c r="Y32" i="3"/>
  <c r="W32" i="3"/>
  <c r="AA21" i="3" l="1"/>
  <c r="Y21" i="3"/>
  <c r="W21" i="3"/>
  <c r="AA31" i="1" l="1"/>
  <c r="Y31" i="1"/>
  <c r="W31" i="1"/>
  <c r="AB31" i="1" s="1"/>
  <c r="AA31" i="2" l="1"/>
  <c r="W31" i="2"/>
  <c r="Y31" i="2"/>
  <c r="AC31"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seizo35</author>
  </authors>
  <commentList>
    <comment ref="R2" authorId="0" shapeId="0" xr:uid="{DBBB0178-48B0-46E7-BB45-ACD8F4112541}">
      <text>
        <r>
          <rPr>
            <b/>
            <sz val="9"/>
            <color indexed="81"/>
            <rFont val="MS P ゴシック"/>
            <family val="3"/>
            <charset val="128"/>
          </rPr>
          <t>新井洋</t>
        </r>
      </text>
    </comment>
    <comment ref="F9" authorId="0" shapeId="0" xr:uid="{6884ABB8-AA47-4A9F-A0ED-68870CA8AFDA}">
      <text>
        <r>
          <rPr>
            <b/>
            <sz val="9"/>
            <color indexed="81"/>
            <rFont val="MS P ゴシック"/>
            <family val="3"/>
            <charset val="128"/>
          </rPr>
          <t>髙田
楮本
新井洋</t>
        </r>
      </text>
    </comment>
    <comment ref="G9" authorId="0" shapeId="0" xr:uid="{0400785D-73C1-4E1B-B135-C4E3734819E5}">
      <text>
        <r>
          <rPr>
            <b/>
            <sz val="9"/>
            <color indexed="81"/>
            <rFont val="MS P ゴシック"/>
            <family val="3"/>
            <charset val="128"/>
          </rPr>
          <t>近藤
楮本
勅使河原
新井洋</t>
        </r>
      </text>
    </comment>
    <comment ref="H9" authorId="0" shapeId="0" xr:uid="{9A3F34BC-06DA-4424-B602-B933B6658D7D}">
      <text>
        <r>
          <rPr>
            <b/>
            <sz val="9"/>
            <color indexed="81"/>
            <rFont val="MS P ゴシック"/>
            <family val="3"/>
            <charset val="128"/>
          </rPr>
          <t>矢野
新井洋</t>
        </r>
      </text>
    </comment>
    <comment ref="M9" authorId="0" shapeId="0" xr:uid="{4F0ABCAF-9BBB-4E6F-B10E-CC2CD3D13037}">
      <text>
        <r>
          <rPr>
            <b/>
            <sz val="9"/>
            <color indexed="81"/>
            <rFont val="MS P ゴシック"/>
            <family val="3"/>
            <charset val="128"/>
          </rPr>
          <t>矢野
勅使河原
新井洋</t>
        </r>
      </text>
    </comment>
    <comment ref="N9" authorId="0" shapeId="0" xr:uid="{07461CB3-E144-44A7-9CC8-A03DACB8E916}">
      <text>
        <r>
          <rPr>
            <b/>
            <sz val="9"/>
            <color indexed="81"/>
            <rFont val="MS P ゴシック"/>
            <family val="3"/>
            <charset val="128"/>
          </rPr>
          <t>矢野
勅使河原
新井洋</t>
        </r>
      </text>
    </comment>
    <comment ref="O9" authorId="0" shapeId="0" xr:uid="{DB54B9FD-0794-48E2-A3AB-6BA70A142595}">
      <text>
        <r>
          <rPr>
            <b/>
            <sz val="9"/>
            <color indexed="81"/>
            <rFont val="MS P ゴシック"/>
            <family val="3"/>
            <charset val="128"/>
          </rPr>
          <t>幅下
新井洋</t>
        </r>
      </text>
    </comment>
    <comment ref="F17" authorId="0" shapeId="0" xr:uid="{D892C452-5483-4D0E-B866-4ED5C09DAF33}">
      <text>
        <r>
          <rPr>
            <b/>
            <sz val="9"/>
            <color indexed="81"/>
            <rFont val="MS P ゴシック"/>
            <family val="3"/>
            <charset val="128"/>
          </rPr>
          <t>幅下</t>
        </r>
      </text>
    </comment>
    <comment ref="G17" authorId="0" shapeId="0" xr:uid="{80F87C81-0A66-42B6-8308-8A569FE5BC8B}">
      <text>
        <r>
          <rPr>
            <b/>
            <sz val="9"/>
            <color indexed="81"/>
            <rFont val="MS P ゴシック"/>
            <family val="3"/>
            <charset val="128"/>
          </rPr>
          <t>矢野
新井洋</t>
        </r>
      </text>
    </comment>
    <comment ref="L17" authorId="0" shapeId="0" xr:uid="{CD4FCEBC-EDCF-4B7F-9BBB-0440B563B263}">
      <text>
        <r>
          <rPr>
            <b/>
            <sz val="9"/>
            <color indexed="81"/>
            <rFont val="MS P ゴシック"/>
            <family val="3"/>
            <charset val="128"/>
          </rPr>
          <t>矢野
近藤</t>
        </r>
      </text>
    </comment>
    <comment ref="N17" authorId="0" shapeId="0" xr:uid="{956BC88E-756F-4F53-8722-5756657E4785}">
      <text>
        <r>
          <rPr>
            <b/>
            <sz val="9"/>
            <color indexed="81"/>
            <rFont val="MS P ゴシック"/>
            <family val="3"/>
            <charset val="128"/>
          </rPr>
          <t>矢野</t>
        </r>
      </text>
    </comment>
    <comment ref="O17" authorId="0" shapeId="0" xr:uid="{9D1AEF4D-AF4F-478F-9E0B-E09ACF226B8B}">
      <text>
        <r>
          <rPr>
            <b/>
            <sz val="9"/>
            <color indexed="81"/>
            <rFont val="MS P ゴシック"/>
            <family val="3"/>
            <charset val="128"/>
          </rPr>
          <t>新井洋</t>
        </r>
      </text>
    </comment>
    <comment ref="E24" authorId="0" shapeId="0" xr:uid="{8FCF22EA-010F-4481-90A7-B4F0AF34133C}">
      <text>
        <r>
          <rPr>
            <b/>
            <sz val="9"/>
            <color indexed="81"/>
            <rFont val="MS P ゴシック"/>
            <family val="3"/>
            <charset val="128"/>
          </rPr>
          <t>木村
新井洋</t>
        </r>
      </text>
    </comment>
    <comment ref="J24" authorId="0" shapeId="0" xr:uid="{0A182AB4-32DA-40B0-BAD2-814DA1F0C4E2}">
      <text>
        <r>
          <rPr>
            <b/>
            <sz val="9"/>
            <color indexed="81"/>
            <rFont val="MS P ゴシック"/>
            <family val="3"/>
            <charset val="128"/>
          </rPr>
          <t>木村</t>
        </r>
      </text>
    </comment>
    <comment ref="K24" authorId="0" shapeId="0" xr:uid="{45747FC1-F21F-4CD0-B6F1-76D9E65D79FE}">
      <text>
        <r>
          <rPr>
            <b/>
            <sz val="9"/>
            <color indexed="81"/>
            <rFont val="MS P ゴシック"/>
            <family val="3"/>
            <charset val="128"/>
          </rPr>
          <t>木村</t>
        </r>
      </text>
    </comment>
    <comment ref="L24" authorId="0" shapeId="0" xr:uid="{5F9BC25B-6307-48E6-9AF5-62A49BB1573B}">
      <text>
        <r>
          <rPr>
            <b/>
            <sz val="9"/>
            <color indexed="81"/>
            <rFont val="MS P ゴシック"/>
            <family val="3"/>
            <charset val="128"/>
          </rPr>
          <t>幅下
新井洋</t>
        </r>
      </text>
    </comment>
    <comment ref="Q24" authorId="0" shapeId="0" xr:uid="{6E688F69-AC6A-449F-ABE2-5A340F1CE892}">
      <text>
        <r>
          <rPr>
            <b/>
            <sz val="9"/>
            <color indexed="81"/>
            <rFont val="MS P ゴシック"/>
            <family val="3"/>
            <charset val="128"/>
          </rPr>
          <t>髙田
勅使河原</t>
        </r>
      </text>
    </comment>
    <comment ref="R24" authorId="0" shapeId="0" xr:uid="{2E584B82-136E-4A24-B52F-88D371B45BBD}">
      <text>
        <r>
          <rPr>
            <b/>
            <sz val="9"/>
            <color indexed="81"/>
            <rFont val="MS P ゴシック"/>
            <family val="3"/>
            <charset val="128"/>
          </rPr>
          <t>幅下
勅使河原</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seizo35</author>
  </authors>
  <commentList>
    <comment ref="F2" authorId="0" shapeId="0" xr:uid="{9C7E8A76-D810-4AF1-B9D4-432BDAB9F00B}">
      <text>
        <r>
          <rPr>
            <b/>
            <sz val="9"/>
            <color indexed="81"/>
            <rFont val="MS P ゴシック"/>
            <family val="3"/>
            <charset val="128"/>
          </rPr>
          <t>髙田　今井　矢野　</t>
        </r>
      </text>
    </comment>
    <comment ref="G2" authorId="0" shapeId="0" xr:uid="{263233EF-8FF3-415B-B062-453FF4BAD2D5}">
      <text>
        <r>
          <rPr>
            <b/>
            <sz val="9"/>
            <color indexed="81"/>
            <rFont val="MS P ゴシック"/>
            <family val="3"/>
            <charset val="128"/>
          </rPr>
          <t>髙田　今井　矢野</t>
        </r>
      </text>
    </comment>
    <comment ref="H2" authorId="0" shapeId="0" xr:uid="{ABC630AD-85E1-4E0B-952A-1EBEFC374EC4}">
      <text>
        <r>
          <rPr>
            <b/>
            <sz val="9"/>
            <color indexed="81"/>
            <rFont val="MS P ゴシック"/>
            <family val="3"/>
            <charset val="128"/>
          </rPr>
          <t>高橋拓</t>
        </r>
      </text>
    </comment>
    <comment ref="N2" authorId="0" shapeId="0" xr:uid="{B8126C1E-91F2-4B97-804D-408CE1BC1F75}">
      <text>
        <r>
          <rPr>
            <b/>
            <sz val="9"/>
            <color indexed="81"/>
            <rFont val="MS P ゴシック"/>
            <family val="3"/>
            <charset val="128"/>
          </rPr>
          <t xml:space="preserve">新井翔　髙田　加藤貴　高橋拓　洋
</t>
        </r>
      </text>
    </comment>
    <comment ref="O2" authorId="0" shapeId="0" xr:uid="{84EFA858-3319-4B0A-A337-A2A1BBC9DC2A}">
      <text>
        <r>
          <rPr>
            <b/>
            <sz val="9"/>
            <color indexed="81"/>
            <rFont val="MS P ゴシック"/>
            <family val="3"/>
            <charset val="128"/>
          </rPr>
          <t>髙田　新井翔　加藤貴　今井　高橋拓　洋</t>
        </r>
      </text>
    </comment>
    <comment ref="P2" authorId="0" shapeId="0" xr:uid="{F01A1ED4-6C58-40DA-A801-5F4A8F64C7C0}">
      <text>
        <r>
          <rPr>
            <b/>
            <sz val="9"/>
            <color indexed="81"/>
            <rFont val="MS P ゴシック"/>
            <family val="3"/>
            <charset val="128"/>
          </rPr>
          <t>加藤凌</t>
        </r>
      </text>
    </comment>
    <comment ref="D9" authorId="0" shapeId="0" xr:uid="{F7E0152F-B339-4523-8E86-85BE94740B3D}">
      <text>
        <r>
          <rPr>
            <b/>
            <sz val="9"/>
            <color indexed="81"/>
            <rFont val="MS P ゴシック"/>
            <family val="3"/>
            <charset val="128"/>
          </rPr>
          <t>新井翔　近藤　加藤凌</t>
        </r>
      </text>
    </comment>
    <comment ref="E9" authorId="0" shapeId="0" xr:uid="{68B38F00-2D2A-4434-B85B-3A4AB61DB9FE}">
      <text>
        <r>
          <rPr>
            <b/>
            <sz val="9"/>
            <color indexed="81"/>
            <rFont val="MS P ゴシック"/>
            <family val="3"/>
            <charset val="128"/>
          </rPr>
          <t>近藤　加藤凌　</t>
        </r>
      </text>
    </comment>
    <comment ref="F9" authorId="0" shapeId="0" xr:uid="{12BF8635-BABA-4491-A213-BA8965A7F58C}">
      <text>
        <r>
          <rPr>
            <b/>
            <sz val="9"/>
            <color indexed="81"/>
            <rFont val="MS P ゴシック"/>
            <family val="3"/>
            <charset val="128"/>
          </rPr>
          <t>隝田　幅下　加藤凌</t>
        </r>
      </text>
    </comment>
    <comment ref="K9" authorId="0" shapeId="0" xr:uid="{B59354EC-6BD6-4A99-AC18-3920E237B0A6}">
      <text>
        <r>
          <rPr>
            <b/>
            <sz val="9"/>
            <color indexed="81"/>
            <rFont val="MS P ゴシック"/>
            <family val="3"/>
            <charset val="128"/>
          </rPr>
          <t xml:space="preserve">髙田　隝田　加藤貴　加藤凌　
</t>
        </r>
      </text>
    </comment>
    <comment ref="L9" authorId="0" shapeId="0" xr:uid="{B4AF97A5-7FB9-49CF-AD7A-C31E73CC0CCA}">
      <text>
        <r>
          <rPr>
            <b/>
            <sz val="9"/>
            <color indexed="81"/>
            <rFont val="MS P ゴシック"/>
            <family val="3"/>
            <charset val="128"/>
          </rPr>
          <t>隝田　幅下　加藤貴　加藤凌</t>
        </r>
      </text>
    </comment>
    <comment ref="M9" authorId="0" shapeId="0" xr:uid="{2A785B8A-BE5F-4664-8619-C668AC957116}">
      <text>
        <r>
          <rPr>
            <b/>
            <sz val="9"/>
            <color indexed="81"/>
            <rFont val="MS P ゴシック"/>
            <family val="3"/>
            <charset val="128"/>
          </rPr>
          <t>隝田　矢野　加藤凌
楮本希望</t>
        </r>
      </text>
    </comment>
    <comment ref="C17" authorId="0" shapeId="0" xr:uid="{7F916743-FACA-4D13-A9DC-046C3E708CB5}">
      <text>
        <r>
          <rPr>
            <b/>
            <sz val="9"/>
            <color indexed="81"/>
            <rFont val="MS P ゴシック"/>
            <family val="3"/>
            <charset val="128"/>
          </rPr>
          <t>隝田　髙田　矢野　加藤凌</t>
        </r>
      </text>
    </comment>
    <comment ref="D17" authorId="0" shapeId="0" xr:uid="{449E9900-2CA0-4D1C-80C8-5E1DD9C7AF3E}">
      <text>
        <r>
          <rPr>
            <b/>
            <sz val="9"/>
            <color indexed="81"/>
            <rFont val="MS P ゴシック"/>
            <family val="3"/>
            <charset val="128"/>
          </rPr>
          <t>隝田　髙田　加藤凌　矢野</t>
        </r>
      </text>
    </comment>
    <comment ref="E17" authorId="0" shapeId="0" xr:uid="{32635A33-C3FE-44DA-8CBC-89B2F5A05EEC}">
      <text>
        <r>
          <rPr>
            <b/>
            <sz val="9"/>
            <color indexed="81"/>
            <rFont val="MS P ゴシック"/>
            <family val="3"/>
            <charset val="128"/>
          </rPr>
          <t>楮本　幅下　加藤凌</t>
        </r>
      </text>
    </comment>
    <comment ref="J17" authorId="0" shapeId="0" xr:uid="{38A3BB42-6982-4B89-B2CE-47F3FEE88F00}">
      <text>
        <r>
          <rPr>
            <sz val="9"/>
            <color indexed="81"/>
            <rFont val="MS P ゴシック"/>
            <family val="3"/>
            <charset val="128"/>
          </rPr>
          <t>斉藤　髙田　今井　</t>
        </r>
      </text>
    </comment>
    <comment ref="K17" authorId="0" shapeId="0" xr:uid="{61F5FA1C-3A25-47AF-972B-C4F1432D6E0B}">
      <text>
        <r>
          <rPr>
            <b/>
            <sz val="9"/>
            <color indexed="81"/>
            <rFont val="MS P ゴシック"/>
            <family val="3"/>
            <charset val="128"/>
          </rPr>
          <t>斉藤　幅下　</t>
        </r>
      </text>
    </comment>
    <comment ref="N17" authorId="0" shapeId="0" xr:uid="{B5DAAC8E-BE05-4A14-82A2-D91932233ECA}">
      <text>
        <r>
          <rPr>
            <b/>
            <sz val="9"/>
            <color indexed="81"/>
            <rFont val="MS P ゴシック"/>
            <family val="3"/>
            <charset val="128"/>
          </rPr>
          <t>木村　矢野</t>
        </r>
      </text>
    </comment>
    <comment ref="B24" authorId="0" shapeId="0" xr:uid="{88452734-7AB5-483F-8C1C-A53BAF5E8BDF}">
      <text>
        <r>
          <rPr>
            <sz val="9"/>
            <color indexed="81"/>
            <rFont val="MS P ゴシック"/>
            <family val="3"/>
            <charset val="128"/>
          </rPr>
          <t>木村　斉藤　矢野</t>
        </r>
      </text>
    </comment>
    <comment ref="C24" authorId="0" shapeId="0" xr:uid="{387AF8E0-6547-4825-9D64-1E848A050C17}">
      <text>
        <r>
          <rPr>
            <sz val="9"/>
            <color indexed="81"/>
            <rFont val="MS P ゴシック"/>
            <family val="3"/>
            <charset val="128"/>
          </rPr>
          <t>斉藤　矢野</t>
        </r>
      </text>
    </comment>
    <comment ref="D24" authorId="0" shapeId="0" xr:uid="{37941CF2-7D06-4101-BF63-F24359512CEB}">
      <text>
        <r>
          <rPr>
            <b/>
            <sz val="9"/>
            <color indexed="81"/>
            <rFont val="MS P ゴシック"/>
            <family val="3"/>
            <charset val="128"/>
          </rPr>
          <t>高橋拓　木村　幅下</t>
        </r>
      </text>
    </comment>
    <comment ref="I24" authorId="0" shapeId="0" xr:uid="{AE96F440-EAAC-4EDA-9F06-8D4AA35A0F28}">
      <text>
        <r>
          <rPr>
            <b/>
            <sz val="9"/>
            <color indexed="81"/>
            <rFont val="MS P ゴシック"/>
            <family val="3"/>
            <charset val="128"/>
          </rPr>
          <t>木村　高橋拓　加藤貴　</t>
        </r>
      </text>
    </comment>
    <comment ref="J24" authorId="0" shapeId="0" xr:uid="{B6F5E5A9-9F48-4C89-B518-841DBB82FC92}">
      <text>
        <r>
          <rPr>
            <b/>
            <sz val="9"/>
            <color indexed="81"/>
            <rFont val="MS P ゴシック"/>
            <family val="3"/>
            <charset val="128"/>
          </rPr>
          <t xml:space="preserve">高橋拓　加藤貴　幅下
</t>
        </r>
      </text>
    </comment>
    <comment ref="K24" authorId="0" shapeId="0" xr:uid="{9BC88F3A-7930-451F-9552-1C27544FF307}">
      <text>
        <r>
          <rPr>
            <b/>
            <sz val="9"/>
            <color indexed="81"/>
            <rFont val="MS P ゴシック"/>
            <family val="3"/>
            <charset val="128"/>
          </rPr>
          <t>木村　幅下　</t>
        </r>
      </text>
    </comment>
    <comment ref="P24" authorId="0" shapeId="0" xr:uid="{23E0C783-83FA-4CFB-8042-C96D125FBA66}">
      <text>
        <r>
          <rPr>
            <b/>
            <sz val="9"/>
            <color indexed="81"/>
            <rFont val="MS P ゴシック"/>
            <family val="3"/>
            <charset val="128"/>
          </rPr>
          <t>木村　</t>
        </r>
      </text>
    </comment>
    <comment ref="Q24" authorId="0" shapeId="0" xr:uid="{947A688E-BB93-46D0-8D6E-A0986D114CEE}">
      <text>
        <r>
          <rPr>
            <b/>
            <sz val="9"/>
            <color indexed="81"/>
            <rFont val="MS P ゴシック"/>
            <family val="3"/>
            <charset val="128"/>
          </rPr>
          <t>木村　幅下</t>
        </r>
      </text>
    </comment>
    <comment ref="R24" authorId="0" shapeId="0" xr:uid="{A0BD9612-47AB-4615-AE99-A41BACAF94C2}">
      <text>
        <r>
          <rPr>
            <b/>
            <sz val="9"/>
            <color indexed="81"/>
            <rFont val="MS P ゴシック"/>
            <family val="3"/>
            <charset val="128"/>
          </rPr>
          <t>矢野　木村</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seizo35</author>
    <author>SEIZOU-37</author>
  </authors>
  <commentList>
    <comment ref="D2" authorId="0" shapeId="0" xr:uid="{6371E73C-E1DA-46C3-B28C-F05852857DB3}">
      <text>
        <r>
          <rPr>
            <b/>
            <sz val="9"/>
            <color indexed="81"/>
            <rFont val="MS P ゴシック"/>
            <family val="3"/>
            <charset val="128"/>
          </rPr>
          <t>新井翔　髙田　高橋拓</t>
        </r>
      </text>
    </comment>
    <comment ref="E2" authorId="0" shapeId="0" xr:uid="{65BB4BD0-BD55-48BE-AB03-447E79C08BF4}">
      <text>
        <r>
          <rPr>
            <b/>
            <sz val="9"/>
            <color indexed="81"/>
            <rFont val="MS P ゴシック"/>
            <family val="3"/>
            <charset val="128"/>
          </rPr>
          <t xml:space="preserve">高橋拓
</t>
        </r>
      </text>
    </comment>
    <comment ref="F2" authorId="0" shapeId="0" xr:uid="{F903BA7A-E378-4F9E-8CF3-3F7215977A3A}">
      <text>
        <r>
          <rPr>
            <b/>
            <sz val="9"/>
            <color indexed="81"/>
            <rFont val="MS P ゴシック"/>
            <family val="3"/>
            <charset val="128"/>
          </rPr>
          <t>矢野</t>
        </r>
      </text>
    </comment>
    <comment ref="K2" authorId="0" shapeId="0" xr:uid="{0A69AB60-1719-4CE2-B61F-AAEEA4847BA6}">
      <text>
        <r>
          <rPr>
            <b/>
            <sz val="9"/>
            <color indexed="81"/>
            <rFont val="MS P ゴシック"/>
            <family val="3"/>
            <charset val="128"/>
          </rPr>
          <t>新井翔　矢野</t>
        </r>
      </text>
    </comment>
    <comment ref="L2" authorId="0" shapeId="0" xr:uid="{F9C1FD13-50DF-4D44-B523-C1456CBF4431}">
      <text>
        <r>
          <rPr>
            <b/>
            <sz val="9"/>
            <color indexed="81"/>
            <rFont val="MS P ゴシック"/>
            <family val="3"/>
            <charset val="128"/>
          </rPr>
          <t>髙田　矢野</t>
        </r>
      </text>
    </comment>
    <comment ref="B9" authorId="0" shapeId="0" xr:uid="{5A315F77-6857-4FEF-8194-1F632B53EDAE}">
      <text>
        <r>
          <rPr>
            <b/>
            <sz val="9"/>
            <color indexed="81"/>
            <rFont val="MS P ゴシック"/>
            <family val="3"/>
            <charset val="128"/>
          </rPr>
          <t>今井　</t>
        </r>
      </text>
    </comment>
    <comment ref="C9" authorId="0" shapeId="0" xr:uid="{396E666B-12EF-4155-8B17-094964047F12}">
      <text>
        <r>
          <rPr>
            <b/>
            <sz val="9"/>
            <color indexed="81"/>
            <rFont val="MS P ゴシック"/>
            <family val="3"/>
            <charset val="128"/>
          </rPr>
          <t>今井</t>
        </r>
      </text>
    </comment>
    <comment ref="D9" authorId="0" shapeId="0" xr:uid="{FBE41B95-1B4F-4E48-B4DE-0FD9738C4B0E}">
      <text>
        <r>
          <rPr>
            <b/>
            <sz val="9"/>
            <color indexed="81"/>
            <rFont val="MS P ゴシック"/>
            <family val="3"/>
            <charset val="128"/>
          </rPr>
          <t>新井洋</t>
        </r>
      </text>
    </comment>
    <comment ref="I9" authorId="0" shapeId="0" xr:uid="{907E57BE-7CB9-434E-898A-1B7DC5AA5D9E}">
      <text>
        <r>
          <rPr>
            <b/>
            <sz val="9"/>
            <color indexed="81"/>
            <rFont val="MS P ゴシック"/>
            <family val="3"/>
            <charset val="128"/>
          </rPr>
          <t>新井洋　斉藤　今井
新井翔　近藤</t>
        </r>
      </text>
    </comment>
    <comment ref="J9" authorId="0" shapeId="0" xr:uid="{1485E156-E09D-41A3-B6B0-F49C927AEADD}">
      <text>
        <r>
          <rPr>
            <b/>
            <sz val="9"/>
            <color indexed="81"/>
            <rFont val="MS P ゴシック"/>
            <family val="3"/>
            <charset val="128"/>
          </rPr>
          <t>斉藤　新井洋　今井
新井翔　近藤</t>
        </r>
      </text>
    </comment>
    <comment ref="K9" authorId="0" shapeId="0" xr:uid="{DAD26D6E-3E9C-48E3-8FF2-DDFD0441D79F}">
      <text>
        <r>
          <rPr>
            <b/>
            <sz val="9"/>
            <color indexed="81"/>
            <rFont val="MS P ゴシック"/>
            <family val="3"/>
            <charset val="128"/>
          </rPr>
          <t xml:space="preserve">木村
</t>
        </r>
      </text>
    </comment>
    <comment ref="P9" authorId="0" shapeId="0" xr:uid="{7310D234-6143-4165-BD01-0AC5DDD1B854}">
      <text>
        <r>
          <rPr>
            <b/>
            <sz val="9"/>
            <color indexed="81"/>
            <rFont val="MS P ゴシック"/>
            <family val="3"/>
            <charset val="128"/>
          </rPr>
          <t>木村　新井翔</t>
        </r>
      </text>
    </comment>
    <comment ref="B17" authorId="0" shapeId="0" xr:uid="{8692AEB4-BD77-4454-A217-C1BD53B18262}">
      <text>
        <r>
          <rPr>
            <b/>
            <sz val="9"/>
            <color indexed="81"/>
            <rFont val="MS P ゴシック"/>
            <family val="3"/>
            <charset val="128"/>
          </rPr>
          <t>木村　新井翔　
近藤</t>
        </r>
      </text>
    </comment>
    <comment ref="C17" authorId="0" shapeId="0" xr:uid="{386D5D95-E1DC-403D-B037-E1BC07B298B4}">
      <text>
        <r>
          <rPr>
            <b/>
            <sz val="9"/>
            <color indexed="81"/>
            <rFont val="MS P ゴシック"/>
            <family val="3"/>
            <charset val="128"/>
          </rPr>
          <t>高橋拓　矢野</t>
        </r>
      </text>
    </comment>
    <comment ref="H17" authorId="0" shapeId="0" xr:uid="{E162761B-DA76-4D6A-AA04-6FBA5F83F06F}">
      <text>
        <r>
          <rPr>
            <b/>
            <sz val="9"/>
            <color indexed="81"/>
            <rFont val="MS P ゴシック"/>
            <family val="3"/>
            <charset val="128"/>
          </rPr>
          <t>斉藤　矢野</t>
        </r>
      </text>
    </comment>
    <comment ref="I17" authorId="0" shapeId="0" xr:uid="{2330FF54-4BB8-4816-9647-A89FEE21A277}">
      <text>
        <r>
          <rPr>
            <b/>
            <sz val="9"/>
            <color indexed="81"/>
            <rFont val="MS P ゴシック"/>
            <family val="3"/>
            <charset val="128"/>
          </rPr>
          <t>今井　斉藤
近藤　矢野　髙田</t>
        </r>
      </text>
    </comment>
    <comment ref="Q17" authorId="0" shapeId="0" xr:uid="{4CA78F9C-4A26-44F1-A1C8-63C51DD66911}">
      <text>
        <r>
          <rPr>
            <b/>
            <sz val="9"/>
            <color indexed="81"/>
            <rFont val="MS P ゴシック"/>
            <family val="3"/>
            <charset val="128"/>
          </rPr>
          <t>近藤</t>
        </r>
      </text>
    </comment>
    <comment ref="B24" authorId="0" shapeId="0" xr:uid="{8BEF0DCC-2872-48FD-97B2-A0C8269DED2E}">
      <text>
        <r>
          <rPr>
            <b/>
            <sz val="9"/>
            <color indexed="81"/>
            <rFont val="MS P ゴシック"/>
            <family val="3"/>
            <charset val="128"/>
          </rPr>
          <t>新井洋</t>
        </r>
      </text>
    </comment>
    <comment ref="G24" authorId="0" shapeId="0" xr:uid="{07F7CC07-56BA-440E-8C32-C999C2D78A5E}">
      <text>
        <r>
          <rPr>
            <b/>
            <sz val="9"/>
            <color indexed="81"/>
            <rFont val="MS P ゴシック"/>
            <family val="3"/>
            <charset val="128"/>
          </rPr>
          <t>今井　高橋良　</t>
        </r>
      </text>
    </comment>
    <comment ref="H24" authorId="0" shapeId="0" xr:uid="{42D5EF9F-478C-4AF8-A51B-F30348A07C22}">
      <text>
        <r>
          <rPr>
            <b/>
            <sz val="9"/>
            <color indexed="81"/>
            <rFont val="MS P ゴシック"/>
            <family val="3"/>
            <charset val="128"/>
          </rPr>
          <t>今井　高橋良</t>
        </r>
      </text>
    </comment>
    <comment ref="I24" authorId="0" shapeId="0" xr:uid="{A5B669A1-733A-419F-870A-5676A514239A}">
      <text>
        <r>
          <rPr>
            <b/>
            <sz val="9"/>
            <color indexed="81"/>
            <rFont val="MS P ゴシック"/>
            <family val="3"/>
            <charset val="128"/>
          </rPr>
          <t>新井洋　幅下</t>
        </r>
      </text>
    </comment>
    <comment ref="O24" authorId="1" shapeId="0" xr:uid="{8EB6B5A9-DB3D-452F-B07B-05E95F074E54}">
      <text>
        <r>
          <rPr>
            <b/>
            <sz val="9"/>
            <color indexed="81"/>
            <rFont val="MS P ゴシック"/>
            <family val="3"/>
            <charset val="128"/>
          </rPr>
          <t>幅下</t>
        </r>
      </text>
    </comment>
    <comment ref="P24" authorId="0" shapeId="0" xr:uid="{F7BB5D81-BB0D-4C5C-A8F5-D1C9C535A734}">
      <text>
        <r>
          <rPr>
            <b/>
            <sz val="9"/>
            <color indexed="81"/>
            <rFont val="MS P ゴシック"/>
            <family val="3"/>
            <charset val="128"/>
          </rPr>
          <t>矢野　幅下</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seizo35</author>
  </authors>
  <commentList>
    <comment ref="B2" authorId="0" shapeId="0" xr:uid="{D4063ACE-6C9F-42BD-B8E8-804B70A7B4E3}">
      <text>
        <r>
          <rPr>
            <b/>
            <sz val="9"/>
            <color indexed="81"/>
            <rFont val="MS P ゴシック"/>
            <family val="3"/>
            <charset val="128"/>
          </rPr>
          <t>加藤貴　宮本　斉藤
高橋良　近藤</t>
        </r>
      </text>
    </comment>
    <comment ref="C2" authorId="0" shapeId="0" xr:uid="{26205059-3C91-44CC-9BF7-5F84DE71BBE0}">
      <text>
        <r>
          <rPr>
            <b/>
            <sz val="9"/>
            <color indexed="81"/>
            <rFont val="MS P ゴシック"/>
            <family val="3"/>
            <charset val="128"/>
          </rPr>
          <t>宮本　加藤貴　髙田　近藤</t>
        </r>
      </text>
    </comment>
    <comment ref="H2" authorId="0" shapeId="0" xr:uid="{46AA2130-F303-41E4-BA43-C34ADF2FD19B}">
      <text>
        <r>
          <rPr>
            <b/>
            <sz val="9"/>
            <color indexed="81"/>
            <rFont val="MS P ゴシック"/>
            <family val="3"/>
            <charset val="128"/>
          </rPr>
          <t>高橋拓　矢野</t>
        </r>
      </text>
    </comment>
    <comment ref="I2" authorId="0" shapeId="0" xr:uid="{42272774-DF88-4147-881B-BF9A8DA20D0C}">
      <text>
        <r>
          <rPr>
            <b/>
            <sz val="9"/>
            <color indexed="81"/>
            <rFont val="MS P ゴシック"/>
            <family val="3"/>
            <charset val="128"/>
          </rPr>
          <t>斉藤　加藤貴　矢野</t>
        </r>
      </text>
    </comment>
    <comment ref="J2" authorId="0" shapeId="0" xr:uid="{2DECEB38-7FF3-4746-8A6E-A9EA6C675630}">
      <text>
        <r>
          <rPr>
            <b/>
            <sz val="9"/>
            <color indexed="81"/>
            <rFont val="MS P ゴシック"/>
            <family val="3"/>
            <charset val="128"/>
          </rPr>
          <t>髙田　高橋良　
加藤貴　矢野</t>
        </r>
      </text>
    </comment>
    <comment ref="R2" authorId="0" shapeId="0" xr:uid="{5DA0F47C-9E5E-448D-B61D-14F5C49831B6}">
      <text>
        <r>
          <rPr>
            <b/>
            <sz val="9"/>
            <color indexed="81"/>
            <rFont val="MS P ゴシック"/>
            <family val="3"/>
            <charset val="128"/>
          </rPr>
          <t>斉藤</t>
        </r>
      </text>
    </comment>
    <comment ref="B9" authorId="0" shapeId="0" xr:uid="{889736D9-6DC2-4146-AD34-C923C41BB0B3}">
      <text>
        <r>
          <rPr>
            <b/>
            <sz val="9"/>
            <color indexed="81"/>
            <rFont val="MS P ゴシック"/>
            <family val="3"/>
            <charset val="128"/>
          </rPr>
          <t>高橋良</t>
        </r>
      </text>
    </comment>
    <comment ref="G9" authorId="0" shapeId="0" xr:uid="{B5C44111-F786-497C-B3AD-8BDEE2C37511}">
      <text>
        <r>
          <rPr>
            <b/>
            <sz val="9"/>
            <color indexed="81"/>
            <rFont val="MS P ゴシック"/>
            <family val="3"/>
            <charset val="128"/>
          </rPr>
          <t>木村</t>
        </r>
      </text>
    </comment>
    <comment ref="H9" authorId="0" shapeId="0" xr:uid="{DD407CFA-F382-4BBD-BD9C-704352B5D5D9}">
      <text>
        <r>
          <rPr>
            <b/>
            <sz val="9"/>
            <color indexed="81"/>
            <rFont val="MS P ゴシック"/>
            <family val="3"/>
            <charset val="128"/>
          </rPr>
          <t>木村　勅使河原</t>
        </r>
      </text>
    </comment>
    <comment ref="I9" authorId="0" shapeId="0" xr:uid="{4C7B81B2-AB2E-4037-903A-62EC3AFA5D16}">
      <text>
        <r>
          <rPr>
            <b/>
            <sz val="9"/>
            <color indexed="81"/>
            <rFont val="MS P ゴシック"/>
            <family val="3"/>
            <charset val="128"/>
          </rPr>
          <t>高橋良　勅使河原</t>
        </r>
      </text>
    </comment>
    <comment ref="J9" authorId="0" shapeId="0" xr:uid="{45DB6D01-3FF8-44BB-969A-033C71E3FD22}">
      <text>
        <r>
          <rPr>
            <b/>
            <sz val="9"/>
            <color indexed="81"/>
            <rFont val="MS P ゴシック"/>
            <family val="3"/>
            <charset val="128"/>
          </rPr>
          <t>高橋拓　大関　幅下</t>
        </r>
      </text>
    </comment>
    <comment ref="N9" authorId="0" shapeId="0" xr:uid="{A3FB1E7F-BD88-4CE0-BF36-196FF7309410}">
      <text>
        <r>
          <rPr>
            <b/>
            <sz val="9"/>
            <color indexed="81"/>
            <rFont val="MS P ゴシック"/>
            <family val="3"/>
            <charset val="128"/>
          </rPr>
          <t>高橋拓</t>
        </r>
      </text>
    </comment>
    <comment ref="O9" authorId="0" shapeId="0" xr:uid="{EB7F4EAD-8C1B-4576-8EEE-A804A2388BBC}">
      <text>
        <r>
          <rPr>
            <b/>
            <sz val="9"/>
            <color indexed="81"/>
            <rFont val="MS P ゴシック"/>
            <family val="3"/>
            <charset val="128"/>
          </rPr>
          <t>髙田　高橋拓　幅下</t>
        </r>
      </text>
    </comment>
    <comment ref="P9" authorId="0" shapeId="0" xr:uid="{9F10C30F-50C7-4452-AD1F-4ED216DB5677}">
      <text>
        <r>
          <rPr>
            <b/>
            <sz val="9"/>
            <color indexed="81"/>
            <rFont val="MS P ゴシック"/>
            <family val="3"/>
            <charset val="128"/>
          </rPr>
          <t>髙田　近藤　高橋拓　高橋良　幅下</t>
        </r>
      </text>
    </comment>
    <comment ref="B17" authorId="0" shapeId="0" xr:uid="{741751FA-7B7F-487E-8689-8E088FD9F3E2}">
      <text>
        <r>
          <rPr>
            <b/>
            <sz val="9"/>
            <color indexed="81"/>
            <rFont val="MS P ゴシック"/>
            <family val="3"/>
            <charset val="128"/>
          </rPr>
          <t>楮本</t>
        </r>
      </text>
    </comment>
    <comment ref="F17" authorId="0" shapeId="0" xr:uid="{FEC20316-39AE-4713-8309-3889055DABA4}">
      <text>
        <r>
          <rPr>
            <b/>
            <sz val="9"/>
            <color indexed="81"/>
            <rFont val="MS P ゴシック"/>
            <family val="3"/>
            <charset val="128"/>
          </rPr>
          <t>楮本　矢野</t>
        </r>
      </text>
    </comment>
    <comment ref="G17" authorId="0" shapeId="0" xr:uid="{CB3819CC-DEDF-4E06-A823-129EB4D8700D}">
      <text>
        <r>
          <rPr>
            <b/>
            <sz val="9"/>
            <color indexed="81"/>
            <rFont val="MS P ゴシック"/>
            <family val="3"/>
            <charset val="128"/>
          </rPr>
          <t>楮本　今井　加藤貴　矢野</t>
        </r>
      </text>
    </comment>
    <comment ref="H17" authorId="0" shapeId="0" xr:uid="{B6A6A7DA-0D28-40AE-930F-C5DCC7318565}">
      <text>
        <r>
          <rPr>
            <b/>
            <sz val="9"/>
            <color indexed="81"/>
            <rFont val="MS P ゴシック"/>
            <family val="3"/>
            <charset val="128"/>
          </rPr>
          <t>楮本　今井　加藤貴　矢野</t>
        </r>
      </text>
    </comment>
    <comment ref="O17" authorId="0" shapeId="0" xr:uid="{FA960594-D225-4310-859F-C935665595A8}">
      <text>
        <r>
          <rPr>
            <b/>
            <sz val="9"/>
            <color indexed="81"/>
            <rFont val="MS P ゴシック"/>
            <family val="3"/>
            <charset val="128"/>
          </rPr>
          <t>高橋拓　加藤貴</t>
        </r>
      </text>
    </comment>
    <comment ref="P17" authorId="0" shapeId="0" xr:uid="{A089F1F1-AC51-4F79-8B68-3301A55A87F2}">
      <text>
        <r>
          <rPr>
            <b/>
            <sz val="9"/>
            <color indexed="81"/>
            <rFont val="MS P ゴシック"/>
            <family val="3"/>
            <charset val="128"/>
          </rPr>
          <t>高橋拓　加藤貴</t>
        </r>
      </text>
    </comment>
    <comment ref="D24" authorId="0" shapeId="0" xr:uid="{422EC8A9-7406-4E31-B543-FA0D56AF65FD}">
      <text>
        <r>
          <rPr>
            <b/>
            <sz val="9"/>
            <color indexed="81"/>
            <rFont val="MS P ゴシック"/>
            <family val="3"/>
            <charset val="128"/>
          </rPr>
          <t>高橋拓</t>
        </r>
      </text>
    </comment>
    <comment ref="G24" authorId="0" shapeId="0" xr:uid="{CA3F6D4C-28A2-4C60-84E7-8A982742F17B}">
      <text>
        <r>
          <rPr>
            <sz val="9"/>
            <color indexed="81"/>
            <rFont val="MS P ゴシック"/>
            <family val="3"/>
            <charset val="128"/>
          </rPr>
          <t>矢野</t>
        </r>
      </text>
    </comment>
    <comment ref="D28" authorId="0" shapeId="0" xr:uid="{BB603903-AB4E-4DE3-94AA-40DA8BB19B72}">
      <text>
        <r>
          <rPr>
            <b/>
            <sz val="9"/>
            <color indexed="81"/>
            <rFont val="MS P ゴシック"/>
            <family val="3"/>
            <charset val="128"/>
          </rPr>
          <t>6/7、6/18を休暇とする</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seizo35</author>
    <author>SEIZOU-37</author>
  </authors>
  <commentList>
    <comment ref="F2" authorId="0" shapeId="0" xr:uid="{7844850E-8605-4F11-BEAD-8F5B1C162D48}">
      <text>
        <r>
          <rPr>
            <b/>
            <sz val="9"/>
            <color indexed="81"/>
            <rFont val="MS P ゴシック"/>
            <family val="3"/>
            <charset val="128"/>
          </rPr>
          <t>木村　</t>
        </r>
      </text>
    </comment>
    <comment ref="G2" authorId="0" shapeId="0" xr:uid="{86DADEE8-4D3F-4227-8E7D-9A38B5783762}">
      <text>
        <r>
          <rPr>
            <b/>
            <sz val="9"/>
            <color indexed="81"/>
            <rFont val="MS P ゴシック"/>
            <family val="3"/>
            <charset val="128"/>
          </rPr>
          <t>木村　近藤</t>
        </r>
      </text>
    </comment>
    <comment ref="H2" authorId="0" shapeId="0" xr:uid="{83C5AEB8-D248-4418-8638-34F851ACC7E3}">
      <text>
        <r>
          <rPr>
            <b/>
            <sz val="9"/>
            <color indexed="81"/>
            <rFont val="MS P ゴシック"/>
            <family val="3"/>
            <charset val="128"/>
          </rPr>
          <t xml:space="preserve">木村　　幅下
</t>
        </r>
      </text>
    </comment>
    <comment ref="I2" authorId="0" shapeId="0" xr:uid="{348C32F0-22B4-4252-BE2E-651BDC15AA5B}">
      <text>
        <r>
          <rPr>
            <b/>
            <sz val="9"/>
            <color indexed="81"/>
            <rFont val="MS P ゴシック"/>
            <family val="3"/>
            <charset val="128"/>
          </rPr>
          <t>加藤凌</t>
        </r>
      </text>
    </comment>
    <comment ref="C9" authorId="0" shapeId="0" xr:uid="{852AC979-8F59-415D-BE7A-BB21FEE8ECE9}">
      <text>
        <r>
          <rPr>
            <b/>
            <sz val="9"/>
            <color indexed="81"/>
            <rFont val="MS P ゴシック"/>
            <family val="3"/>
            <charset val="128"/>
          </rPr>
          <t>加藤凌　矢野　幅下</t>
        </r>
      </text>
    </comment>
    <comment ref="E9" authorId="0" shapeId="0" xr:uid="{D5D3DC9B-7E7C-41A8-8A9A-DC87E403C6B6}">
      <text>
        <r>
          <rPr>
            <b/>
            <sz val="9"/>
            <color indexed="81"/>
            <rFont val="MS P ゴシック"/>
            <family val="3"/>
            <charset val="128"/>
          </rPr>
          <t>矢野　加藤凌　木村</t>
        </r>
      </text>
    </comment>
    <comment ref="F9" authorId="0" shapeId="0" xr:uid="{AD5F1D2C-8F05-4040-8C80-565FAAFF3953}">
      <text>
        <r>
          <rPr>
            <b/>
            <sz val="9"/>
            <color indexed="81"/>
            <rFont val="MS P ゴシック"/>
            <family val="3"/>
            <charset val="128"/>
          </rPr>
          <t>木村　加藤凌　矢野</t>
        </r>
      </text>
    </comment>
    <comment ref="G9" authorId="0" shapeId="0" xr:uid="{8E908561-0B81-4593-950C-138F6175AC75}">
      <text>
        <r>
          <rPr>
            <b/>
            <sz val="9"/>
            <color indexed="81"/>
            <rFont val="MS P ゴシック"/>
            <family val="3"/>
            <charset val="128"/>
          </rPr>
          <t>近藤　加藤凌　矢野　幅下</t>
        </r>
      </text>
    </comment>
    <comment ref="H9" authorId="1" shapeId="0" xr:uid="{C1ED457E-905B-4903-A1EA-E3941B6EAB74}">
      <text>
        <r>
          <rPr>
            <b/>
            <sz val="9"/>
            <color indexed="81"/>
            <rFont val="MS P ゴシック"/>
            <family val="3"/>
            <charset val="128"/>
          </rPr>
          <t>幅下</t>
        </r>
      </text>
    </comment>
    <comment ref="L9" authorId="0" shapeId="0" xr:uid="{431C57D2-63AE-4326-A3A9-3C448D0DE118}">
      <text>
        <r>
          <rPr>
            <b/>
            <sz val="9"/>
            <color indexed="81"/>
            <rFont val="MS P ゴシック"/>
            <family val="3"/>
            <charset val="128"/>
          </rPr>
          <t>木村</t>
        </r>
      </text>
    </comment>
    <comment ref="M9" authorId="0" shapeId="0" xr:uid="{EE19B9DC-1CA2-415D-895C-40934CE61C10}">
      <text>
        <r>
          <rPr>
            <b/>
            <sz val="9"/>
            <color indexed="81"/>
            <rFont val="MS P ゴシック"/>
            <family val="3"/>
            <charset val="128"/>
          </rPr>
          <t>木村　斉藤</t>
        </r>
      </text>
    </comment>
    <comment ref="N9" authorId="0" shapeId="0" xr:uid="{E2B4CC68-1A1D-4A5E-AB76-6D8EBF077320}">
      <text>
        <r>
          <rPr>
            <b/>
            <sz val="9"/>
            <color indexed="81"/>
            <rFont val="MS P ゴシック"/>
            <family val="3"/>
            <charset val="128"/>
          </rPr>
          <t>斉藤　幅下</t>
        </r>
      </text>
    </comment>
    <comment ref="G17" authorId="1" shapeId="0" xr:uid="{5B517E36-3FE1-4CE8-8572-D211AA67DC86}">
      <text>
        <r>
          <rPr>
            <b/>
            <sz val="9"/>
            <color indexed="81"/>
            <rFont val="MS P ゴシック"/>
            <family val="3"/>
            <charset val="128"/>
          </rPr>
          <t>大関</t>
        </r>
      </text>
    </comment>
    <comment ref="K17" authorId="0" shapeId="0" xr:uid="{A77F549C-B4B9-4961-9321-5BE163B08B67}">
      <text>
        <r>
          <rPr>
            <b/>
            <sz val="9"/>
            <color indexed="81"/>
            <rFont val="MS P ゴシック"/>
            <family val="3"/>
            <charset val="128"/>
          </rPr>
          <t>矢野</t>
        </r>
      </text>
    </comment>
    <comment ref="L17" authorId="0" shapeId="0" xr:uid="{E69A6DB2-D513-42B6-969D-048AB3D92BE3}">
      <text>
        <r>
          <rPr>
            <b/>
            <sz val="9"/>
            <color indexed="81"/>
            <rFont val="MS P ゴシック"/>
            <family val="3"/>
            <charset val="128"/>
          </rPr>
          <t>矢野　髙田　大関</t>
        </r>
      </text>
    </comment>
    <comment ref="N17" authorId="0" shapeId="0" xr:uid="{5B6EDB32-65DD-4E42-8654-6B6B1A85930F}">
      <text>
        <r>
          <rPr>
            <b/>
            <sz val="9"/>
            <color indexed="81"/>
            <rFont val="MS P ゴシック"/>
            <family val="3"/>
            <charset val="128"/>
          </rPr>
          <t>矢野　大関</t>
        </r>
      </text>
    </comment>
    <comment ref="O17" authorId="1" shapeId="0" xr:uid="{779A3341-19B0-4CA4-B3E8-A9C9E6D4F701}">
      <text>
        <r>
          <rPr>
            <b/>
            <sz val="9"/>
            <color indexed="81"/>
            <rFont val="MS P ゴシック"/>
            <family val="3"/>
            <charset val="128"/>
          </rPr>
          <t>大関</t>
        </r>
      </text>
    </comment>
    <comment ref="B24" authorId="0" shapeId="0" xr:uid="{B7C2010E-BCD7-470E-90EA-106D6ED2965D}">
      <text>
        <r>
          <rPr>
            <b/>
            <sz val="9"/>
            <color indexed="81"/>
            <rFont val="MS P ゴシック"/>
            <family val="3"/>
            <charset val="128"/>
          </rPr>
          <t>宮本</t>
        </r>
      </text>
    </comment>
    <comment ref="C24" authorId="0" shapeId="0" xr:uid="{D5C3D480-551F-4556-A209-78DD1FD37939}">
      <text>
        <r>
          <rPr>
            <b/>
            <sz val="9"/>
            <color indexed="81"/>
            <rFont val="MS P ゴシック"/>
            <family val="3"/>
            <charset val="128"/>
          </rPr>
          <t>宮本　大関</t>
        </r>
      </text>
    </comment>
    <comment ref="D24" authorId="0" shapeId="0" xr:uid="{0DAE4220-A95A-4C6D-80B8-689C651683F2}">
      <text>
        <r>
          <rPr>
            <b/>
            <sz val="9"/>
            <color indexed="81"/>
            <rFont val="MS P ゴシック"/>
            <family val="3"/>
            <charset val="128"/>
          </rPr>
          <t>宮本　大関</t>
        </r>
      </text>
    </comment>
    <comment ref="J24" authorId="0" shapeId="0" xr:uid="{AFFC424A-1D57-4AFC-B842-D65D7AD4FB29}">
      <text>
        <r>
          <rPr>
            <b/>
            <sz val="9"/>
            <color indexed="81"/>
            <rFont val="MS P ゴシック"/>
            <family val="3"/>
            <charset val="128"/>
          </rPr>
          <t>髙田</t>
        </r>
      </text>
    </comment>
    <comment ref="K24" authorId="0" shapeId="0" xr:uid="{475C7FDC-E315-4A4F-9ECC-8A1E40BEEF4A}">
      <text>
        <r>
          <rPr>
            <b/>
            <sz val="9"/>
            <color indexed="81"/>
            <rFont val="MS P ゴシック"/>
            <family val="3"/>
            <charset val="128"/>
          </rPr>
          <t>髙田</t>
        </r>
      </text>
    </comment>
    <comment ref="L24" authorId="1" shapeId="0" xr:uid="{B7DC6133-CFF0-4470-A945-44B17B126941}">
      <text>
        <r>
          <rPr>
            <b/>
            <sz val="9"/>
            <color indexed="81"/>
            <rFont val="MS P ゴシック"/>
            <family val="3"/>
            <charset val="128"/>
          </rPr>
          <t>幅下</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SEIZOU-26</author>
  </authors>
  <commentList>
    <comment ref="B2" authorId="0" shapeId="0" xr:uid="{1E9F464F-E53F-4B30-B3D8-5E33498AB33D}">
      <text>
        <r>
          <rPr>
            <b/>
            <sz val="9"/>
            <color indexed="81"/>
            <rFont val="MS P ゴシック"/>
            <family val="3"/>
            <charset val="128"/>
          </rPr>
          <t>夜勤
木村、丸岡、矢野</t>
        </r>
      </text>
    </comment>
    <comment ref="C2" authorId="0" shapeId="0" xr:uid="{19622678-714C-40F7-90E6-A70272A288F1}">
      <text>
        <r>
          <rPr>
            <b/>
            <sz val="9"/>
            <color indexed="81"/>
            <rFont val="MS P ゴシック"/>
            <family val="3"/>
            <charset val="128"/>
          </rPr>
          <t>木村、丸岡、斎藤茂、髙田</t>
        </r>
      </text>
    </comment>
    <comment ref="D2" authorId="0" shapeId="0" xr:uid="{A1594066-4664-44D8-BCB3-4B85068DD515}">
      <text>
        <r>
          <rPr>
            <b/>
            <sz val="9"/>
            <color indexed="81"/>
            <rFont val="MS P ゴシック"/>
            <family val="3"/>
            <charset val="128"/>
          </rPr>
          <t>丸岡、斎藤茂、髙田</t>
        </r>
      </text>
    </comment>
    <comment ref="E2" authorId="0" shapeId="0" xr:uid="{FED27937-29A5-423F-9AA5-C5DAD67A985F}">
      <text>
        <r>
          <rPr>
            <b/>
            <sz val="9"/>
            <color indexed="81"/>
            <rFont val="MS P ゴシック"/>
            <family val="3"/>
            <charset val="128"/>
          </rPr>
          <t>夜勤
木村</t>
        </r>
      </text>
    </comment>
    <comment ref="N2" authorId="0" shapeId="0" xr:uid="{DBB833CD-72ED-44BD-95A9-D72F069A30AE}">
      <text>
        <r>
          <rPr>
            <b/>
            <sz val="9"/>
            <color indexed="81"/>
            <rFont val="MS P ゴシック"/>
            <family val="3"/>
            <charset val="128"/>
          </rPr>
          <t>大関</t>
        </r>
      </text>
    </comment>
    <comment ref="O2" authorId="0" shapeId="0" xr:uid="{6E9C97D6-6D8A-4A93-B87C-CA6AE9C1E13F}">
      <text>
        <r>
          <rPr>
            <b/>
            <sz val="9"/>
            <color indexed="81"/>
            <rFont val="MS P ゴシック"/>
            <family val="3"/>
            <charset val="128"/>
          </rPr>
          <t>大関</t>
        </r>
      </text>
    </comment>
    <comment ref="P2" authorId="0" shapeId="0" xr:uid="{A21E1B72-D7E8-4573-BE02-136C3A78C0EC}">
      <text>
        <r>
          <rPr>
            <b/>
            <sz val="9"/>
            <color indexed="81"/>
            <rFont val="MS P ゴシック"/>
            <family val="3"/>
            <charset val="128"/>
          </rPr>
          <t>夜勤
大関、小林直</t>
        </r>
      </text>
    </comment>
    <comment ref="D9" authorId="0" shapeId="0" xr:uid="{D9875645-D5B4-477E-A41A-DAC057B528DC}">
      <text>
        <r>
          <rPr>
            <sz val="9"/>
            <color indexed="81"/>
            <rFont val="MS P ゴシック"/>
            <family val="3"/>
            <charset val="128"/>
          </rPr>
          <t>加藤貴、小林直</t>
        </r>
      </text>
    </comment>
    <comment ref="E9" authorId="0" shapeId="0" xr:uid="{3AD95F49-8961-4C64-8AB3-B2A8CB4FD6B5}">
      <text>
        <r>
          <rPr>
            <b/>
            <sz val="9"/>
            <color indexed="81"/>
            <rFont val="MS P ゴシック"/>
            <family val="3"/>
            <charset val="128"/>
          </rPr>
          <t>高橋良、髙田、加藤貴、小林直</t>
        </r>
      </text>
    </comment>
    <comment ref="F9" authorId="0" shapeId="0" xr:uid="{319642AD-7D6C-4EAF-B4E0-AC398C5A0992}">
      <text>
        <r>
          <rPr>
            <b/>
            <sz val="9"/>
            <color indexed="81"/>
            <rFont val="MS P ゴシック"/>
            <family val="3"/>
            <charset val="128"/>
          </rPr>
          <t>夜勤
木村、大関、小林直</t>
        </r>
      </text>
    </comment>
    <comment ref="K9" authorId="0" shapeId="0" xr:uid="{7136F573-101C-4DFF-8034-97F6521223F6}">
      <text>
        <r>
          <rPr>
            <b/>
            <sz val="9"/>
            <color indexed="81"/>
            <rFont val="MS P ゴシック"/>
            <family val="3"/>
            <charset val="128"/>
          </rPr>
          <t>木村</t>
        </r>
      </text>
    </comment>
    <comment ref="L9" authorId="0" shapeId="0" xr:uid="{C50B969F-9585-4D54-BFF9-AA9CB35B89F7}">
      <text>
        <r>
          <rPr>
            <b/>
            <sz val="9"/>
            <color indexed="81"/>
            <rFont val="MS P ゴシック"/>
            <family val="3"/>
            <charset val="128"/>
          </rPr>
          <t>高橋良</t>
        </r>
      </text>
    </comment>
    <comment ref="O9" authorId="0" shapeId="0" xr:uid="{25D73B4C-06BD-4338-938D-3F2870AABFBE}">
      <text>
        <r>
          <rPr>
            <b/>
            <sz val="9"/>
            <color indexed="81"/>
            <rFont val="MS P ゴシック"/>
            <family val="3"/>
            <charset val="128"/>
          </rPr>
          <t>夜勤
高橋拓</t>
        </r>
      </text>
    </comment>
    <comment ref="D17" authorId="0" shapeId="0" xr:uid="{CF38601B-A379-4C6A-A1DC-F15F5DAA5CBC}">
      <text>
        <r>
          <rPr>
            <b/>
            <sz val="9"/>
            <color indexed="81"/>
            <rFont val="MS P ゴシック"/>
            <family val="3"/>
            <charset val="128"/>
          </rPr>
          <t>高橋良、近藤</t>
        </r>
      </text>
    </comment>
    <comment ref="E17" authorId="0" shapeId="0" xr:uid="{B7B25660-3DE9-4C8F-9F73-AAE508CEA350}">
      <text>
        <r>
          <rPr>
            <b/>
            <sz val="9"/>
            <color indexed="81"/>
            <rFont val="MS P ゴシック"/>
            <family val="3"/>
            <charset val="128"/>
          </rPr>
          <t>夜勤
木村</t>
        </r>
      </text>
    </comment>
    <comment ref="I17" authorId="0" shapeId="0" xr:uid="{7204470F-3F3F-4B2A-A292-1DBFA0C404DD}">
      <text>
        <r>
          <rPr>
            <b/>
            <sz val="9"/>
            <color indexed="81"/>
            <rFont val="MS P ゴシック"/>
            <family val="3"/>
            <charset val="128"/>
          </rPr>
          <t>夜勤
矢野</t>
        </r>
      </text>
    </comment>
    <comment ref="J17" authorId="0" shapeId="0" xr:uid="{033BD272-A235-4116-8DE8-43EDB58C4FCF}">
      <text>
        <r>
          <rPr>
            <b/>
            <sz val="9"/>
            <color indexed="81"/>
            <rFont val="MS P ゴシック"/>
            <family val="3"/>
            <charset val="128"/>
          </rPr>
          <t>木村、斎藤茂、近藤</t>
        </r>
      </text>
    </comment>
    <comment ref="K17" authorId="0" shapeId="0" xr:uid="{570E3401-B6F6-433C-87F8-D39C3585DB09}">
      <text>
        <r>
          <rPr>
            <b/>
            <sz val="9"/>
            <color indexed="81"/>
            <rFont val="MS P ゴシック"/>
            <family val="3"/>
            <charset val="128"/>
          </rPr>
          <t>斎藤茂、髙田</t>
        </r>
      </text>
    </comment>
    <comment ref="C24" authorId="0" shapeId="0" xr:uid="{A8B20208-8C4D-4797-A184-740B84E96343}">
      <text>
        <r>
          <rPr>
            <b/>
            <sz val="9"/>
            <color indexed="81"/>
            <rFont val="MS P ゴシック"/>
            <family val="3"/>
            <charset val="128"/>
          </rPr>
          <t xml:space="preserve">夜勤
木村
</t>
        </r>
      </text>
    </comment>
    <comment ref="E24" authorId="0" shapeId="0" xr:uid="{087C894F-08A3-48F4-90DE-CF82C924D851}">
      <text>
        <r>
          <rPr>
            <b/>
            <sz val="9"/>
            <color indexed="81"/>
            <rFont val="MS P ゴシック"/>
            <family val="3"/>
            <charset val="128"/>
          </rPr>
          <t>夜勤
高橋拓</t>
        </r>
      </text>
    </comment>
    <comment ref="N24" authorId="0" shapeId="0" xr:uid="{0E124847-6732-4F0C-B984-0E980DD551DA}">
      <text>
        <r>
          <rPr>
            <b/>
            <sz val="9"/>
            <color indexed="81"/>
            <rFont val="MS P ゴシック"/>
            <family val="3"/>
            <charset val="128"/>
          </rPr>
          <t xml:space="preserve">夜勤
矢野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SEIZOU-26</author>
  </authors>
  <commentList>
    <comment ref="D2" authorId="0" shapeId="0" xr:uid="{03B1378C-BCB1-4C5E-ABCD-F8559F5C1A52}">
      <text>
        <r>
          <rPr>
            <b/>
            <sz val="9"/>
            <color indexed="81"/>
            <rFont val="MS P ゴシック"/>
            <family val="3"/>
            <charset val="128"/>
          </rPr>
          <t>宮本、松田、新井洋、加藤凌</t>
        </r>
      </text>
    </comment>
    <comment ref="G9" authorId="0" shapeId="0" xr:uid="{A2149548-A38E-46C8-A9B9-A7552438D7D1}">
      <text>
        <r>
          <rPr>
            <b/>
            <sz val="9"/>
            <color indexed="81"/>
            <rFont val="MS P ゴシック"/>
            <family val="3"/>
            <charset val="128"/>
          </rPr>
          <t>近藤、大関、楮本、新井翔</t>
        </r>
      </text>
    </comment>
    <comment ref="H9" authorId="0" shapeId="0" xr:uid="{EC5B03FB-C845-4AE2-8010-E267F8E653CF}">
      <text>
        <r>
          <rPr>
            <sz val="9"/>
            <color indexed="81"/>
            <rFont val="MS P ゴシック"/>
            <family val="3"/>
            <charset val="128"/>
          </rPr>
          <t>近藤、大関、楮本、新井翔</t>
        </r>
      </text>
    </comment>
    <comment ref="P9" authorId="0" shapeId="0" xr:uid="{33C16949-2EBA-4DFD-B0BA-CFB138F57611}">
      <text>
        <r>
          <rPr>
            <b/>
            <sz val="9"/>
            <color indexed="81"/>
            <rFont val="MS P ゴシック"/>
            <family val="3"/>
            <charset val="128"/>
          </rPr>
          <t>矢野</t>
        </r>
      </text>
    </comment>
    <comment ref="F17" authorId="0" shapeId="0" xr:uid="{6871527A-D29F-4418-ACD3-63D7B005B43B}">
      <text>
        <r>
          <rPr>
            <b/>
            <sz val="9"/>
            <color indexed="81"/>
            <rFont val="MS P ゴシック"/>
            <family val="3"/>
            <charset val="128"/>
          </rPr>
          <t>矢野</t>
        </r>
      </text>
    </comment>
    <comment ref="G17" authorId="0" shapeId="0" xr:uid="{974B4182-AC25-461B-9F6E-81C1DCAD8A26}">
      <text>
        <r>
          <rPr>
            <b/>
            <sz val="9"/>
            <color indexed="81"/>
            <rFont val="MS P ゴシック"/>
            <family val="3"/>
            <charset val="128"/>
          </rPr>
          <t>矢野</t>
        </r>
      </text>
    </comment>
    <comment ref="D24" authorId="0" shapeId="0" xr:uid="{172A07AD-EAFC-415D-AED1-17ACF10242C5}">
      <text>
        <r>
          <rPr>
            <b/>
            <sz val="9"/>
            <color indexed="81"/>
            <rFont val="MS P ゴシック"/>
            <family val="3"/>
            <charset val="128"/>
          </rPr>
          <t>近藤</t>
        </r>
      </text>
    </comment>
    <comment ref="F24" authorId="0" shapeId="0" xr:uid="{99983E4D-52A3-4749-9C83-492DBFB656D5}">
      <text>
        <r>
          <rPr>
            <b/>
            <sz val="9"/>
            <color indexed="81"/>
            <rFont val="MS P ゴシック"/>
            <family val="3"/>
            <charset val="128"/>
          </rPr>
          <t>木村</t>
        </r>
      </text>
    </comment>
    <comment ref="K24" authorId="0" shapeId="0" xr:uid="{76984BE5-10AA-4C74-ABD1-4D50016ED596}">
      <text>
        <r>
          <rPr>
            <b/>
            <sz val="9"/>
            <color indexed="81"/>
            <rFont val="MS P ゴシック"/>
            <family val="3"/>
            <charset val="128"/>
          </rPr>
          <t>木村、髙田</t>
        </r>
      </text>
    </comment>
    <comment ref="L24" authorId="0" shapeId="0" xr:uid="{77BA2E56-0943-4526-B3B6-48D63EC8C6A9}">
      <text>
        <r>
          <rPr>
            <b/>
            <sz val="9"/>
            <color indexed="81"/>
            <rFont val="MS P ゴシック"/>
            <family val="3"/>
            <charset val="128"/>
          </rPr>
          <t>木村</t>
        </r>
      </text>
    </comment>
    <comment ref="M24" authorId="0" shapeId="0" xr:uid="{E4D6792D-88EC-40E4-9A0C-2218AEC49D02}">
      <text>
        <r>
          <rPr>
            <b/>
            <sz val="9"/>
            <color indexed="81"/>
            <rFont val="MS P ゴシック"/>
            <family val="3"/>
            <charset val="128"/>
          </rPr>
          <t>矢野</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SEIZOU-26</author>
  </authors>
  <commentList>
    <comment ref="B2" authorId="0" shapeId="0" xr:uid="{1C1072B9-9F5F-4D99-A05D-5968A7AFDA66}">
      <text>
        <r>
          <rPr>
            <b/>
            <sz val="9"/>
            <color indexed="81"/>
            <rFont val="MS P ゴシック"/>
            <family val="3"/>
            <charset val="128"/>
          </rPr>
          <t>矢野、宮本</t>
        </r>
      </text>
    </comment>
    <comment ref="G2" authorId="0" shapeId="0" xr:uid="{A0622ABC-12B7-4797-AFBF-8E56AC3A290B}">
      <text>
        <r>
          <rPr>
            <b/>
            <sz val="9"/>
            <color indexed="81"/>
            <rFont val="MS P ゴシック"/>
            <family val="3"/>
            <charset val="128"/>
          </rPr>
          <t>矢野</t>
        </r>
      </text>
    </comment>
    <comment ref="H2" authorId="0" shapeId="0" xr:uid="{E8607353-690D-4852-818D-823EF71AC4F5}">
      <text>
        <r>
          <rPr>
            <b/>
            <sz val="9"/>
            <color indexed="81"/>
            <rFont val="MS P ゴシック"/>
            <family val="3"/>
            <charset val="128"/>
          </rPr>
          <t xml:space="preserve">斉藤邦、高橋良,矢野
</t>
        </r>
      </text>
    </comment>
    <comment ref="I2" authorId="0" shapeId="0" xr:uid="{C48839D7-FAF6-48B9-8B92-5CF5D2828110}">
      <text>
        <r>
          <rPr>
            <b/>
            <sz val="9"/>
            <color indexed="81"/>
            <rFont val="MS P ゴシック"/>
            <family val="3"/>
            <charset val="128"/>
          </rPr>
          <t>木村、宮本</t>
        </r>
      </text>
    </comment>
    <comment ref="O2" authorId="0" shapeId="0" xr:uid="{542A2B6D-CD21-490E-A341-6BD292D92AA0}">
      <text>
        <r>
          <rPr>
            <b/>
            <sz val="9"/>
            <color indexed="81"/>
            <rFont val="MS P ゴシック"/>
            <family val="3"/>
            <charset val="128"/>
          </rPr>
          <t>木村、近藤,斉藤茂,今井,宮本</t>
        </r>
      </text>
    </comment>
    <comment ref="P2" authorId="0" shapeId="0" xr:uid="{E27C86B3-B524-4E1D-9902-F4A54F26B83A}">
      <text>
        <r>
          <rPr>
            <b/>
            <sz val="9"/>
            <color indexed="81"/>
            <rFont val="MS P ゴシック"/>
            <family val="3"/>
            <charset val="128"/>
          </rPr>
          <t>木村、近藤、高橋良
,斉藤茂,宮本、楮本</t>
        </r>
      </text>
    </comment>
    <comment ref="Q2" authorId="0" shapeId="0" xr:uid="{483A9F8D-FCAE-4EC1-A8E2-934870D330ED}">
      <text>
        <r>
          <rPr>
            <b/>
            <sz val="9"/>
            <color indexed="81"/>
            <rFont val="MS P ゴシック"/>
            <family val="3"/>
            <charset val="128"/>
          </rPr>
          <t>高橋拓、宮本</t>
        </r>
      </text>
    </comment>
    <comment ref="E9" authorId="0" shapeId="0" xr:uid="{7AE2C834-DAA2-4CD0-9AF3-F22DFF2DB08B}">
      <text>
        <r>
          <rPr>
            <b/>
            <sz val="9"/>
            <color indexed="81"/>
            <rFont val="MS P ゴシック"/>
            <family val="3"/>
            <charset val="128"/>
          </rPr>
          <t>木村、高橋拓,今井,宮本,髙田、楮本</t>
        </r>
      </text>
    </comment>
    <comment ref="F9" authorId="0" shapeId="0" xr:uid="{57DE3592-2196-4DB3-97E2-A94E37977D48}">
      <text>
        <r>
          <rPr>
            <b/>
            <sz val="9"/>
            <color indexed="81"/>
            <rFont val="MS P ゴシック"/>
            <family val="3"/>
            <charset val="128"/>
          </rPr>
          <t>木村、高橋良、高橋拓,今井,宮本、楮本</t>
        </r>
      </text>
    </comment>
    <comment ref="G9" authorId="0" shapeId="0" xr:uid="{9F4F7DDC-C347-465D-B2F7-DC4E166F5DBA}">
      <text>
        <r>
          <rPr>
            <b/>
            <sz val="9"/>
            <color indexed="81"/>
            <rFont val="MS P ゴシック"/>
            <family val="3"/>
            <charset val="128"/>
          </rPr>
          <t>木村、加藤凌、矢野</t>
        </r>
      </text>
    </comment>
    <comment ref="L9" authorId="0" shapeId="0" xr:uid="{AD2B622A-C193-4179-98B0-E5522329862C}">
      <text>
        <r>
          <rPr>
            <b/>
            <sz val="9"/>
            <color indexed="81"/>
            <rFont val="MS P ゴシック"/>
            <family val="3"/>
            <charset val="128"/>
          </rPr>
          <t>斉藤邦、加藤凌,矢野</t>
        </r>
      </text>
    </comment>
    <comment ref="M9" authorId="0" shapeId="0" xr:uid="{3D1DBA29-44F1-466F-AD0A-54953A3F17ED}">
      <text>
        <r>
          <rPr>
            <b/>
            <sz val="9"/>
            <color indexed="81"/>
            <rFont val="MS P ゴシック"/>
            <family val="3"/>
            <charset val="128"/>
          </rPr>
          <t>加藤凌、高橋良,矢野</t>
        </r>
      </text>
    </comment>
    <comment ref="N9" authorId="0" shapeId="0" xr:uid="{F48CA184-3166-433F-9223-E80D49462870}">
      <text>
        <r>
          <rPr>
            <b/>
            <sz val="9"/>
            <color indexed="81"/>
            <rFont val="MS P ゴシック"/>
            <family val="3"/>
            <charset val="128"/>
          </rPr>
          <t>木村</t>
        </r>
      </text>
    </comment>
    <comment ref="F17" authorId="0" shapeId="0" xr:uid="{13A4C7CA-E5A7-4659-972D-379B658CE61D}">
      <text>
        <r>
          <rPr>
            <b/>
            <sz val="9"/>
            <color indexed="81"/>
            <rFont val="MS P ゴシック"/>
            <family val="3"/>
            <charset val="128"/>
          </rPr>
          <t>高橋拓、矢野</t>
        </r>
      </text>
    </comment>
    <comment ref="K17" authorId="0" shapeId="0" xr:uid="{A38C338B-D03F-4BB4-B62C-1B019262AAAE}">
      <text>
        <r>
          <rPr>
            <b/>
            <sz val="9"/>
            <color indexed="81"/>
            <rFont val="MS P ゴシック"/>
            <family val="3"/>
            <charset val="128"/>
          </rPr>
          <t>高橋拓,矢野,今井</t>
        </r>
      </text>
    </comment>
    <comment ref="N17" authorId="0" shapeId="0" xr:uid="{39AC3AE1-B6C8-427A-9DC3-4FAEF63B5C56}">
      <text>
        <r>
          <rPr>
            <b/>
            <sz val="9"/>
            <color indexed="81"/>
            <rFont val="MS P ゴシック"/>
            <family val="3"/>
            <charset val="128"/>
          </rPr>
          <t>高橋拓,矢野,今井</t>
        </r>
      </text>
    </comment>
    <comment ref="O17" authorId="0" shapeId="0" xr:uid="{1F11F896-98A0-4B2D-98A8-38EC3790D643}">
      <text>
        <r>
          <rPr>
            <b/>
            <sz val="9"/>
            <color indexed="81"/>
            <rFont val="MS P ゴシック"/>
            <family val="3"/>
            <charset val="128"/>
          </rPr>
          <t>木村</t>
        </r>
      </text>
    </comment>
    <comment ref="C24" authorId="0" shapeId="0" xr:uid="{4CC6B35E-D68C-485D-94DF-62A77D0BAD2F}">
      <text>
        <r>
          <rPr>
            <b/>
            <sz val="9"/>
            <color indexed="81"/>
            <rFont val="MS P ゴシック"/>
            <family val="3"/>
            <charset val="128"/>
          </rPr>
          <t>斉藤邦、髙田,今井
、新井翔</t>
        </r>
      </text>
    </comment>
    <comment ref="E24" authorId="0" shapeId="0" xr:uid="{0DD0C18F-9BC4-4423-BD97-C58F471D12E9}">
      <text>
        <r>
          <rPr>
            <b/>
            <sz val="9"/>
            <color indexed="81"/>
            <rFont val="MS P ゴシック"/>
            <family val="3"/>
            <charset val="128"/>
          </rPr>
          <t>高橋拓</t>
        </r>
      </text>
    </comment>
    <comment ref="J24" authorId="0" shapeId="0" xr:uid="{B8705573-0C41-4963-B363-DA78FDE3B9AE}">
      <text>
        <r>
          <rPr>
            <b/>
            <sz val="9"/>
            <color indexed="81"/>
            <rFont val="MS P ゴシック"/>
            <family val="3"/>
            <charset val="128"/>
          </rPr>
          <t>木村、高橋良,高橋拓,今井、髙田</t>
        </r>
      </text>
    </comment>
    <comment ref="L24" authorId="0" shapeId="0" xr:uid="{C655D92A-86BC-4F4E-AF51-882AEB4EC5B7}">
      <text>
        <r>
          <rPr>
            <b/>
            <sz val="9"/>
            <color indexed="81"/>
            <rFont val="MS P ゴシック"/>
            <family val="3"/>
            <charset val="128"/>
          </rPr>
          <t>加藤凌、高橋拓</t>
        </r>
      </text>
    </comment>
    <comment ref="Q24" authorId="0" shapeId="0" xr:uid="{14C73009-BAEC-4B58-AF17-76F71779E044}">
      <text>
        <r>
          <rPr>
            <b/>
            <sz val="9"/>
            <color indexed="81"/>
            <rFont val="MS P ゴシック"/>
            <family val="3"/>
            <charset val="128"/>
          </rPr>
          <t>21/22加藤凌
夜勤も</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SEIZOU-26</author>
  </authors>
  <commentList>
    <comment ref="E2" authorId="0" shapeId="0" xr:uid="{BFBE3519-9CBF-49D8-891E-27BC9641C5ED}">
      <text>
        <r>
          <rPr>
            <sz val="9"/>
            <color indexed="81"/>
            <rFont val="MS P ゴシック"/>
            <family val="3"/>
            <charset val="128"/>
          </rPr>
          <t>齋藤邦、高橋良、近藤</t>
        </r>
      </text>
    </comment>
    <comment ref="F2" authorId="0" shapeId="0" xr:uid="{5CB9B6A8-99DB-405B-870E-47D65FE221C9}">
      <text>
        <r>
          <rPr>
            <b/>
            <sz val="9"/>
            <color indexed="81"/>
            <rFont val="MS P ゴシック"/>
            <family val="3"/>
            <charset val="128"/>
          </rPr>
          <t>齋藤邦、大関</t>
        </r>
      </text>
    </comment>
    <comment ref="G2" authorId="0" shapeId="0" xr:uid="{CF5E0E1A-D11B-4D67-98C2-B34DC7BD4427}">
      <text>
        <r>
          <rPr>
            <b/>
            <sz val="9"/>
            <color indexed="81"/>
            <rFont val="MS P ゴシック"/>
            <family val="3"/>
            <charset val="128"/>
          </rPr>
          <t>矢野</t>
        </r>
      </text>
    </comment>
    <comment ref="L2" authorId="0" shapeId="0" xr:uid="{BA87AB80-D788-43F9-AA75-138133AA73EB}">
      <text>
        <r>
          <rPr>
            <b/>
            <sz val="9"/>
            <color indexed="81"/>
            <rFont val="MS P ゴシック"/>
            <family val="3"/>
            <charset val="128"/>
          </rPr>
          <t>齋藤邦、矢野</t>
        </r>
      </text>
    </comment>
    <comment ref="N2" authorId="0" shapeId="0" xr:uid="{D09E16EF-9DDD-4ACA-9FDB-1D90A1588314}">
      <text>
        <r>
          <rPr>
            <b/>
            <sz val="9"/>
            <color indexed="81"/>
            <rFont val="MS P ゴシック"/>
            <family val="3"/>
            <charset val="128"/>
          </rPr>
          <t>齋藤邦、矢野</t>
        </r>
      </text>
    </comment>
    <comment ref="O2" authorId="0" shapeId="0" xr:uid="{182E6CE4-DBBB-4715-9BE0-25BA849F7625}">
      <text>
        <r>
          <rPr>
            <b/>
            <sz val="9"/>
            <color indexed="81"/>
            <rFont val="MS P ゴシック"/>
            <family val="3"/>
            <charset val="128"/>
          </rPr>
          <t>小林直</t>
        </r>
      </text>
    </comment>
    <comment ref="D9" authorId="0" shapeId="0" xr:uid="{97F4CBD0-B74A-4348-8468-0425A20A4D01}">
      <text>
        <r>
          <rPr>
            <b/>
            <sz val="9"/>
            <color indexed="81"/>
            <rFont val="MS P ゴシック"/>
            <family val="3"/>
            <charset val="128"/>
          </rPr>
          <t>小林直</t>
        </r>
      </text>
    </comment>
    <comment ref="E9" authorId="0" shapeId="0" xr:uid="{F185AFA0-A1AE-44BF-A8DA-7305C8910052}">
      <text>
        <r>
          <rPr>
            <b/>
            <sz val="9"/>
            <color indexed="81"/>
            <rFont val="MS P ゴシック"/>
            <family val="3"/>
            <charset val="128"/>
          </rPr>
          <t>宮本</t>
        </r>
      </text>
    </comment>
    <comment ref="J9" authorId="0" shapeId="0" xr:uid="{2254B5CE-7E38-48B7-801E-7D795D862679}">
      <text>
        <r>
          <rPr>
            <b/>
            <sz val="9"/>
            <color indexed="81"/>
            <rFont val="MS P ゴシック"/>
            <family val="3"/>
            <charset val="128"/>
          </rPr>
          <t>斉藤茂、宮本</t>
        </r>
      </text>
    </comment>
    <comment ref="K9" authorId="0" shapeId="0" xr:uid="{69C472F1-5987-4E29-918D-4E6B06BCB0EB}">
      <text>
        <r>
          <rPr>
            <b/>
            <sz val="9"/>
            <color indexed="81"/>
            <rFont val="MS P ゴシック"/>
            <family val="3"/>
            <charset val="128"/>
          </rPr>
          <t>斉藤茂</t>
        </r>
      </text>
    </comment>
    <comment ref="B17" authorId="0" shapeId="0" xr:uid="{C7E8AD5B-52B6-4400-8197-78490821592B}">
      <text>
        <r>
          <rPr>
            <b/>
            <sz val="9"/>
            <color indexed="81"/>
            <rFont val="MS P ゴシック"/>
            <family val="3"/>
            <charset val="128"/>
          </rPr>
          <t>木村</t>
        </r>
      </text>
    </comment>
    <comment ref="C17" authorId="0" shapeId="0" xr:uid="{BC8C9A66-69CE-40A1-960F-EF15852C7DB3}">
      <text>
        <r>
          <rPr>
            <b/>
            <sz val="9"/>
            <color indexed="81"/>
            <rFont val="MS P ゴシック"/>
            <family val="3"/>
            <charset val="128"/>
          </rPr>
          <t>木村、大関</t>
        </r>
      </text>
    </comment>
    <comment ref="D17" authorId="0" shapeId="0" xr:uid="{955A7047-7D98-466F-B27D-35A574F90F32}">
      <text>
        <r>
          <rPr>
            <b/>
            <sz val="9"/>
            <color indexed="81"/>
            <rFont val="MS P ゴシック"/>
            <family val="3"/>
            <charset val="128"/>
          </rPr>
          <t>木村</t>
        </r>
      </text>
    </comment>
    <comment ref="I17" authorId="0" shapeId="0" xr:uid="{7B69C6A6-88C6-4E78-A0CC-2DC80E055110}">
      <text>
        <r>
          <rPr>
            <b/>
            <sz val="9"/>
            <color indexed="81"/>
            <rFont val="MS P ゴシック"/>
            <family val="3"/>
            <charset val="128"/>
          </rPr>
          <t>矢野</t>
        </r>
      </text>
    </comment>
    <comment ref="J17" authorId="0" shapeId="0" xr:uid="{6D267151-BEAA-4D40-ABA5-CA7EB37840D1}">
      <text>
        <r>
          <rPr>
            <b/>
            <sz val="9"/>
            <color indexed="81"/>
            <rFont val="MS P ゴシック"/>
            <family val="3"/>
            <charset val="128"/>
          </rPr>
          <t>矢野</t>
        </r>
      </text>
    </comment>
    <comment ref="R17" authorId="0" shapeId="0" xr:uid="{9D558A1E-3983-4B06-8AF0-C5B1CF6319F1}">
      <text>
        <r>
          <rPr>
            <b/>
            <sz val="9"/>
            <color indexed="81"/>
            <rFont val="MS P ゴシック"/>
            <family val="3"/>
            <charset val="128"/>
          </rPr>
          <t>今井</t>
        </r>
      </text>
    </comment>
    <comment ref="B24" authorId="0" shapeId="0" xr:uid="{7919E76F-DCAD-4455-A344-20613B6E6437}">
      <text>
        <r>
          <rPr>
            <b/>
            <sz val="9"/>
            <color indexed="81"/>
            <rFont val="MS P ゴシック"/>
            <family val="3"/>
            <charset val="128"/>
          </rPr>
          <t>今井、近藤</t>
        </r>
      </text>
    </comment>
    <comment ref="C24" authorId="0" shapeId="0" xr:uid="{031698DA-8240-43B0-ABC6-BA7AD07A5C63}">
      <text>
        <r>
          <rPr>
            <b/>
            <sz val="9"/>
            <color indexed="81"/>
            <rFont val="MS P ゴシック"/>
            <family val="3"/>
            <charset val="128"/>
          </rPr>
          <t>楮本</t>
        </r>
      </text>
    </comment>
    <comment ref="H24" authorId="0" shapeId="0" xr:uid="{8B57658D-36C5-4968-B632-A5502FA22843}">
      <text>
        <r>
          <rPr>
            <b/>
            <sz val="9"/>
            <color indexed="81"/>
            <rFont val="MS P ゴシック"/>
            <family val="3"/>
            <charset val="128"/>
          </rPr>
          <t>今井、楮本、高橋良</t>
        </r>
      </text>
    </comment>
    <comment ref="I24" authorId="0" shapeId="0" xr:uid="{282C2BA5-411A-46DD-9F96-62908C059173}">
      <text>
        <r>
          <rPr>
            <b/>
            <sz val="9"/>
            <color indexed="81"/>
            <rFont val="MS P ゴシック"/>
            <family val="3"/>
            <charset val="128"/>
          </rPr>
          <t>今井、楮本、高橋良</t>
        </r>
      </text>
    </comment>
    <comment ref="J24" authorId="0" shapeId="0" xr:uid="{D1031723-BA5A-4DE2-A9FE-8D176C7DD93A}">
      <text>
        <r>
          <rPr>
            <b/>
            <sz val="9"/>
            <color indexed="81"/>
            <rFont val="MS P ゴシック"/>
            <family val="3"/>
            <charset val="128"/>
          </rPr>
          <t>楮本</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SEIZOU-26</author>
  </authors>
  <commentList>
    <comment ref="C2" authorId="0" shapeId="0" xr:uid="{5B7B364F-9084-4ADC-ACD8-C8C74A3E6228}">
      <text>
        <r>
          <rPr>
            <b/>
            <sz val="9"/>
            <color indexed="81"/>
            <rFont val="MS P ゴシック"/>
            <family val="3"/>
            <charset val="128"/>
          </rPr>
          <t>木村、加藤凌</t>
        </r>
      </text>
    </comment>
    <comment ref="D2" authorId="0" shapeId="0" xr:uid="{47E12E04-F142-4E88-B459-297B1CCDDE45}">
      <text>
        <r>
          <rPr>
            <b/>
            <sz val="9"/>
            <color indexed="81"/>
            <rFont val="MS P ゴシック"/>
            <family val="3"/>
            <charset val="128"/>
          </rPr>
          <t xml:space="preserve">木村、加藤凌、斉藤邦
</t>
        </r>
      </text>
    </comment>
    <comment ref="E2" authorId="0" shapeId="0" xr:uid="{2CE9FB07-F358-4B36-9008-D23791E74E23}">
      <text>
        <r>
          <rPr>
            <b/>
            <sz val="9"/>
            <color indexed="81"/>
            <rFont val="MS P ゴシック"/>
            <family val="3"/>
            <charset val="128"/>
          </rPr>
          <t>加藤凌</t>
        </r>
      </text>
    </comment>
    <comment ref="J2" authorId="0" shapeId="0" xr:uid="{BC7E3161-561B-48F7-8322-239FADA53BC0}">
      <text>
        <r>
          <rPr>
            <b/>
            <sz val="9"/>
            <color indexed="81"/>
            <rFont val="MS P ゴシック"/>
            <family val="3"/>
            <charset val="128"/>
          </rPr>
          <t xml:space="preserve">木村、加藤凌、矢野
</t>
        </r>
      </text>
    </comment>
    <comment ref="K2" authorId="0" shapeId="0" xr:uid="{89176EC0-FCB6-49E4-AFAE-A9AFB7FA1DE9}">
      <text>
        <r>
          <rPr>
            <b/>
            <sz val="9"/>
            <color indexed="81"/>
            <rFont val="MS P ゴシック"/>
            <family val="3"/>
            <charset val="128"/>
          </rPr>
          <t>木村、加藤凌、矢野</t>
        </r>
      </text>
    </comment>
    <comment ref="C10" authorId="0" shapeId="0" xr:uid="{5BF3A7E6-FC62-44C1-B497-B670E8CA60F2}">
      <text>
        <r>
          <rPr>
            <b/>
            <sz val="9"/>
            <color indexed="81"/>
            <rFont val="MS P ゴシック"/>
            <family val="3"/>
            <charset val="128"/>
          </rPr>
          <t>高橋良</t>
        </r>
      </text>
    </comment>
    <comment ref="D10" authorId="0" shapeId="0" xr:uid="{3480950A-A043-40F0-95BF-E769076B0515}">
      <text>
        <r>
          <rPr>
            <b/>
            <sz val="9"/>
            <color indexed="81"/>
            <rFont val="MS P ゴシック"/>
            <family val="3"/>
            <charset val="128"/>
          </rPr>
          <t xml:space="preserve">高橋拓、新井洋、高橋剛
</t>
        </r>
      </text>
    </comment>
    <comment ref="I10" authorId="0" shapeId="0" xr:uid="{DBF1EF30-553B-4189-96E5-8B995010D2EA}">
      <text>
        <r>
          <rPr>
            <b/>
            <sz val="9"/>
            <color indexed="81"/>
            <rFont val="MS P ゴシック"/>
            <family val="3"/>
            <charset val="128"/>
          </rPr>
          <t>加藤貴、今井</t>
        </r>
      </text>
    </comment>
    <comment ref="J10" authorId="0" shapeId="0" xr:uid="{877F9286-593C-495A-A53C-A6BD77730A61}">
      <text>
        <r>
          <rPr>
            <b/>
            <sz val="9"/>
            <color indexed="81"/>
            <rFont val="MS P ゴシック"/>
            <family val="3"/>
            <charset val="128"/>
          </rPr>
          <t>高橋良、加藤貴</t>
        </r>
      </text>
    </comment>
    <comment ref="K10" authorId="0" shapeId="0" xr:uid="{9BAC70E9-1F36-419C-8E91-10B07ED64E5B}">
      <text>
        <r>
          <rPr>
            <b/>
            <sz val="9"/>
            <color indexed="81"/>
            <rFont val="MS P ゴシック"/>
            <family val="3"/>
            <charset val="128"/>
          </rPr>
          <t>高橋拓、新井洋、棚山</t>
        </r>
      </text>
    </comment>
    <comment ref="P10" authorId="0" shapeId="0" xr:uid="{60AE6312-DB59-4CF7-94D5-88B3FAB7E198}">
      <text>
        <r>
          <rPr>
            <b/>
            <sz val="9"/>
            <color indexed="81"/>
            <rFont val="MS P ゴシック"/>
            <family val="3"/>
            <charset val="128"/>
          </rPr>
          <t>加藤貴、高橋拓、今井</t>
        </r>
      </text>
    </comment>
    <comment ref="B19" authorId="0" shapeId="0" xr:uid="{B22CB669-9A73-46F4-96AF-83FFB918F9B5}">
      <text>
        <r>
          <rPr>
            <b/>
            <sz val="9"/>
            <color indexed="81"/>
            <rFont val="MS P ゴシック"/>
            <family val="3"/>
            <charset val="128"/>
          </rPr>
          <t>加藤貴、今井</t>
        </r>
      </text>
    </comment>
    <comment ref="C19" authorId="0" shapeId="0" xr:uid="{2D4E3EFA-64C6-4BBE-9D05-4692B955CC78}">
      <text>
        <r>
          <rPr>
            <b/>
            <sz val="9"/>
            <color indexed="81"/>
            <rFont val="MS P ゴシック"/>
            <family val="3"/>
            <charset val="128"/>
          </rPr>
          <t>新井洋、棚山</t>
        </r>
      </text>
    </comment>
    <comment ref="H19" authorId="0" shapeId="0" xr:uid="{15ABF98D-BA75-42E3-A827-425703B72716}">
      <text>
        <r>
          <rPr>
            <b/>
            <sz val="9"/>
            <color indexed="81"/>
            <rFont val="MS P ゴシック"/>
            <family val="3"/>
            <charset val="128"/>
          </rPr>
          <t>加藤貴、高橋拓、今井、矢野</t>
        </r>
      </text>
    </comment>
    <comment ref="I19" authorId="0" shapeId="0" xr:uid="{8DCAE7B7-B944-420A-8D9B-5E5DD00B942E}">
      <text>
        <r>
          <rPr>
            <b/>
            <sz val="9"/>
            <color indexed="81"/>
            <rFont val="MS P ゴシック"/>
            <family val="3"/>
            <charset val="128"/>
          </rPr>
          <t>加藤貴、今井、髙田、矢野</t>
        </r>
      </text>
    </comment>
    <comment ref="J19" authorId="0" shapeId="0" xr:uid="{4D5B91A4-8847-4E34-9304-535D7788D74A}">
      <text>
        <r>
          <rPr>
            <b/>
            <sz val="9"/>
            <color indexed="81"/>
            <rFont val="MS P ゴシック"/>
            <family val="3"/>
            <charset val="128"/>
          </rPr>
          <t>木村、高橋拓、新井洋、棚山</t>
        </r>
      </text>
    </comment>
    <comment ref="P19" authorId="0" shapeId="0" xr:uid="{85CACF69-7ECD-4740-90E0-31AD48B8D606}">
      <text>
        <r>
          <rPr>
            <b/>
            <sz val="9"/>
            <color indexed="81"/>
            <rFont val="MS P ゴシック"/>
            <family val="3"/>
            <charset val="128"/>
          </rPr>
          <t>高橋拓</t>
        </r>
      </text>
    </comment>
    <comment ref="Q19" authorId="0" shapeId="0" xr:uid="{85993114-4417-4257-8C90-ACA8463824ED}">
      <text>
        <r>
          <rPr>
            <b/>
            <sz val="9"/>
            <color indexed="81"/>
            <rFont val="MS P ゴシック"/>
            <family val="3"/>
            <charset val="128"/>
          </rPr>
          <t>髙田</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SEIZOU-26</author>
  </authors>
  <commentList>
    <comment ref="B2" authorId="0" shapeId="0" xr:uid="{51E8EB56-EFB4-4379-92A0-35ED0FBFB123}">
      <text>
        <r>
          <rPr>
            <b/>
            <sz val="9"/>
            <color indexed="81"/>
            <rFont val="MS P ゴシック"/>
            <family val="3"/>
            <charset val="128"/>
          </rPr>
          <t>矢野、岩田</t>
        </r>
      </text>
    </comment>
    <comment ref="C2" authorId="0" shapeId="0" xr:uid="{B7E323B1-31D1-46C2-AA1B-F908B79619BF}">
      <text>
        <r>
          <rPr>
            <b/>
            <sz val="9"/>
            <color indexed="81"/>
            <rFont val="MS P ゴシック"/>
            <family val="3"/>
            <charset val="128"/>
          </rPr>
          <t>木村、高橋拓、新井洋、加藤凌</t>
        </r>
      </text>
    </comment>
    <comment ref="H2" authorId="0" shapeId="0" xr:uid="{F863DFB1-10C8-4844-B7B2-3E003D6C5D4A}">
      <text>
        <r>
          <rPr>
            <b/>
            <sz val="9"/>
            <color indexed="81"/>
            <rFont val="MS P ゴシック"/>
            <family val="3"/>
            <charset val="128"/>
          </rPr>
          <t>木村、楮本、加藤誠、加藤凌、髙田</t>
        </r>
      </text>
    </comment>
    <comment ref="I2" authorId="0" shapeId="0" xr:uid="{3D17E9F8-21E7-4B70-A7C5-D9A39F85566F}">
      <text>
        <r>
          <rPr>
            <b/>
            <sz val="9"/>
            <color indexed="81"/>
            <rFont val="MS P ゴシック"/>
            <family val="3"/>
            <charset val="128"/>
          </rPr>
          <t>木村、楮本、加藤誠、加藤凌、岩田</t>
        </r>
      </text>
    </comment>
    <comment ref="G10" authorId="0" shapeId="0" xr:uid="{A6599170-4E54-475C-A1DE-CA3DFE173191}">
      <text>
        <r>
          <rPr>
            <b/>
            <sz val="9"/>
            <color indexed="81"/>
            <rFont val="MS P ゴシック"/>
            <family val="3"/>
            <charset val="128"/>
          </rPr>
          <t>木村、楮本、髙田</t>
        </r>
      </text>
    </comment>
    <comment ref="H10" authorId="0" shapeId="0" xr:uid="{3D0F22D5-061E-4D8E-A46B-FE0A8C7E44D0}">
      <text>
        <r>
          <rPr>
            <b/>
            <sz val="9"/>
            <color indexed="81"/>
            <rFont val="MS P ゴシック"/>
            <family val="3"/>
            <charset val="128"/>
          </rPr>
          <t>楮本、加藤誠、岩田</t>
        </r>
      </text>
    </comment>
    <comment ref="N10" authorId="0" shapeId="0" xr:uid="{4EA72FB9-F7E1-41C9-A08C-AC85C65767EA}">
      <text>
        <r>
          <rPr>
            <b/>
            <sz val="9"/>
            <color indexed="81"/>
            <rFont val="MS P ゴシック"/>
            <family val="3"/>
            <charset val="128"/>
          </rPr>
          <t>斉藤</t>
        </r>
      </text>
    </comment>
    <comment ref="O10" authorId="0" shapeId="0" xr:uid="{25656CDA-08D1-49AF-A207-1AE7D6C860A5}">
      <text>
        <r>
          <rPr>
            <b/>
            <sz val="9"/>
            <color indexed="81"/>
            <rFont val="MS P ゴシック"/>
            <family val="3"/>
            <charset val="128"/>
          </rPr>
          <t>斉藤、岩田</t>
        </r>
      </text>
    </comment>
    <comment ref="P10" authorId="0" shapeId="0" xr:uid="{549AAC50-5A8C-4AFC-A878-1AA0C96EF93B}">
      <text>
        <r>
          <rPr>
            <b/>
            <sz val="9"/>
            <color indexed="81"/>
            <rFont val="MS P ゴシック"/>
            <family val="3"/>
            <charset val="128"/>
          </rPr>
          <t>矢野</t>
        </r>
      </text>
    </comment>
    <comment ref="F19" authorId="0" shapeId="0" xr:uid="{863869F8-1FE9-4CE3-BE0C-5A74E4A8E5E7}">
      <text>
        <r>
          <rPr>
            <b/>
            <sz val="9"/>
            <color indexed="81"/>
            <rFont val="MS P ゴシック"/>
            <family val="3"/>
            <charset val="128"/>
          </rPr>
          <t xml:space="preserve">矢野
</t>
        </r>
      </text>
    </comment>
    <comment ref="G19" authorId="0" shapeId="0" xr:uid="{3EADE163-580D-4B76-9D93-669632F27F6C}">
      <text>
        <r>
          <rPr>
            <b/>
            <sz val="9"/>
            <color indexed="81"/>
            <rFont val="MS P ゴシック"/>
            <family val="3"/>
            <charset val="128"/>
          </rPr>
          <t>加藤誠、矢野、岩田、髙田</t>
        </r>
      </text>
    </comment>
    <comment ref="N19" authorId="0" shapeId="0" xr:uid="{B03424AE-9A75-49E6-A7E8-193301BB70B6}">
      <text>
        <r>
          <rPr>
            <b/>
            <sz val="9"/>
            <color indexed="81"/>
            <rFont val="MS P ゴシック"/>
            <family val="3"/>
            <charset val="128"/>
          </rPr>
          <t>高橋拓</t>
        </r>
      </text>
    </comment>
    <comment ref="O19" authorId="0" shapeId="0" xr:uid="{1D13888F-49E1-4953-944C-5A5965B84CDF}">
      <text>
        <r>
          <rPr>
            <b/>
            <sz val="9"/>
            <color indexed="81"/>
            <rFont val="MS P ゴシック"/>
            <family val="3"/>
            <charset val="128"/>
          </rPr>
          <t>岩田</t>
        </r>
      </text>
    </comment>
    <comment ref="P19" authorId="0" shapeId="0" xr:uid="{625A6F6E-D76A-409E-86BF-C88D2B95CED8}">
      <text>
        <r>
          <rPr>
            <b/>
            <sz val="9"/>
            <color indexed="81"/>
            <rFont val="MS P ゴシック"/>
            <family val="3"/>
            <charset val="128"/>
          </rPr>
          <t>宮本</t>
        </r>
      </text>
    </comment>
    <comment ref="D27" authorId="0" shapeId="0" xr:uid="{77B18472-236D-4630-BD5C-8C1DB943F185}">
      <text>
        <r>
          <rPr>
            <b/>
            <sz val="9"/>
            <color indexed="81"/>
            <rFont val="MS P ゴシック"/>
            <family val="3"/>
            <charset val="128"/>
          </rPr>
          <t>高橋拓、宮本、髙田</t>
        </r>
      </text>
    </comment>
    <comment ref="E27" authorId="0" shapeId="0" xr:uid="{CE4B9CEE-D49C-4B11-8B16-085E9356472A}">
      <text>
        <r>
          <rPr>
            <b/>
            <sz val="9"/>
            <color indexed="81"/>
            <rFont val="MS P ゴシック"/>
            <family val="3"/>
            <charset val="128"/>
          </rPr>
          <t>加藤誠、岩田、髙田</t>
        </r>
      </text>
    </comment>
    <comment ref="F27" authorId="0" shapeId="0" xr:uid="{113BD684-34B3-4220-9313-037162082CE9}">
      <text>
        <r>
          <rPr>
            <b/>
            <sz val="9"/>
            <color indexed="81"/>
            <rFont val="MS P ゴシック"/>
            <family val="3"/>
            <charset val="128"/>
          </rPr>
          <t>宮本</t>
        </r>
      </text>
    </comment>
    <comment ref="K27" authorId="0" shapeId="0" xr:uid="{02526EF6-F810-4F62-8F94-18548E9E685A}">
      <text>
        <r>
          <rPr>
            <b/>
            <sz val="9"/>
            <color indexed="81"/>
            <rFont val="MS P ゴシック"/>
            <family val="3"/>
            <charset val="128"/>
          </rPr>
          <t>高橋拓、宮本,髙田</t>
        </r>
      </text>
    </comment>
    <comment ref="L27" authorId="0" shapeId="0" xr:uid="{61907137-5039-4D03-8E30-93FAD2106977}">
      <text>
        <r>
          <rPr>
            <b/>
            <sz val="9"/>
            <color indexed="81"/>
            <rFont val="MS P ゴシック"/>
            <family val="3"/>
            <charset val="128"/>
          </rPr>
          <t>宮本、岩田</t>
        </r>
      </text>
    </comment>
    <comment ref="M27" authorId="0" shapeId="0" xr:uid="{B7CEDE52-C2D3-4B86-BE59-F2A38D38E189}">
      <text>
        <r>
          <rPr>
            <b/>
            <sz val="9"/>
            <color indexed="81"/>
            <rFont val="MS P ゴシック"/>
            <family val="3"/>
            <charset val="128"/>
          </rPr>
          <t>木村、加藤凌</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SEIZOU-26</author>
  </authors>
  <commentList>
    <comment ref="E2" authorId="0" shapeId="0" xr:uid="{A3941F86-6C83-4940-838B-945B355FFB5F}">
      <text>
        <r>
          <rPr>
            <b/>
            <sz val="9"/>
            <color indexed="81"/>
            <rFont val="MS P ゴシック"/>
            <family val="3"/>
            <charset val="128"/>
          </rPr>
          <t>加藤貴、木村、矢野</t>
        </r>
      </text>
    </comment>
    <comment ref="F2" authorId="0" shapeId="0" xr:uid="{D1EABF52-9AD0-4435-BB01-69ABD4AB4FC6}">
      <text>
        <r>
          <rPr>
            <b/>
            <sz val="9"/>
            <color indexed="81"/>
            <rFont val="MS P ゴシック"/>
            <family val="3"/>
            <charset val="128"/>
          </rPr>
          <t>木村、矢野</t>
        </r>
      </text>
    </comment>
    <comment ref="G2" authorId="0" shapeId="0" xr:uid="{B5E929A8-01A3-49D4-A7A6-ACD698C39C6C}">
      <text>
        <r>
          <rPr>
            <b/>
            <sz val="9"/>
            <color indexed="81"/>
            <rFont val="MS P ゴシック"/>
            <family val="3"/>
            <charset val="128"/>
          </rPr>
          <t>宮本</t>
        </r>
      </text>
    </comment>
    <comment ref="O2" authorId="0" shapeId="0" xr:uid="{64B6385A-74EF-446D-827C-810894B1200E}">
      <text>
        <r>
          <rPr>
            <b/>
            <sz val="9"/>
            <color indexed="81"/>
            <rFont val="MS P ゴシック"/>
            <family val="3"/>
            <charset val="128"/>
          </rPr>
          <t>宮本、加藤誠</t>
        </r>
      </text>
    </comment>
    <comment ref="P2" authorId="0" shapeId="0" xr:uid="{EFFEA4C6-5B73-413A-A93D-C01E7031FB13}">
      <text>
        <r>
          <rPr>
            <b/>
            <sz val="9"/>
            <color indexed="81"/>
            <rFont val="MS P ゴシック"/>
            <family val="3"/>
            <charset val="128"/>
          </rPr>
          <t>加藤誠</t>
        </r>
      </text>
    </comment>
    <comment ref="Q2" authorId="0" shapeId="0" xr:uid="{A8296008-0BF6-4621-80EB-21201860E813}">
      <text>
        <r>
          <rPr>
            <b/>
            <sz val="9"/>
            <color indexed="81"/>
            <rFont val="MS P ゴシック"/>
            <family val="3"/>
            <charset val="128"/>
          </rPr>
          <t>小林</t>
        </r>
      </text>
    </comment>
    <comment ref="E10" authorId="0" shapeId="0" xr:uid="{36631965-A251-49CE-83DF-C68684A886AE}">
      <text>
        <r>
          <rPr>
            <b/>
            <sz val="9"/>
            <color indexed="81"/>
            <rFont val="MS P ゴシック"/>
            <family val="3"/>
            <charset val="128"/>
          </rPr>
          <t>小林</t>
        </r>
      </text>
    </comment>
    <comment ref="F10" authorId="0" shapeId="0" xr:uid="{34860F53-42C7-47D3-93AB-AC83936817A2}">
      <text>
        <r>
          <rPr>
            <b/>
            <sz val="9"/>
            <color indexed="81"/>
            <rFont val="MS P ゴシック"/>
            <family val="3"/>
            <charset val="128"/>
          </rPr>
          <t>小林、加藤誠</t>
        </r>
      </text>
    </comment>
    <comment ref="G10" authorId="0" shapeId="0" xr:uid="{A6217832-9206-49C1-B026-13A5D685ECD6}">
      <text>
        <r>
          <rPr>
            <b/>
            <sz val="9"/>
            <color indexed="81"/>
            <rFont val="MS P ゴシック"/>
            <family val="3"/>
            <charset val="128"/>
          </rPr>
          <t>木村、小林</t>
        </r>
      </text>
    </comment>
    <comment ref="L10" authorId="0" shapeId="0" xr:uid="{131821C4-B66D-48FC-8895-019B3F346531}">
      <text>
        <r>
          <rPr>
            <b/>
            <sz val="9"/>
            <color indexed="81"/>
            <rFont val="MS P ゴシック"/>
            <family val="3"/>
            <charset val="128"/>
          </rPr>
          <t>加藤貴、木村、加藤誠</t>
        </r>
      </text>
    </comment>
    <comment ref="M10" authorId="0" shapeId="0" xr:uid="{7977141F-1132-435C-AE68-3BC4DBE60E44}">
      <text>
        <r>
          <rPr>
            <b/>
            <sz val="9"/>
            <color indexed="81"/>
            <rFont val="MS P ゴシック"/>
            <family val="3"/>
            <charset val="128"/>
          </rPr>
          <t>加藤貴、加藤誠</t>
        </r>
      </text>
    </comment>
    <comment ref="D19" authorId="0" shapeId="0" xr:uid="{272DB1F3-7ACB-43F6-ACA2-44CBD6DBF194}">
      <text>
        <r>
          <rPr>
            <b/>
            <sz val="9"/>
            <color indexed="81"/>
            <rFont val="MS P ゴシック"/>
            <family val="3"/>
            <charset val="128"/>
          </rPr>
          <t xml:space="preserve">今井
</t>
        </r>
      </text>
    </comment>
    <comment ref="E19" authorId="0" shapeId="0" xr:uid="{42A77416-9BED-407A-8893-4AE26D3C2181}">
      <text>
        <r>
          <rPr>
            <b/>
            <sz val="9"/>
            <color indexed="81"/>
            <rFont val="MS P ゴシック"/>
            <family val="3"/>
            <charset val="128"/>
          </rPr>
          <t>今井、高橋良</t>
        </r>
      </text>
    </comment>
    <comment ref="F19" authorId="0" shapeId="0" xr:uid="{F3F06909-7119-4C97-8E57-915C03918147}">
      <text>
        <r>
          <rPr>
            <b/>
            <sz val="9"/>
            <color indexed="81"/>
            <rFont val="MS P ゴシック"/>
            <family val="3"/>
            <charset val="128"/>
          </rPr>
          <t>矢野</t>
        </r>
      </text>
    </comment>
    <comment ref="K19" authorId="0" shapeId="0" xr:uid="{48AC0557-6197-4372-9FCF-755841650640}">
      <text>
        <r>
          <rPr>
            <b/>
            <sz val="9"/>
            <color indexed="81"/>
            <rFont val="MS P ゴシック"/>
            <family val="3"/>
            <charset val="128"/>
          </rPr>
          <t>矢野</t>
        </r>
      </text>
    </comment>
    <comment ref="L19" authorId="0" shapeId="0" xr:uid="{2E5E965B-3181-4420-AB7F-0DEBDC97AA1A}">
      <text>
        <r>
          <rPr>
            <b/>
            <sz val="9"/>
            <color indexed="81"/>
            <rFont val="MS P ゴシック"/>
            <family val="3"/>
            <charset val="128"/>
          </rPr>
          <t>高橋良、矢野</t>
        </r>
      </text>
    </comment>
    <comment ref="B27" authorId="0" shapeId="0" xr:uid="{4E4A7737-9B73-44BF-8168-20B387627F7D}">
      <text>
        <r>
          <rPr>
            <b/>
            <sz val="9"/>
            <color indexed="81"/>
            <rFont val="MS P ゴシック"/>
            <family val="3"/>
            <charset val="128"/>
          </rPr>
          <t>加藤貴</t>
        </r>
      </text>
    </comment>
    <comment ref="C27" authorId="0" shapeId="0" xr:uid="{75CD36AB-A60C-4377-8D48-91FA31A57D7C}">
      <text>
        <r>
          <rPr>
            <b/>
            <sz val="9"/>
            <color indexed="81"/>
            <rFont val="MS P ゴシック"/>
            <family val="3"/>
            <charset val="128"/>
          </rPr>
          <t>加藤貴</t>
        </r>
      </text>
    </comment>
    <comment ref="D27" authorId="0" shapeId="0" xr:uid="{CA40ABB0-6D7B-4753-923F-37E282E1C3F7}">
      <text>
        <r>
          <rPr>
            <b/>
            <sz val="9"/>
            <color indexed="81"/>
            <rFont val="MS P ゴシック"/>
            <family val="3"/>
            <charset val="128"/>
          </rPr>
          <t>小林</t>
        </r>
      </text>
    </comment>
    <comment ref="K27" authorId="0" shapeId="0" xr:uid="{5E33368B-BFA1-4839-8D2E-4F355A6BDCA5}">
      <text>
        <r>
          <rPr>
            <b/>
            <sz val="9"/>
            <color indexed="81"/>
            <rFont val="MS P ゴシック"/>
            <family val="3"/>
            <charset val="128"/>
          </rPr>
          <t>新井啓</t>
        </r>
      </text>
    </comment>
    <comment ref="P27" authorId="0" shapeId="0" xr:uid="{91C4E488-E3D9-4075-9807-F04B938C3057}">
      <text>
        <r>
          <rPr>
            <b/>
            <sz val="9"/>
            <color indexed="81"/>
            <rFont val="MS P ゴシック"/>
            <family val="3"/>
            <charset val="128"/>
          </rPr>
          <t>加藤誠</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SEIZOU-26</author>
  </authors>
  <commentList>
    <comment ref="F2" authorId="0" shapeId="0" xr:uid="{5411C7F2-57F9-47EA-8C21-2A54E9D31535}">
      <text>
        <r>
          <rPr>
            <b/>
            <sz val="9"/>
            <color indexed="81"/>
            <rFont val="MS P ゴシック"/>
            <family val="3"/>
            <charset val="128"/>
          </rPr>
          <t xml:space="preserve">矢野
</t>
        </r>
      </text>
    </comment>
    <comment ref="B10" authorId="0" shapeId="0" xr:uid="{1AA29EDA-28F8-4062-B899-B6AA3C2D15DF}">
      <text>
        <r>
          <rPr>
            <b/>
            <sz val="9"/>
            <color indexed="81"/>
            <rFont val="MS P ゴシック"/>
            <family val="3"/>
            <charset val="128"/>
          </rPr>
          <t>勅使河原、斉藤、宮本、今井、木村、加藤誠</t>
        </r>
      </text>
    </comment>
    <comment ref="C10" authorId="0" shapeId="0" xr:uid="{41BEC0CC-A788-4FD8-BFCF-EAC06763BD82}">
      <text>
        <r>
          <rPr>
            <b/>
            <sz val="9"/>
            <color indexed="81"/>
            <rFont val="MS P ゴシック"/>
            <family val="3"/>
            <charset val="128"/>
          </rPr>
          <t>勅使河原、斉藤、今井、木村、加藤誠</t>
        </r>
      </text>
    </comment>
    <comment ref="D10" authorId="0" shapeId="0" xr:uid="{226058A7-6606-4B55-B045-76D3C8947169}">
      <text>
        <r>
          <rPr>
            <b/>
            <sz val="9"/>
            <color indexed="81"/>
            <rFont val="MS P ゴシック"/>
            <family val="3"/>
            <charset val="128"/>
          </rPr>
          <t>楮本、木村</t>
        </r>
      </text>
    </comment>
    <comment ref="I10" authorId="0" shapeId="0" xr:uid="{2A51DE9E-B5C7-4A37-90B6-A8B708F4CBAD}">
      <text>
        <r>
          <rPr>
            <b/>
            <sz val="9"/>
            <color indexed="81"/>
            <rFont val="MS P ゴシック"/>
            <family val="3"/>
            <charset val="128"/>
          </rPr>
          <t>勅使河原、楮本</t>
        </r>
      </text>
    </comment>
    <comment ref="J10" authorId="0" shapeId="0" xr:uid="{E7C42139-AEA5-48E9-91EC-89D45D7839FE}">
      <text>
        <r>
          <rPr>
            <b/>
            <sz val="9"/>
            <color indexed="81"/>
            <rFont val="MS P ゴシック"/>
            <family val="3"/>
            <charset val="128"/>
          </rPr>
          <t>勅使河原、楮本</t>
        </r>
      </text>
    </comment>
    <comment ref="K10" authorId="0" shapeId="0" xr:uid="{D5F57638-0188-4BF4-BB0C-B2653D7A733A}">
      <text>
        <r>
          <rPr>
            <b/>
            <sz val="9"/>
            <color indexed="81"/>
            <rFont val="MS P ゴシック"/>
            <family val="3"/>
            <charset val="128"/>
          </rPr>
          <t>楮本、木村</t>
        </r>
      </text>
    </comment>
    <comment ref="P10" authorId="0" shapeId="0" xr:uid="{791DCC63-DE99-481B-A76A-0D63ECD0DAC7}">
      <text>
        <r>
          <rPr>
            <b/>
            <sz val="9"/>
            <color indexed="81"/>
            <rFont val="MS P ゴシック"/>
            <family val="3"/>
            <charset val="128"/>
          </rPr>
          <t>木村</t>
        </r>
      </text>
    </comment>
    <comment ref="B19" authorId="0" shapeId="0" xr:uid="{0BE88198-F20F-4574-82CC-019A82A8585E}">
      <text>
        <r>
          <rPr>
            <b/>
            <sz val="9"/>
            <color indexed="81"/>
            <rFont val="MS P ゴシック"/>
            <family val="3"/>
            <charset val="128"/>
          </rPr>
          <t xml:space="preserve">木村、髙田
</t>
        </r>
      </text>
    </comment>
    <comment ref="C19" authorId="0" shapeId="0" xr:uid="{75321997-7582-4131-B4AA-301950E189ED}">
      <text>
        <r>
          <rPr>
            <b/>
            <sz val="9"/>
            <color indexed="81"/>
            <rFont val="MS P ゴシック"/>
            <family val="3"/>
            <charset val="128"/>
          </rPr>
          <t>矢野</t>
        </r>
      </text>
    </comment>
    <comment ref="H19" authorId="0" shapeId="0" xr:uid="{C4C63867-22FA-4E88-BD80-C926FEA492DD}">
      <text>
        <r>
          <rPr>
            <b/>
            <sz val="9"/>
            <color indexed="81"/>
            <rFont val="MS P ゴシック"/>
            <family val="3"/>
            <charset val="128"/>
          </rPr>
          <t>矢野</t>
        </r>
      </text>
    </comment>
    <comment ref="I19" authorId="0" shapeId="0" xr:uid="{34D38224-7B07-475E-9DDB-8BCB609C505D}">
      <text>
        <r>
          <rPr>
            <b/>
            <sz val="9"/>
            <color indexed="81"/>
            <rFont val="MS P ゴシック"/>
            <family val="3"/>
            <charset val="128"/>
          </rPr>
          <t>矢野</t>
        </r>
      </text>
    </comment>
    <comment ref="P19" authorId="0" shapeId="0" xr:uid="{EFF32632-395A-460D-8B20-9122211152A1}">
      <text>
        <r>
          <rPr>
            <b/>
            <sz val="9"/>
            <color indexed="81"/>
            <rFont val="MS P ゴシック"/>
            <family val="3"/>
            <charset val="128"/>
          </rPr>
          <t>加藤誠</t>
        </r>
      </text>
    </comment>
    <comment ref="G27" authorId="0" shapeId="0" xr:uid="{89ABFD81-78FC-419A-896D-31517B019D1E}">
      <text>
        <r>
          <rPr>
            <b/>
            <sz val="9"/>
            <color indexed="81"/>
            <rFont val="MS P ゴシック"/>
            <family val="3"/>
            <charset val="128"/>
          </rPr>
          <t>加藤誠</t>
        </r>
      </text>
    </comment>
    <comment ref="H27" authorId="0" shapeId="0" xr:uid="{6C032D02-0B4B-4D03-A992-4D36370969D6}">
      <text>
        <r>
          <rPr>
            <b/>
            <sz val="9"/>
            <color indexed="81"/>
            <rFont val="MS P ゴシック"/>
            <family val="3"/>
            <charset val="128"/>
          </rPr>
          <t>木村</t>
        </r>
      </text>
    </comment>
    <comment ref="M27" authorId="0" shapeId="0" xr:uid="{079D2162-0D8E-494A-BB0C-D91444C8A805}">
      <text>
        <r>
          <rPr>
            <b/>
            <sz val="9"/>
            <color indexed="81"/>
            <rFont val="MS P ゴシック"/>
            <family val="3"/>
            <charset val="128"/>
          </rPr>
          <t>木村、矢野、髙田</t>
        </r>
      </text>
    </comment>
    <comment ref="N27" authorId="0" shapeId="0" xr:uid="{7AD615D7-1332-42D2-A2E6-5B4B53768B6B}">
      <text>
        <r>
          <rPr>
            <b/>
            <sz val="9"/>
            <color indexed="81"/>
            <rFont val="MS P ゴシック"/>
            <family val="3"/>
            <charset val="128"/>
          </rPr>
          <t>木村</t>
        </r>
      </text>
    </comment>
    <comment ref="O27" authorId="0" shapeId="0" xr:uid="{5F27ED37-D532-4666-A832-952AF28C73AC}">
      <text>
        <r>
          <rPr>
            <b/>
            <sz val="9"/>
            <color indexed="81"/>
            <rFont val="MS P ゴシック"/>
            <family val="3"/>
            <charset val="128"/>
          </rPr>
          <t>矢野</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SEIZOU-26</author>
  </authors>
  <commentList>
    <comment ref="B2" authorId="0" shapeId="0" xr:uid="{92322189-FD01-49ED-8649-27C394A1FD21}">
      <text>
        <r>
          <rPr>
            <b/>
            <sz val="9"/>
            <color indexed="81"/>
            <rFont val="MS P ゴシック"/>
            <family val="3"/>
            <charset val="128"/>
          </rPr>
          <t>高橋拓、今井、新井翔、斉藤茂、髙田</t>
        </r>
      </text>
    </comment>
    <comment ref="C2" authorId="0" shapeId="0" xr:uid="{A261FFC1-3D68-483D-A4FA-2378916DFC0C}">
      <text>
        <r>
          <rPr>
            <b/>
            <sz val="9"/>
            <color indexed="81"/>
            <rFont val="MS P ゴシック"/>
            <family val="3"/>
            <charset val="128"/>
          </rPr>
          <t>今井、新井翔、髙田</t>
        </r>
      </text>
    </comment>
    <comment ref="D2" authorId="0" shapeId="0" xr:uid="{BFE75302-0B22-4648-9650-1B44B8F32BAE}">
      <text>
        <r>
          <rPr>
            <b/>
            <sz val="9"/>
            <color indexed="81"/>
            <rFont val="MS P ゴシック"/>
            <family val="3"/>
            <charset val="128"/>
          </rPr>
          <t>矢野、宮本</t>
        </r>
      </text>
    </comment>
    <comment ref="I2" authorId="0" shapeId="0" xr:uid="{4B988DF8-0B95-42FF-AF02-F8E296A42CBA}">
      <text>
        <r>
          <rPr>
            <b/>
            <sz val="9"/>
            <color indexed="81"/>
            <rFont val="MS P ゴシック"/>
            <family val="3"/>
            <charset val="128"/>
          </rPr>
          <t>加藤貴、新井翔、斉藤茂、矢野、宮本</t>
        </r>
      </text>
    </comment>
    <comment ref="J2" authorId="0" shapeId="0" xr:uid="{A9E4C40B-1B03-4753-BE90-3DE6BD384B22}">
      <text>
        <r>
          <rPr>
            <b/>
            <sz val="9"/>
            <color indexed="81"/>
            <rFont val="MS P ゴシック"/>
            <family val="3"/>
            <charset val="128"/>
          </rPr>
          <t>新井翔、斉藤茂、新井啓、矢野、髙田</t>
        </r>
      </text>
    </comment>
    <comment ref="Q2" authorId="0" shapeId="0" xr:uid="{007CA13A-5632-4A33-A25F-13B8A3D17EFB}">
      <text>
        <r>
          <rPr>
            <b/>
            <sz val="9"/>
            <color indexed="81"/>
            <rFont val="MS P ゴシック"/>
            <family val="3"/>
            <charset val="128"/>
          </rPr>
          <t>丸岡、加藤誠、楮本</t>
        </r>
      </text>
    </comment>
    <comment ref="R2" authorId="0" shapeId="0" xr:uid="{4FE1C9F1-73F3-4E87-9F77-7CF2343F59CD}">
      <text>
        <r>
          <rPr>
            <b/>
            <sz val="9"/>
            <color indexed="81"/>
            <rFont val="MS P ゴシック"/>
            <family val="3"/>
            <charset val="128"/>
          </rPr>
          <t>丸岡、加藤貴、岩田、楮本</t>
        </r>
      </text>
    </comment>
    <comment ref="B10" authorId="0" shapeId="0" xr:uid="{B611B14D-CFE7-449D-A4A4-2C49B3DA478D}">
      <text>
        <r>
          <rPr>
            <b/>
            <sz val="9"/>
            <color indexed="81"/>
            <rFont val="MS P ゴシック"/>
            <family val="3"/>
            <charset val="128"/>
          </rPr>
          <t>木村</t>
        </r>
      </text>
    </comment>
    <comment ref="G10" authorId="0" shapeId="0" xr:uid="{D4BD0AB4-555C-443C-B522-E6EF02C0C0A2}">
      <text>
        <r>
          <rPr>
            <b/>
            <sz val="9"/>
            <color indexed="81"/>
            <rFont val="MS P ゴシック"/>
            <family val="3"/>
            <charset val="128"/>
          </rPr>
          <t>斉藤茂、矢野</t>
        </r>
      </text>
    </comment>
    <comment ref="H10" authorId="0" shapeId="0" xr:uid="{3828A818-F778-4B34-8500-982828B7B876}">
      <text>
        <r>
          <rPr>
            <b/>
            <sz val="9"/>
            <color indexed="81"/>
            <rFont val="MS P ゴシック"/>
            <family val="3"/>
            <charset val="128"/>
          </rPr>
          <t>木村、加藤誠、岩田、斉藤茂</t>
        </r>
      </text>
    </comment>
    <comment ref="N10" authorId="0" shapeId="0" xr:uid="{BED5FDFD-C774-4928-BF64-7E8785F1F62D}">
      <text>
        <r>
          <rPr>
            <b/>
            <sz val="9"/>
            <color indexed="81"/>
            <rFont val="MS P ゴシック"/>
            <family val="3"/>
            <charset val="128"/>
          </rPr>
          <t>今井</t>
        </r>
      </text>
    </comment>
    <comment ref="O10" authorId="0" shapeId="0" xr:uid="{93B22E93-B5A9-4AD7-B29C-9FA4D0A4EDFD}">
      <text>
        <r>
          <rPr>
            <b/>
            <sz val="9"/>
            <color indexed="81"/>
            <rFont val="MS P ゴシック"/>
            <family val="3"/>
            <charset val="128"/>
          </rPr>
          <t>高橋拓、加藤誠、今井、新井啓、髙田</t>
        </r>
      </text>
    </comment>
    <comment ref="P10" authorId="0" shapeId="0" xr:uid="{07FE792E-1E28-469F-A8BA-2E8B610B47CE}">
      <text>
        <r>
          <rPr>
            <b/>
            <sz val="9"/>
            <color indexed="81"/>
            <rFont val="MS P ゴシック"/>
            <family val="3"/>
            <charset val="128"/>
          </rPr>
          <t>新井啓、矢野</t>
        </r>
      </text>
    </comment>
    <comment ref="F19" authorId="0" shapeId="0" xr:uid="{95B0A839-1BCE-4242-9177-A2094D1D5ACE}">
      <text>
        <r>
          <rPr>
            <b/>
            <sz val="9"/>
            <color indexed="81"/>
            <rFont val="MS P ゴシック"/>
            <family val="3"/>
            <charset val="128"/>
          </rPr>
          <t>高橋拓、矢野</t>
        </r>
      </text>
    </comment>
    <comment ref="G19" authorId="0" shapeId="0" xr:uid="{2839737D-2E95-4320-A607-0C2DEF49DE41}">
      <text>
        <r>
          <rPr>
            <b/>
            <sz val="9"/>
            <color indexed="81"/>
            <rFont val="MS P ゴシック"/>
            <family val="3"/>
            <charset val="128"/>
          </rPr>
          <t>加藤誠、矢野、楮本</t>
        </r>
      </text>
    </comment>
    <comment ref="H19" authorId="0" shapeId="0" xr:uid="{63FD54BC-6318-454A-9CD6-093948235180}">
      <text>
        <r>
          <rPr>
            <b/>
            <sz val="9"/>
            <color indexed="81"/>
            <rFont val="MS P ゴシック"/>
            <family val="3"/>
            <charset val="128"/>
          </rPr>
          <t>木村、楮本</t>
        </r>
      </text>
    </comment>
    <comment ref="O19" authorId="0" shapeId="0" xr:uid="{2F14A504-8C55-4180-8D96-F22A4CA27080}">
      <text>
        <r>
          <rPr>
            <b/>
            <sz val="9"/>
            <color indexed="81"/>
            <rFont val="MS P ゴシック"/>
            <family val="3"/>
            <charset val="128"/>
          </rPr>
          <t>加藤誠、今井</t>
        </r>
      </text>
    </comment>
    <comment ref="P19" authorId="0" shapeId="0" xr:uid="{72841FFF-BC34-490D-B1C6-581C1F6B6BAE}">
      <text>
        <r>
          <rPr>
            <b/>
            <sz val="9"/>
            <color indexed="81"/>
            <rFont val="MS P ゴシック"/>
            <family val="3"/>
            <charset val="128"/>
          </rPr>
          <t>高橋拓、木村、加藤誠、今井、楮本、髙田</t>
        </r>
      </text>
    </comment>
    <comment ref="Q19" authorId="0" shapeId="0" xr:uid="{A70BD078-956A-4C0E-BEFC-44C83288BA34}">
      <text>
        <r>
          <rPr>
            <b/>
            <sz val="9"/>
            <color indexed="81"/>
            <rFont val="MS P ゴシック"/>
            <family val="3"/>
            <charset val="128"/>
          </rPr>
          <t>木村、新井洋、楮本</t>
        </r>
      </text>
    </comment>
    <comment ref="E27" authorId="0" shapeId="0" xr:uid="{739A837B-7E68-4883-9EEA-2C8FDFA96DFA}">
      <text>
        <r>
          <rPr>
            <b/>
            <sz val="9"/>
            <color indexed="81"/>
            <rFont val="MS P ゴシック"/>
            <family val="3"/>
            <charset val="128"/>
          </rPr>
          <t>高橋拓、木村、加藤誠、今井、髙田</t>
        </r>
      </text>
    </comment>
    <comment ref="F27" authorId="0" shapeId="0" xr:uid="{44DD9557-07B2-4FA8-9396-9B073386EC1A}">
      <text>
        <r>
          <rPr>
            <b/>
            <sz val="9"/>
            <color indexed="81"/>
            <rFont val="MS P ゴシック"/>
            <family val="3"/>
            <charset val="128"/>
          </rPr>
          <t>高橋拓、加藤誠</t>
        </r>
      </text>
    </comment>
    <comment ref="G27" authorId="0" shapeId="0" xr:uid="{F245E443-99EE-4B17-A046-A25364C7FD31}">
      <text>
        <r>
          <rPr>
            <b/>
            <sz val="9"/>
            <color indexed="81"/>
            <rFont val="MS P ゴシック"/>
            <family val="3"/>
            <charset val="128"/>
          </rPr>
          <t>木村</t>
        </r>
      </text>
    </comment>
    <comment ref="L27" authorId="0" shapeId="0" xr:uid="{35FB86D8-D934-440F-A9B4-061F5E79C1C8}">
      <text>
        <r>
          <rPr>
            <b/>
            <sz val="9"/>
            <color indexed="81"/>
            <rFont val="MS P ゴシック"/>
            <family val="3"/>
            <charset val="128"/>
          </rPr>
          <t>木村</t>
        </r>
      </text>
    </comment>
    <comment ref="N27" authorId="0" shapeId="0" xr:uid="{C02743ED-81B6-42F8-B5C9-D83BC9724184}">
      <text>
        <r>
          <rPr>
            <b/>
            <sz val="9"/>
            <color indexed="81"/>
            <rFont val="MS P ゴシック"/>
            <family val="3"/>
            <charset val="128"/>
          </rPr>
          <t>木村</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SEIZOU-26</author>
  </authors>
  <commentList>
    <comment ref="G2" authorId="0" shapeId="0" xr:uid="{2125D37F-F92C-4508-B1D4-E557E515030E}">
      <text>
        <r>
          <rPr>
            <b/>
            <sz val="9"/>
            <color indexed="81"/>
            <rFont val="MS P ゴシック"/>
            <family val="3"/>
            <charset val="128"/>
          </rPr>
          <t>宮本、新井翔、髙田</t>
        </r>
      </text>
    </comment>
    <comment ref="H2" authorId="0" shapeId="0" xr:uid="{1E2876A4-1EB6-4FD8-B570-BB59F7343350}">
      <text>
        <r>
          <rPr>
            <b/>
            <sz val="9"/>
            <color indexed="81"/>
            <rFont val="MS P ゴシック"/>
            <family val="3"/>
            <charset val="128"/>
          </rPr>
          <t>高橋拓、新井翔</t>
        </r>
      </text>
    </comment>
    <comment ref="O2" authorId="0" shapeId="0" xr:uid="{00635E14-44C8-4D31-993B-3F8467FD4EA6}">
      <text>
        <r>
          <rPr>
            <b/>
            <sz val="9"/>
            <color indexed="81"/>
            <rFont val="MS P ゴシック"/>
            <family val="3"/>
            <charset val="128"/>
          </rPr>
          <t>加藤誠</t>
        </r>
      </text>
    </comment>
    <comment ref="P2" authorId="0" shapeId="0" xr:uid="{BF60F222-1A64-4F8F-8CD4-B630B398AB99}">
      <text>
        <r>
          <rPr>
            <b/>
            <sz val="9"/>
            <color indexed="81"/>
            <rFont val="MS P ゴシック"/>
            <family val="3"/>
            <charset val="128"/>
          </rPr>
          <t>新井啓</t>
        </r>
      </text>
    </comment>
    <comment ref="E10" authorId="0" shapeId="0" xr:uid="{457D75FB-9BA5-4735-8E72-A874958D3AFF}">
      <text>
        <r>
          <rPr>
            <b/>
            <sz val="9"/>
            <color indexed="81"/>
            <rFont val="MS P ゴシック"/>
            <family val="3"/>
            <charset val="128"/>
          </rPr>
          <t>勅使河原、斉藤、今井</t>
        </r>
      </text>
    </comment>
    <comment ref="F10" authorId="0" shapeId="0" xr:uid="{7FC34AB4-976D-4B6D-B828-D9F944B08932}">
      <text>
        <r>
          <rPr>
            <b/>
            <sz val="9"/>
            <color indexed="81"/>
            <rFont val="MS P ゴシック"/>
            <family val="3"/>
            <charset val="128"/>
          </rPr>
          <t>勅使河原、斉藤、今井</t>
        </r>
      </text>
    </comment>
    <comment ref="G10" authorId="0" shapeId="0" xr:uid="{CD1C9DFE-89E2-45E5-9AA3-938D7D975D8D}">
      <text>
        <r>
          <rPr>
            <b/>
            <sz val="9"/>
            <color indexed="81"/>
            <rFont val="MS P ゴシック"/>
            <family val="3"/>
            <charset val="128"/>
          </rPr>
          <t>夜勤不可、木村</t>
        </r>
      </text>
    </comment>
    <comment ref="L10" authorId="0" shapeId="0" xr:uid="{B6F16CA7-39BA-4862-B2E9-B7DFA51CDD84}">
      <text>
        <r>
          <rPr>
            <b/>
            <sz val="9"/>
            <color indexed="81"/>
            <rFont val="MS P ゴシック"/>
            <family val="3"/>
            <charset val="128"/>
          </rPr>
          <t>勅使河原、高橋拓、今井、髙田</t>
        </r>
      </text>
    </comment>
    <comment ref="M10" authorId="0" shapeId="0" xr:uid="{CBE3E753-8E5A-4698-9DFC-A1A7231578AC}">
      <text>
        <r>
          <rPr>
            <b/>
            <sz val="9"/>
            <color indexed="81"/>
            <rFont val="MS P ゴシック"/>
            <family val="3"/>
            <charset val="128"/>
          </rPr>
          <t>勅使河原、高橋拓、新井啓、加藤誠、今井、髙田</t>
        </r>
      </text>
    </comment>
    <comment ref="N10" authorId="0" shapeId="0" xr:uid="{B280EE42-9EA0-4CAA-A419-4B2CF5936A12}">
      <text>
        <r>
          <rPr>
            <b/>
            <sz val="9"/>
            <color indexed="81"/>
            <rFont val="MS P ゴシック"/>
            <family val="3"/>
            <charset val="128"/>
          </rPr>
          <t>夜勤不可、木村</t>
        </r>
      </text>
    </comment>
    <comment ref="D19" authorId="0" shapeId="0" xr:uid="{CD3FD640-B20F-45BC-B2A5-B95F5206C06E}">
      <text>
        <r>
          <rPr>
            <b/>
            <sz val="9"/>
            <color indexed="81"/>
            <rFont val="MS P ゴシック"/>
            <family val="3"/>
            <charset val="128"/>
          </rPr>
          <t>高橋拓、新井翔</t>
        </r>
      </text>
    </comment>
    <comment ref="E19" authorId="0" shapeId="0" xr:uid="{91A7FD2B-6974-4463-9870-0627975D9210}">
      <text>
        <r>
          <rPr>
            <b/>
            <sz val="9"/>
            <color indexed="81"/>
            <rFont val="MS P ゴシック"/>
            <family val="3"/>
            <charset val="128"/>
          </rPr>
          <t>木村、高橋拓、新井翔</t>
        </r>
      </text>
    </comment>
    <comment ref="F19" authorId="0" shapeId="0" xr:uid="{920CDA51-0565-43AE-9EBE-21D85B6A516F}">
      <text>
        <r>
          <rPr>
            <b/>
            <sz val="9"/>
            <color indexed="81"/>
            <rFont val="MS P ゴシック"/>
            <family val="3"/>
            <charset val="128"/>
          </rPr>
          <t>夜勤不可、木村、矢野、新井洋</t>
        </r>
      </text>
    </comment>
    <comment ref="K19" authorId="0" shapeId="0" xr:uid="{DA6C31C2-C0C5-4E67-812E-55AA9BFFA78B}">
      <text>
        <r>
          <rPr>
            <b/>
            <sz val="9"/>
            <color indexed="81"/>
            <rFont val="MS P ゴシック"/>
            <family val="3"/>
            <charset val="128"/>
          </rPr>
          <t>木村、勅使河原、矢野、新井洋、髙田</t>
        </r>
      </text>
    </comment>
    <comment ref="N19" authorId="0" shapeId="0" xr:uid="{F12F1620-250E-431F-942A-663579611D5C}">
      <text>
        <r>
          <rPr>
            <b/>
            <sz val="9"/>
            <color indexed="81"/>
            <rFont val="MS P ゴシック"/>
            <family val="3"/>
            <charset val="128"/>
          </rPr>
          <t>矢野、新井洋</t>
        </r>
      </text>
    </comment>
    <comment ref="O19" authorId="0" shapeId="0" xr:uid="{564CABBC-6BEF-493F-953A-43EF26BC7D68}">
      <text>
        <r>
          <rPr>
            <b/>
            <sz val="9"/>
            <color indexed="81"/>
            <rFont val="MS P ゴシック"/>
            <family val="3"/>
            <charset val="128"/>
          </rPr>
          <t>夜勤不可、新井洋</t>
        </r>
      </text>
    </comment>
    <comment ref="C27" authorId="0" shapeId="0" xr:uid="{F6DC4BA9-1537-4D41-9B9B-93147D1F9473}">
      <text>
        <r>
          <rPr>
            <b/>
            <sz val="9"/>
            <color indexed="81"/>
            <rFont val="MS P ゴシック"/>
            <family val="3"/>
            <charset val="128"/>
          </rPr>
          <t>高橋良、加藤誠、髙田</t>
        </r>
      </text>
    </comment>
    <comment ref="D27" authorId="0" shapeId="0" xr:uid="{38F672DD-B16E-483F-95E9-8CCF02B734E4}">
      <text>
        <r>
          <rPr>
            <b/>
            <sz val="9"/>
            <color indexed="81"/>
            <rFont val="MS P ゴシック"/>
            <family val="3"/>
            <charset val="128"/>
          </rPr>
          <t>高橋良、加藤誠、新井洋</t>
        </r>
      </text>
    </comment>
    <comment ref="E27" authorId="0" shapeId="0" xr:uid="{553F08E0-91D7-4D6B-ADA4-40D4E49EC321}">
      <text>
        <r>
          <rPr>
            <b/>
            <sz val="9"/>
            <color indexed="81"/>
            <rFont val="MS P ゴシック"/>
            <family val="3"/>
            <charset val="128"/>
          </rPr>
          <t>夜勤不可、木村、新井洋</t>
        </r>
      </text>
    </comment>
    <comment ref="K27" authorId="0" shapeId="0" xr:uid="{952485D3-950C-49F6-962C-13673DF6A5B9}">
      <text>
        <r>
          <rPr>
            <b/>
            <sz val="9"/>
            <color indexed="81"/>
            <rFont val="MS P ゴシック"/>
            <family val="3"/>
            <charset val="128"/>
          </rPr>
          <t>今井、新井洋</t>
        </r>
      </text>
    </comment>
    <comment ref="L27" authorId="0" shapeId="0" xr:uid="{649887D8-D660-40A6-989E-81924A2C7C78}">
      <text>
        <r>
          <rPr>
            <b/>
            <sz val="9"/>
            <color indexed="81"/>
            <rFont val="MS P ゴシック"/>
            <family val="3"/>
            <charset val="128"/>
          </rPr>
          <t>夜勤不可、新井洋</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SEIZOU-26</author>
  </authors>
  <commentList>
    <comment ref="E2" authorId="0" shapeId="0" xr:uid="{2C81C79F-7603-4213-934C-1E55F3F39244}">
      <text>
        <r>
          <rPr>
            <b/>
            <sz val="9"/>
            <color indexed="81"/>
            <rFont val="MS P ゴシック"/>
            <family val="3"/>
            <charset val="128"/>
          </rPr>
          <t>加藤貴、矢野、新井翔、斉藤、木村</t>
        </r>
      </text>
    </comment>
    <comment ref="F2" authorId="0" shapeId="0" xr:uid="{81980578-2E89-43D4-BE0A-52A1CB837023}">
      <text>
        <r>
          <rPr>
            <b/>
            <sz val="9"/>
            <color indexed="81"/>
            <rFont val="MS P ゴシック"/>
            <family val="3"/>
            <charset val="128"/>
          </rPr>
          <t>矢野、新井翔、斉藤、木村</t>
        </r>
      </text>
    </comment>
    <comment ref="N2" authorId="0" shapeId="0" xr:uid="{3E3740C8-27FD-49EF-8735-B87B9B1EBDED}">
      <text>
        <r>
          <rPr>
            <b/>
            <sz val="9"/>
            <color indexed="81"/>
            <rFont val="MS P ゴシック"/>
            <family val="3"/>
            <charset val="128"/>
          </rPr>
          <t>加藤貴、楮本</t>
        </r>
      </text>
    </comment>
    <comment ref="O2" authorId="0" shapeId="0" xr:uid="{C9F0A6A5-78C2-4F5F-B9F5-FEA98C569A4D}">
      <text>
        <r>
          <rPr>
            <b/>
            <sz val="9"/>
            <color indexed="81"/>
            <rFont val="MS P ゴシック"/>
            <family val="3"/>
            <charset val="128"/>
          </rPr>
          <t>楮本</t>
        </r>
      </text>
    </comment>
    <comment ref="E10" authorId="0" shapeId="0" xr:uid="{96CD7893-CB85-4439-BF82-1DAEF2600E5E}">
      <text>
        <r>
          <rPr>
            <b/>
            <sz val="9"/>
            <color indexed="81"/>
            <rFont val="MS P ゴシック"/>
            <family val="3"/>
            <charset val="128"/>
          </rPr>
          <t>高橋良</t>
        </r>
      </text>
    </comment>
    <comment ref="K10" authorId="0" shapeId="0" xr:uid="{F8493B48-7B33-419D-B7DD-2638CADD253A}">
      <text>
        <r>
          <rPr>
            <b/>
            <sz val="9"/>
            <color indexed="81"/>
            <rFont val="MS P ゴシック"/>
            <family val="3"/>
            <charset val="128"/>
          </rPr>
          <t>加藤貴、今井</t>
        </r>
      </text>
    </comment>
    <comment ref="L10" authorId="0" shapeId="0" xr:uid="{F8664D0A-F0A5-463A-9C94-8E5EB93D5036}">
      <text>
        <r>
          <rPr>
            <b/>
            <sz val="9"/>
            <color indexed="81"/>
            <rFont val="MS P ゴシック"/>
            <family val="3"/>
            <charset val="128"/>
          </rPr>
          <t>加藤貴、加藤誠、高橋良</t>
        </r>
      </text>
    </comment>
    <comment ref="C19" authorId="0" shapeId="0" xr:uid="{7E99A1B7-24B0-4AFF-8DDE-6CA5234CBFB1}">
      <text>
        <r>
          <rPr>
            <b/>
            <sz val="9"/>
            <color indexed="81"/>
            <rFont val="MS P ゴシック"/>
            <family val="3"/>
            <charset val="128"/>
          </rPr>
          <t>加藤貴、矢野、今井、髙田、宮本、楮本</t>
        </r>
      </text>
    </comment>
    <comment ref="D19" authorId="0" shapeId="0" xr:uid="{3DAF55E4-FE53-48D2-8B71-8470CEB9A3AC}">
      <text>
        <r>
          <rPr>
            <b/>
            <sz val="9"/>
            <color indexed="81"/>
            <rFont val="MS P ゴシック"/>
            <family val="3"/>
            <charset val="128"/>
          </rPr>
          <t>加藤貴、今井、髙田、加藤誠</t>
        </r>
      </text>
    </comment>
    <comment ref="E19" authorId="0" shapeId="0" xr:uid="{C19368DE-1160-4E28-A06A-23CA308FEB1E}">
      <text>
        <r>
          <rPr>
            <b/>
            <sz val="9"/>
            <color indexed="81"/>
            <rFont val="MS P ゴシック"/>
            <family val="3"/>
            <charset val="128"/>
          </rPr>
          <t>矢野</t>
        </r>
      </text>
    </comment>
    <comment ref="J19" authorId="0" shapeId="0" xr:uid="{8EED096A-16E3-4FE6-AE91-3B29686F6C40}">
      <text>
        <r>
          <rPr>
            <b/>
            <sz val="9"/>
            <color indexed="81"/>
            <rFont val="MS P ゴシック"/>
            <family val="3"/>
            <charset val="128"/>
          </rPr>
          <t>矢野、加藤誠、高橋拓、勅使河原</t>
        </r>
      </text>
    </comment>
    <comment ref="K19" authorId="0" shapeId="0" xr:uid="{32752F88-7DBE-43D9-98F3-B59E35E415CA}">
      <text>
        <r>
          <rPr>
            <b/>
            <sz val="9"/>
            <color indexed="81"/>
            <rFont val="MS P ゴシック"/>
            <family val="3"/>
            <charset val="128"/>
          </rPr>
          <t>矢野、加藤誠、高橋拓、勅使河原</t>
        </r>
      </text>
    </comment>
    <comment ref="L19" authorId="0" shapeId="0" xr:uid="{CADF8336-1336-40F1-9C69-801AE1319569}">
      <text>
        <r>
          <rPr>
            <b/>
            <sz val="9"/>
            <color indexed="81"/>
            <rFont val="MS P ゴシック"/>
            <family val="3"/>
            <charset val="128"/>
          </rPr>
          <t>木村</t>
        </r>
      </text>
    </comment>
    <comment ref="R19" authorId="0" shapeId="0" xr:uid="{38647898-7D51-4106-AF9B-4D406A3157FB}">
      <text>
        <r>
          <rPr>
            <b/>
            <sz val="9"/>
            <color indexed="81"/>
            <rFont val="MS P ゴシック"/>
            <family val="3"/>
            <charset val="128"/>
          </rPr>
          <t>加藤誠、木村、勅使河原</t>
        </r>
      </text>
    </comment>
    <comment ref="B27" authorId="0" shapeId="0" xr:uid="{AE81EBD6-8CC2-47AD-AE2B-6CD443CCF532}">
      <text>
        <r>
          <rPr>
            <b/>
            <sz val="9"/>
            <color indexed="81"/>
            <rFont val="MS P ゴシック"/>
            <family val="3"/>
            <charset val="128"/>
          </rPr>
          <t>加藤誠、木村、勅使河原</t>
        </r>
      </text>
    </comment>
    <comment ref="J27" authorId="0" shapeId="0" xr:uid="{9895CBA7-CA48-40C1-807E-9D87F370E738}">
      <text>
        <r>
          <rPr>
            <b/>
            <sz val="9"/>
            <color indexed="81"/>
            <rFont val="MS P ゴシック"/>
            <family val="3"/>
            <charset val="128"/>
          </rPr>
          <t>木村</t>
        </r>
      </text>
    </comment>
    <comment ref="O27" authorId="0" shapeId="0" xr:uid="{3FDCF139-9AF8-444D-9039-0A708B62B947}">
      <text>
        <r>
          <rPr>
            <b/>
            <sz val="9"/>
            <color indexed="81"/>
            <rFont val="MS P ゴシック"/>
            <family val="3"/>
            <charset val="128"/>
          </rPr>
          <t>髙田、木村</t>
        </r>
      </text>
    </comment>
    <comment ref="P27" authorId="0" shapeId="0" xr:uid="{873B1CE6-8997-4D22-B22B-A9C62E1A5665}">
      <text>
        <r>
          <rPr>
            <b/>
            <sz val="9"/>
            <color indexed="81"/>
            <rFont val="MS P ゴシック"/>
            <family val="3"/>
            <charset val="128"/>
          </rPr>
          <t>木村</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SEIZOU-26</author>
  </authors>
  <commentList>
    <comment ref="C2" authorId="0" shapeId="0" xr:uid="{D6772645-DE66-4740-AC80-22055371CD1D}">
      <text>
        <r>
          <rPr>
            <b/>
            <sz val="9"/>
            <color indexed="81"/>
            <rFont val="MS P ゴシック"/>
            <family val="3"/>
            <charset val="128"/>
          </rPr>
          <t>木村、楮本、髙田</t>
        </r>
      </text>
    </comment>
    <comment ref="D2" authorId="0" shapeId="0" xr:uid="{D9CC6C1B-8488-4C5A-B9B3-3533A5F15B72}">
      <text>
        <r>
          <rPr>
            <b/>
            <sz val="9"/>
            <color indexed="81"/>
            <rFont val="MS P ゴシック"/>
            <family val="3"/>
            <charset val="128"/>
          </rPr>
          <t>木村、今井</t>
        </r>
      </text>
    </comment>
    <comment ref="E2" authorId="0" shapeId="0" xr:uid="{CBF280E6-5AA2-4AAA-8603-4DBBA3518549}">
      <text>
        <r>
          <rPr>
            <b/>
            <sz val="9"/>
            <color indexed="81"/>
            <rFont val="MS P ゴシック"/>
            <family val="3"/>
            <charset val="128"/>
          </rPr>
          <t>夜勤、矢野</t>
        </r>
      </text>
    </comment>
    <comment ref="J2" authorId="0" shapeId="0" xr:uid="{990427D3-1989-4D76-976A-9A612AC33FF5}">
      <text>
        <r>
          <rPr>
            <b/>
            <sz val="9"/>
            <color indexed="81"/>
            <rFont val="MS P ゴシック"/>
            <family val="3"/>
            <charset val="128"/>
          </rPr>
          <t>木村、楮本、矢野、加藤誠、丸岡、髙田</t>
        </r>
      </text>
    </comment>
    <comment ref="K2" authorId="0" shapeId="0" xr:uid="{E8F2CFFD-6170-427E-B4B8-FDCDC59E5069}">
      <text>
        <r>
          <rPr>
            <b/>
            <sz val="9"/>
            <color indexed="81"/>
            <rFont val="MS P ゴシック"/>
            <family val="3"/>
            <charset val="128"/>
          </rPr>
          <t>木村、矢野、加藤誠</t>
        </r>
      </text>
    </comment>
    <comment ref="I10" authorId="0" shapeId="0" xr:uid="{BA402058-3E56-4F06-8065-659BE7BCBE2D}">
      <text>
        <r>
          <rPr>
            <b/>
            <sz val="9"/>
            <color indexed="81"/>
            <rFont val="MS P ゴシック"/>
            <family val="3"/>
            <charset val="128"/>
          </rPr>
          <t>斉藤、髙田、木村</t>
        </r>
      </text>
    </comment>
    <comment ref="J10" authorId="0" shapeId="0" xr:uid="{D5551F72-6EE3-4FC1-B7D7-743E572595AF}">
      <text>
        <r>
          <rPr>
            <b/>
            <sz val="9"/>
            <color indexed="81"/>
            <rFont val="MS P ゴシック"/>
            <family val="3"/>
            <charset val="128"/>
          </rPr>
          <t>木村、斉藤</t>
        </r>
      </text>
    </comment>
    <comment ref="P10" authorId="0" shapeId="0" xr:uid="{CC180B57-A68D-4CD3-82B9-47BAB83C5358}">
      <text>
        <r>
          <rPr>
            <b/>
            <sz val="9"/>
            <color indexed="81"/>
            <rFont val="MS P ゴシック"/>
            <family val="3"/>
            <charset val="128"/>
          </rPr>
          <t>楮本</t>
        </r>
      </text>
    </comment>
    <comment ref="C19" authorId="0" shapeId="0" xr:uid="{A0FC266A-DE93-4865-A59A-54AD4DEBC80A}">
      <text>
        <r>
          <rPr>
            <b/>
            <sz val="9"/>
            <color indexed="81"/>
            <rFont val="MS P ゴシック"/>
            <family val="3"/>
            <charset val="128"/>
          </rPr>
          <t>夜勤、矢野</t>
        </r>
      </text>
    </comment>
    <comment ref="H19" authorId="0" shapeId="0" xr:uid="{530BBD0E-721F-4000-B11A-4DCF00830154}">
      <text>
        <r>
          <rPr>
            <b/>
            <sz val="9"/>
            <color indexed="81"/>
            <rFont val="MS P ゴシック"/>
            <family val="3"/>
            <charset val="128"/>
          </rPr>
          <t>矢野、加藤誠</t>
        </r>
      </text>
    </comment>
    <comment ref="I19" authorId="0" shapeId="0" xr:uid="{366D14D8-7809-4870-9CD3-C8E675C14E42}">
      <text>
        <r>
          <rPr>
            <b/>
            <sz val="9"/>
            <color indexed="81"/>
            <rFont val="MS P ゴシック"/>
            <family val="3"/>
            <charset val="128"/>
          </rPr>
          <t>矢野、加藤誠</t>
        </r>
      </text>
    </comment>
    <comment ref="P19" authorId="0" shapeId="0" xr:uid="{B00DF477-B4CD-476E-B6A1-C4F858E2C204}">
      <text>
        <r>
          <rPr>
            <b/>
            <sz val="9"/>
            <color indexed="81"/>
            <rFont val="MS P ゴシック"/>
            <family val="3"/>
            <charset val="128"/>
          </rPr>
          <t>髙田</t>
        </r>
      </text>
    </comment>
    <comment ref="F27" authorId="0" shapeId="0" xr:uid="{539046A1-9C12-48B2-BB68-4589DADE7713}">
      <text>
        <r>
          <rPr>
            <b/>
            <sz val="9"/>
            <color indexed="81"/>
            <rFont val="MS P ゴシック"/>
            <family val="3"/>
            <charset val="128"/>
          </rPr>
          <t>加藤誠</t>
        </r>
      </text>
    </comment>
    <comment ref="M27" authorId="0" shapeId="0" xr:uid="{07374DCB-00A8-40D7-ACB4-FC955BC29B53}">
      <text>
        <r>
          <rPr>
            <b/>
            <sz val="9"/>
            <color indexed="81"/>
            <rFont val="MS P ゴシック"/>
            <family val="3"/>
            <charset val="128"/>
          </rPr>
          <t>楮本、髙田</t>
        </r>
      </text>
    </comment>
    <comment ref="O27" authorId="0" shapeId="0" xr:uid="{710BFFCD-96D6-4DA6-B2F9-632FC98A9DEE}">
      <text>
        <r>
          <rPr>
            <b/>
            <sz val="9"/>
            <color indexed="81"/>
            <rFont val="MS P ゴシック"/>
            <family val="3"/>
            <charset val="128"/>
          </rPr>
          <t xml:space="preserve">夜勤・木村
</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SEIZOU-26</author>
  </authors>
  <commentList>
    <comment ref="F2" authorId="0" shapeId="0" xr:uid="{A594E30F-3CC5-48DE-B61A-C2E35788FAA9}">
      <text>
        <r>
          <rPr>
            <b/>
            <sz val="9"/>
            <color indexed="81"/>
            <rFont val="MS P ゴシック"/>
            <family val="3"/>
            <charset val="128"/>
          </rPr>
          <t>加藤誠、矢野、高橋拓、楮本、勅使河原</t>
        </r>
      </text>
    </comment>
    <comment ref="G2" authorId="0" shapeId="0" xr:uid="{41D938E0-67F3-4E6D-A6A8-1A6B4F519320}">
      <text>
        <r>
          <rPr>
            <b/>
            <sz val="9"/>
            <color indexed="81"/>
            <rFont val="MS P ゴシック"/>
            <family val="3"/>
            <charset val="128"/>
          </rPr>
          <t>加藤誠、矢野</t>
        </r>
      </text>
    </comment>
    <comment ref="Q2" authorId="0" shapeId="0" xr:uid="{07897DA7-7104-4F9E-AC86-6F172DA4A4A6}">
      <text>
        <r>
          <rPr>
            <b/>
            <sz val="9"/>
            <color indexed="81"/>
            <rFont val="MS P ゴシック"/>
            <family val="3"/>
            <charset val="128"/>
          </rPr>
          <t>新井翔</t>
        </r>
      </text>
    </comment>
    <comment ref="R2" authorId="0" shapeId="0" xr:uid="{5B54F01E-2D27-4E67-9AA7-A9339561FCE3}">
      <text>
        <r>
          <rPr>
            <b/>
            <sz val="9"/>
            <color indexed="81"/>
            <rFont val="MS P ゴシック"/>
            <family val="3"/>
            <charset val="128"/>
          </rPr>
          <t>加藤誠、新井翔</t>
        </r>
      </text>
    </comment>
    <comment ref="G10" authorId="0" shapeId="0" xr:uid="{E37BA242-AB41-486C-BD53-DF49B0711947}">
      <text>
        <r>
          <rPr>
            <b/>
            <sz val="9"/>
            <color indexed="81"/>
            <rFont val="MS P ゴシック"/>
            <family val="3"/>
            <charset val="128"/>
          </rPr>
          <t>加藤誠</t>
        </r>
      </text>
    </comment>
    <comment ref="H10" authorId="0" shapeId="0" xr:uid="{6FA8FB28-77B5-40A9-8199-120FB8DAF9E8}">
      <text>
        <r>
          <rPr>
            <b/>
            <sz val="9"/>
            <color indexed="81"/>
            <rFont val="MS P ゴシック"/>
            <family val="3"/>
            <charset val="128"/>
          </rPr>
          <t>加藤誠、楮本</t>
        </r>
      </text>
    </comment>
    <comment ref="I10" authorId="0" shapeId="0" xr:uid="{E75A37B8-7A2D-471E-8AA3-54C3922DCD6F}">
      <text>
        <r>
          <rPr>
            <b/>
            <sz val="9"/>
            <color indexed="81"/>
            <rFont val="MS P ゴシック"/>
            <family val="3"/>
            <charset val="128"/>
          </rPr>
          <t>夜勤不可　木村</t>
        </r>
      </text>
    </comment>
    <comment ref="N10" authorId="0" shapeId="0" xr:uid="{4A7F6946-4712-4BE3-9FB5-3C5C5A698324}">
      <text>
        <r>
          <rPr>
            <b/>
            <sz val="9"/>
            <color indexed="81"/>
            <rFont val="MS P ゴシック"/>
            <family val="3"/>
            <charset val="128"/>
          </rPr>
          <t>楮本、木村、新井翔、新井洋</t>
        </r>
      </text>
    </comment>
    <comment ref="O10" authorId="0" shapeId="0" xr:uid="{EBD0FBFA-AAE9-4B6D-8AB6-B349E0D28C93}">
      <text>
        <r>
          <rPr>
            <b/>
            <sz val="9"/>
            <color indexed="81"/>
            <rFont val="MS P ゴシック"/>
            <family val="3"/>
            <charset val="128"/>
          </rPr>
          <t xml:space="preserve">木村、新井洋
</t>
        </r>
      </text>
    </comment>
    <comment ref="P10" authorId="0" shapeId="0" xr:uid="{28D9E966-876B-4B8A-AA0B-B7FC6930E14B}">
      <text>
        <r>
          <rPr>
            <b/>
            <sz val="9"/>
            <color indexed="81"/>
            <rFont val="MS P ゴシック"/>
            <family val="3"/>
            <charset val="128"/>
          </rPr>
          <t>夜勤不可　新井啓</t>
        </r>
      </text>
    </comment>
    <comment ref="N19" authorId="0" shapeId="0" xr:uid="{7A550B30-8454-44F0-BA59-4264652F5C3B}">
      <text>
        <r>
          <rPr>
            <b/>
            <sz val="9"/>
            <color indexed="81"/>
            <rFont val="MS P ゴシック"/>
            <family val="3"/>
            <charset val="128"/>
          </rPr>
          <t>加藤誠</t>
        </r>
      </text>
    </comment>
    <comment ref="O19" authorId="0" shapeId="0" xr:uid="{938F32AF-5E5B-45DB-8975-8D4BA4CB4880}">
      <text>
        <r>
          <rPr>
            <b/>
            <sz val="9"/>
            <color indexed="81"/>
            <rFont val="MS P ゴシック"/>
            <family val="3"/>
            <charset val="128"/>
          </rPr>
          <t>加藤誠</t>
        </r>
      </text>
    </comment>
    <comment ref="K27" authorId="0" shapeId="0" xr:uid="{B91FAAD1-4A4B-4F67-A94A-28EF6DE8244D}">
      <text>
        <r>
          <rPr>
            <b/>
            <sz val="9"/>
            <color indexed="81"/>
            <rFont val="MS P ゴシック"/>
            <family val="3"/>
            <charset val="128"/>
          </rPr>
          <t>矢野</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SEIZOU-26</author>
  </authors>
  <commentList>
    <comment ref="E2" authorId="0" shapeId="0" xr:uid="{D9FF6E1D-30EE-44FC-A6F5-DB6E6F39E939}">
      <text>
        <r>
          <rPr>
            <b/>
            <sz val="9"/>
            <color indexed="81"/>
            <rFont val="MS P ゴシック"/>
            <family val="3"/>
            <charset val="128"/>
          </rPr>
          <t>加藤誠、高橋良、高橋拓、木村、加藤貴</t>
        </r>
      </text>
    </comment>
    <comment ref="F2" authorId="0" shapeId="0" xr:uid="{875DB725-3E2E-4B52-B5BA-03B70B61649C}">
      <text>
        <r>
          <rPr>
            <b/>
            <sz val="9"/>
            <color indexed="81"/>
            <rFont val="MS P ゴシック"/>
            <family val="3"/>
            <charset val="128"/>
          </rPr>
          <t>加藤誠、高橋良、高橋拓、木村、今井、加藤貴</t>
        </r>
      </text>
    </comment>
    <comment ref="C10" authorId="0" shapeId="0" xr:uid="{61DB5E5F-97D6-4559-ACDE-5B5076FDD41A}">
      <text>
        <r>
          <rPr>
            <b/>
            <sz val="9"/>
            <color indexed="81"/>
            <rFont val="MS P ゴシック"/>
            <family val="3"/>
            <charset val="128"/>
          </rPr>
          <t>加藤誠、楮本、勅使河原</t>
        </r>
      </text>
    </comment>
    <comment ref="D10" authorId="0" shapeId="0" xr:uid="{658B7E76-7957-4D01-A957-9142E80BF1B4}">
      <text>
        <r>
          <rPr>
            <b/>
            <sz val="9"/>
            <color indexed="81"/>
            <rFont val="MS P ゴシック"/>
            <family val="3"/>
            <charset val="128"/>
          </rPr>
          <t>加藤誠、楮本、木村、勅使河原</t>
        </r>
      </text>
    </comment>
    <comment ref="B19" authorId="0" shapeId="0" xr:uid="{6B4B943C-8919-41F5-8F7D-87948EFEDC4B}">
      <text>
        <r>
          <rPr>
            <b/>
            <sz val="9"/>
            <color indexed="81"/>
            <rFont val="MS P ゴシック"/>
            <family val="3"/>
            <charset val="128"/>
          </rPr>
          <t xml:space="preserve">楮本
</t>
        </r>
      </text>
    </comment>
    <comment ref="J19" authorId="0" shapeId="0" xr:uid="{7B725C36-C3DC-4E84-9D01-4AC0E742FAAC}">
      <text>
        <r>
          <rPr>
            <b/>
            <sz val="9"/>
            <color indexed="81"/>
            <rFont val="MS P ゴシック"/>
            <family val="3"/>
            <charset val="128"/>
          </rPr>
          <t>加藤貴</t>
        </r>
      </text>
    </comment>
    <comment ref="R19" authorId="0" shapeId="0" xr:uid="{4787351B-36BF-4A95-B20A-0B5AC4CFDD76}">
      <text>
        <r>
          <rPr>
            <b/>
            <sz val="9"/>
            <color indexed="81"/>
            <rFont val="MS P ゴシック"/>
            <family val="3"/>
            <charset val="128"/>
          </rPr>
          <t>加藤貴</t>
        </r>
      </text>
    </comment>
    <comment ref="G27" authorId="0" shapeId="0" xr:uid="{FBCB38AD-C09C-42EA-8FC0-ED15275F9B57}">
      <text>
        <r>
          <rPr>
            <b/>
            <sz val="9"/>
            <color indexed="81"/>
            <rFont val="MS P ゴシック"/>
            <family val="3"/>
            <charset val="128"/>
          </rPr>
          <t>勅使河原</t>
        </r>
      </text>
    </comment>
    <comment ref="N27" authorId="0" shapeId="0" xr:uid="{BDC4FEF3-54B5-4625-9556-6F2DFA79B4CC}">
      <text>
        <r>
          <rPr>
            <b/>
            <sz val="9"/>
            <color indexed="81"/>
            <rFont val="MS P ゴシック"/>
            <family val="3"/>
            <charset val="128"/>
          </rPr>
          <t>楮本、木村、勅使河原</t>
        </r>
      </text>
    </comment>
    <comment ref="O27" authorId="0" shapeId="0" xr:uid="{7644A04A-D766-48A4-8446-4AEB5230E144}">
      <text>
        <r>
          <rPr>
            <b/>
            <sz val="9"/>
            <color indexed="81"/>
            <rFont val="MS P ゴシック"/>
            <family val="3"/>
            <charset val="128"/>
          </rPr>
          <t>楮本、木村</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SEIZOU-26</author>
  </authors>
  <commentList>
    <comment ref="C2" authorId="0" shapeId="0" xr:uid="{CB3AFE91-859C-4828-B722-F6014BDD1926}">
      <text>
        <r>
          <rPr>
            <b/>
            <sz val="9"/>
            <color indexed="81"/>
            <rFont val="MS P ゴシック"/>
            <family val="3"/>
            <charset val="128"/>
          </rPr>
          <t>加藤誠</t>
        </r>
      </text>
    </comment>
    <comment ref="J2" authorId="0" shapeId="0" xr:uid="{E646988D-D068-4375-BFE3-58A12361680A}">
      <text>
        <r>
          <rPr>
            <b/>
            <sz val="9"/>
            <color indexed="81"/>
            <rFont val="MS P ゴシック"/>
            <family val="3"/>
            <charset val="128"/>
          </rPr>
          <t>加藤誠、勅使河原、今井、矢野</t>
        </r>
      </text>
    </comment>
    <comment ref="K2" authorId="0" shapeId="0" xr:uid="{59D07938-A0CA-462B-9DD4-CCB917FE97FE}">
      <text>
        <r>
          <rPr>
            <b/>
            <sz val="9"/>
            <color indexed="81"/>
            <rFont val="MS P ゴシック"/>
            <family val="3"/>
            <charset val="128"/>
          </rPr>
          <t>今井、矢野</t>
        </r>
      </text>
    </comment>
    <comment ref="L2" authorId="0" shapeId="0" xr:uid="{79B025B2-C16F-43EF-A690-F53D3A06CAC3}">
      <text>
        <r>
          <rPr>
            <b/>
            <sz val="9"/>
            <color indexed="81"/>
            <rFont val="MS P ゴシック"/>
            <family val="3"/>
            <charset val="128"/>
          </rPr>
          <t>夜勤不可
矢野</t>
        </r>
      </text>
    </comment>
    <comment ref="R2" authorId="0" shapeId="0" xr:uid="{F64596D0-79C1-4B0A-8C6D-6045CA7C902B}">
      <text>
        <r>
          <rPr>
            <b/>
            <sz val="9"/>
            <color indexed="81"/>
            <rFont val="MS P ゴシック"/>
            <family val="3"/>
            <charset val="128"/>
          </rPr>
          <t>加藤誠、髙田、勅使河原</t>
        </r>
      </text>
    </comment>
    <comment ref="B10" authorId="0" shapeId="0" xr:uid="{E073C127-BBEF-47C8-BDFA-76AD921DB8A7}">
      <text>
        <r>
          <rPr>
            <b/>
            <sz val="9"/>
            <color indexed="81"/>
            <rFont val="MS P ゴシック"/>
            <family val="3"/>
            <charset val="128"/>
          </rPr>
          <t>髙田、今井</t>
        </r>
      </text>
    </comment>
    <comment ref="H10" authorId="0" shapeId="0" xr:uid="{51E967BB-9770-46E5-B731-E2000E0D0CC0}">
      <text>
        <r>
          <rPr>
            <b/>
            <sz val="9"/>
            <color indexed="81"/>
            <rFont val="MS P ゴシック"/>
            <family val="3"/>
            <charset val="128"/>
          </rPr>
          <t>髙田、丸岡、楮本、矢野、斉藤</t>
        </r>
      </text>
    </comment>
    <comment ref="I10" authorId="0" shapeId="0" xr:uid="{9A1A7ED6-9ED0-4B6F-92A5-D6CB6576320D}">
      <text>
        <r>
          <rPr>
            <b/>
            <sz val="9"/>
            <color indexed="81"/>
            <rFont val="MS P ゴシック"/>
            <family val="3"/>
            <charset val="128"/>
          </rPr>
          <t>髙田、丸岡、斉藤</t>
        </r>
      </text>
    </comment>
    <comment ref="O10" authorId="0" shapeId="0" xr:uid="{D8C9FC89-5E13-48F4-BBDF-253A35A104AE}">
      <text>
        <r>
          <rPr>
            <b/>
            <sz val="9"/>
            <color indexed="81"/>
            <rFont val="MS P ゴシック"/>
            <family val="3"/>
            <charset val="128"/>
          </rPr>
          <t>加藤誠、楮本、矢野</t>
        </r>
      </text>
    </comment>
    <comment ref="G19" authorId="0" shapeId="0" xr:uid="{1BE6A844-17E7-40FB-90EF-8285A5E2CA53}">
      <text>
        <r>
          <rPr>
            <b/>
            <sz val="9"/>
            <color indexed="81"/>
            <rFont val="MS P ゴシック"/>
            <family val="3"/>
            <charset val="128"/>
          </rPr>
          <t>勅使河原、高橋拓</t>
        </r>
      </text>
    </comment>
    <comment ref="P19" authorId="0" shapeId="0" xr:uid="{420B2B1D-63F2-49C5-AC59-E6DEDEDC068C}">
      <text>
        <r>
          <rPr>
            <b/>
            <sz val="9"/>
            <color indexed="81"/>
            <rFont val="MS P ゴシック"/>
            <family val="3"/>
            <charset val="128"/>
          </rPr>
          <t>加藤誠、木村、今井、高橋拓</t>
        </r>
      </text>
    </comment>
    <comment ref="Q19" authorId="0" shapeId="0" xr:uid="{A710637A-D2F1-4B04-8BC3-74CDC63C176D}">
      <text>
        <r>
          <rPr>
            <b/>
            <sz val="9"/>
            <color indexed="81"/>
            <rFont val="MS P ゴシック"/>
            <family val="3"/>
            <charset val="128"/>
          </rPr>
          <t>加藤誠、木村</t>
        </r>
      </text>
    </comment>
    <comment ref="F27" authorId="0" shapeId="0" xr:uid="{D8FF46FD-1763-483A-A3E2-D1E96CFF63C1}">
      <text>
        <r>
          <rPr>
            <b/>
            <sz val="9"/>
            <color indexed="81"/>
            <rFont val="MS P ゴシック"/>
            <family val="3"/>
            <charset val="128"/>
          </rPr>
          <t>加藤誠、勅使河原、楮本、高橋拓</t>
        </r>
      </text>
    </comment>
    <comment ref="M27" authorId="0" shapeId="0" xr:uid="{31C12EF3-BDF8-4E28-A946-4E8E88F3C67D}">
      <text>
        <r>
          <rPr>
            <b/>
            <sz val="9"/>
            <color indexed="81"/>
            <rFont val="MS P ゴシック"/>
            <family val="3"/>
            <charset val="128"/>
          </rPr>
          <t>加藤誠、木村、楮本</t>
        </r>
      </text>
    </comment>
    <comment ref="N27" authorId="0" shapeId="0" xr:uid="{E8BBD9A5-EDD7-4972-B5CA-8968312D8611}">
      <text>
        <r>
          <rPr>
            <b/>
            <sz val="9"/>
            <color indexed="81"/>
            <rFont val="MS P ゴシック"/>
            <family val="3"/>
            <charset val="128"/>
          </rPr>
          <t>木村</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SEIZOU-27</author>
    <author>SEIZOU-20</author>
  </authors>
  <commentList>
    <comment ref="B2" authorId="0" shapeId="0" xr:uid="{675C24FD-3B8D-43B4-A7BC-04839A058B87}">
      <text>
        <r>
          <rPr>
            <b/>
            <sz val="9"/>
            <color indexed="81"/>
            <rFont val="MS P ゴシック"/>
            <family val="3"/>
            <charset val="128"/>
          </rPr>
          <t>新井翔、勅使、加藤誠、木村</t>
        </r>
      </text>
    </comment>
    <comment ref="H2" authorId="0" shapeId="0" xr:uid="{0994594A-38E3-4640-8118-6107087590C8}">
      <text>
        <r>
          <rPr>
            <b/>
            <sz val="9"/>
            <color indexed="81"/>
            <rFont val="MS P ゴシック"/>
            <family val="3"/>
            <charset val="128"/>
          </rPr>
          <t>新井翔、勅使</t>
        </r>
      </text>
    </comment>
    <comment ref="I2" authorId="0" shapeId="0" xr:uid="{A3755C24-3F0E-4BD6-B2F2-F0A52F886219}">
      <text>
        <r>
          <rPr>
            <b/>
            <sz val="9"/>
            <color indexed="81"/>
            <rFont val="MS P ゴシック"/>
            <family val="3"/>
            <charset val="128"/>
          </rPr>
          <t>新井翔</t>
        </r>
      </text>
    </comment>
    <comment ref="P2" authorId="0" shapeId="0" xr:uid="{AC5AC37F-A0FA-412E-85AC-D4B80B36B712}">
      <text>
        <r>
          <rPr>
            <b/>
            <sz val="9"/>
            <color indexed="81"/>
            <rFont val="MS P ゴシック"/>
            <family val="3"/>
            <charset val="128"/>
          </rPr>
          <t>高橋拓、楮本、加藤誠</t>
        </r>
      </text>
    </comment>
    <comment ref="F10" authorId="0" shapeId="0" xr:uid="{FA95C6E6-83F0-4807-BF10-D11FF22CA40B}">
      <text>
        <r>
          <rPr>
            <b/>
            <sz val="9"/>
            <color indexed="81"/>
            <rFont val="MS P ゴシック"/>
            <family val="3"/>
            <charset val="128"/>
          </rPr>
          <t>楮本</t>
        </r>
      </text>
    </comment>
    <comment ref="G10" authorId="0" shapeId="0" xr:uid="{9EE22DB8-20E2-4B5F-9280-C59E8B23B635}">
      <text>
        <r>
          <rPr>
            <b/>
            <sz val="9"/>
            <color indexed="81"/>
            <rFont val="MS P ゴシック"/>
            <family val="3"/>
            <charset val="128"/>
          </rPr>
          <t>楮本</t>
        </r>
      </text>
    </comment>
    <comment ref="M10" authorId="0" shapeId="0" xr:uid="{55C5B159-AB71-459B-807B-394084B8997D}">
      <text>
        <r>
          <rPr>
            <b/>
            <sz val="9"/>
            <color indexed="81"/>
            <rFont val="MS P ゴシック"/>
            <family val="3"/>
            <charset val="128"/>
          </rPr>
          <t>今井、髙田、高橋拓</t>
        </r>
      </text>
    </comment>
    <comment ref="N10" authorId="0" shapeId="0" xr:uid="{FA001517-99B7-4B73-8253-5071326F5FE0}">
      <text>
        <r>
          <rPr>
            <b/>
            <sz val="9"/>
            <color indexed="81"/>
            <rFont val="MS P ゴシック"/>
            <family val="3"/>
            <charset val="128"/>
          </rPr>
          <t>今井、髙田、高橋拓</t>
        </r>
      </text>
    </comment>
    <comment ref="E19" authorId="0" shapeId="0" xr:uid="{9006B846-C5B4-458D-B43B-A9B698324E36}">
      <text>
        <r>
          <rPr>
            <b/>
            <sz val="9"/>
            <color indexed="81"/>
            <rFont val="MS P ゴシック"/>
            <family val="3"/>
            <charset val="128"/>
          </rPr>
          <t xml:space="preserve">高橋良、新井翔
</t>
        </r>
      </text>
    </comment>
    <comment ref="F19" authorId="0" shapeId="0" xr:uid="{9EDC8D58-B82C-4FE7-A891-9BD219286B0A}">
      <text>
        <r>
          <rPr>
            <b/>
            <sz val="9"/>
            <color indexed="81"/>
            <rFont val="MS P ゴシック"/>
            <family val="3"/>
            <charset val="128"/>
          </rPr>
          <t>高橋良、新井翔</t>
        </r>
      </text>
    </comment>
    <comment ref="N19" authorId="0" shapeId="0" xr:uid="{DFEA441A-13C7-4874-BF5A-3CCEDD1BDD60}">
      <text>
        <r>
          <rPr>
            <b/>
            <sz val="9"/>
            <color indexed="81"/>
            <rFont val="MS P ゴシック"/>
            <family val="3"/>
            <charset val="128"/>
          </rPr>
          <t>楮本、木村</t>
        </r>
      </text>
    </comment>
    <comment ref="O19" authorId="1" shapeId="0" xr:uid="{2C93D25B-0F8F-4C3F-A988-1EB3F23A4538}">
      <text>
        <r>
          <rPr>
            <b/>
            <sz val="9"/>
            <color indexed="81"/>
            <rFont val="MS P ゴシック"/>
            <family val="3"/>
            <charset val="128"/>
          </rPr>
          <t>木村</t>
        </r>
      </text>
    </comment>
    <comment ref="D27" authorId="0" shapeId="0" xr:uid="{19C467D5-CBB2-43DD-A930-5FD9E6B94E20}">
      <text>
        <r>
          <rPr>
            <b/>
            <sz val="9"/>
            <color indexed="81"/>
            <rFont val="MS P ゴシック"/>
            <family val="3"/>
            <charset val="128"/>
          </rPr>
          <t>高橋拓、高橋良、楮本</t>
        </r>
      </text>
    </comment>
    <comment ref="E27" authorId="0" shapeId="0" xr:uid="{6EA96CE3-4FBC-4DAE-B7B7-4DDA0F4C26A1}">
      <text>
        <r>
          <rPr>
            <b/>
            <sz val="9"/>
            <color indexed="81"/>
            <rFont val="MS P ゴシック"/>
            <family val="3"/>
            <charset val="128"/>
          </rPr>
          <t>高橋拓、高橋良</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SEIZOU-26</author>
  </authors>
  <commentList>
    <comment ref="F2" authorId="0" shapeId="0" xr:uid="{CAA5A196-8088-4988-A0A3-03FA5B613CEA}">
      <text>
        <r>
          <rPr>
            <b/>
            <sz val="9"/>
            <color indexed="81"/>
            <rFont val="MS P ゴシック"/>
            <family val="3"/>
            <charset val="128"/>
          </rPr>
          <t>新井翔、木村、斉藤</t>
        </r>
      </text>
    </comment>
    <comment ref="G2" authorId="0" shapeId="0" xr:uid="{8F882250-DF3C-4B49-B491-F723363A796F}">
      <text>
        <r>
          <rPr>
            <b/>
            <sz val="9"/>
            <color indexed="81"/>
            <rFont val="MS P ゴシック"/>
            <family val="3"/>
            <charset val="128"/>
          </rPr>
          <t>新井翔、木村、斉藤</t>
        </r>
      </text>
    </comment>
    <comment ref="O2" authorId="0" shapeId="0" xr:uid="{6C9CC686-C6BE-4074-A778-0FED5D8B72B9}">
      <text>
        <r>
          <rPr>
            <b/>
            <sz val="9"/>
            <color indexed="81"/>
            <rFont val="MS P ゴシック"/>
            <family val="3"/>
            <charset val="128"/>
          </rPr>
          <t>楮本、斉藤</t>
        </r>
      </text>
    </comment>
    <comment ref="P2" authorId="0" shapeId="0" xr:uid="{F601336F-1A59-44FC-BDBE-03F44E226077}">
      <text>
        <r>
          <rPr>
            <b/>
            <sz val="9"/>
            <color indexed="81"/>
            <rFont val="MS P ゴシック"/>
            <family val="3"/>
            <charset val="128"/>
          </rPr>
          <t>斉藤</t>
        </r>
      </text>
    </comment>
    <comment ref="E10" authorId="0" shapeId="0" xr:uid="{ECC738BC-7F3C-4842-9182-8EBB79E6E336}">
      <text>
        <r>
          <rPr>
            <b/>
            <sz val="9"/>
            <color indexed="81"/>
            <rFont val="MS P ゴシック"/>
            <family val="3"/>
            <charset val="128"/>
          </rPr>
          <t>加藤誠、楮本</t>
        </r>
      </text>
    </comment>
    <comment ref="F10" authorId="0" shapeId="0" xr:uid="{B3C286DA-925F-46D5-8BA8-0DF9DA5E81F3}">
      <text>
        <r>
          <rPr>
            <b/>
            <sz val="9"/>
            <color indexed="81"/>
            <rFont val="MS P ゴシック"/>
            <family val="3"/>
            <charset val="128"/>
          </rPr>
          <t>加藤誠</t>
        </r>
      </text>
    </comment>
    <comment ref="L10" authorId="0" shapeId="0" xr:uid="{7F62C41E-847B-4B62-8A2E-6E33DE80EED1}">
      <text>
        <r>
          <rPr>
            <b/>
            <sz val="9"/>
            <color indexed="81"/>
            <rFont val="MS P ゴシック"/>
            <family val="3"/>
            <charset val="128"/>
          </rPr>
          <t>木村</t>
        </r>
      </text>
    </comment>
    <comment ref="M10" authorId="0" shapeId="0" xr:uid="{EB8071C6-68DE-4D22-AA40-86953A388BBA}">
      <text>
        <r>
          <rPr>
            <b/>
            <sz val="9"/>
            <color indexed="81"/>
            <rFont val="MS P ゴシック"/>
            <family val="3"/>
            <charset val="128"/>
          </rPr>
          <t>木村</t>
        </r>
      </text>
    </comment>
    <comment ref="D19" authorId="0" shapeId="0" xr:uid="{5A895B7C-CADE-4D84-987F-61A837AF2CF7}">
      <text>
        <r>
          <rPr>
            <b/>
            <sz val="9"/>
            <color indexed="81"/>
            <rFont val="MS P ゴシック"/>
            <family val="3"/>
            <charset val="128"/>
          </rPr>
          <t>今井、新井翔、加藤貴</t>
        </r>
      </text>
    </comment>
    <comment ref="E19" authorId="0" shapeId="0" xr:uid="{94A04802-0D88-41A0-8519-1F03E6009F41}">
      <text>
        <r>
          <rPr>
            <b/>
            <sz val="9"/>
            <color indexed="81"/>
            <rFont val="MS P ゴシック"/>
            <family val="3"/>
            <charset val="128"/>
          </rPr>
          <t>今井、新井翔、髙田、加藤貴</t>
        </r>
      </text>
    </comment>
    <comment ref="K19" authorId="0" shapeId="0" xr:uid="{BA220EDD-D349-45C5-8758-7666CBDC0870}">
      <text>
        <r>
          <rPr>
            <b/>
            <sz val="9"/>
            <color indexed="81"/>
            <rFont val="MS P ゴシック"/>
            <family val="3"/>
            <charset val="128"/>
          </rPr>
          <t>加藤誠、高橋拓</t>
        </r>
      </text>
    </comment>
    <comment ref="L19" authorId="0" shapeId="0" xr:uid="{ED62A023-0014-4DB6-A5C2-4496A1F9084E}">
      <text>
        <r>
          <rPr>
            <b/>
            <sz val="9"/>
            <color indexed="81"/>
            <rFont val="MS P ゴシック"/>
            <family val="3"/>
            <charset val="128"/>
          </rPr>
          <t>加藤誠、高橋拓、髙田</t>
        </r>
      </text>
    </comment>
    <comment ref="B27" authorId="0" shapeId="0" xr:uid="{C2EF7AD2-59AD-467C-B58F-4A99CA7F75AA}">
      <text>
        <r>
          <rPr>
            <b/>
            <sz val="9"/>
            <color indexed="81"/>
            <rFont val="MS P ゴシック"/>
            <family val="3"/>
            <charset val="128"/>
          </rPr>
          <t>今井、楮本</t>
        </r>
      </text>
    </comment>
    <comment ref="C27" authorId="0" shapeId="0" xr:uid="{E7B48EBD-9780-46D0-A03C-2576640BFAEF}">
      <text>
        <r>
          <rPr>
            <b/>
            <sz val="9"/>
            <color indexed="81"/>
            <rFont val="MS P ゴシック"/>
            <family val="3"/>
            <charset val="128"/>
          </rPr>
          <t>今井、髙田</t>
        </r>
      </text>
    </comment>
    <comment ref="P27" authorId="0" shapeId="0" xr:uid="{BB23EEB5-E405-46D4-96D3-E804222DD984}">
      <text>
        <r>
          <rPr>
            <b/>
            <sz val="9"/>
            <color indexed="81"/>
            <rFont val="MS P ゴシック"/>
            <family val="3"/>
            <charset val="128"/>
          </rPr>
          <t>加藤誠、高橋良、楮本、木村</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SEIZOU-26</author>
  </authors>
  <commentList>
    <comment ref="D2" authorId="0" shapeId="0" xr:uid="{D6B0B100-26CD-470D-918B-35A0B70469A1}">
      <text>
        <r>
          <rPr>
            <b/>
            <sz val="9"/>
            <color indexed="81"/>
            <rFont val="MS P ゴシック"/>
            <family val="3"/>
            <charset val="128"/>
          </rPr>
          <t>矢野、木村、加藤誠</t>
        </r>
      </text>
    </comment>
    <comment ref="E2" authorId="0" shapeId="0" xr:uid="{7E986043-3DE7-4A43-9921-65B0CD0132FE}">
      <text>
        <r>
          <rPr>
            <b/>
            <sz val="9"/>
            <color indexed="81"/>
            <rFont val="MS P ゴシック"/>
            <family val="3"/>
            <charset val="128"/>
          </rPr>
          <t>木村</t>
        </r>
      </text>
    </comment>
    <comment ref="K2" authorId="0" shapeId="0" xr:uid="{9EF5CC84-416B-4205-A7DF-F8F7C20C147B}">
      <text>
        <r>
          <rPr>
            <b/>
            <sz val="9"/>
            <color indexed="81"/>
            <rFont val="MS P ゴシック"/>
            <family val="3"/>
            <charset val="128"/>
          </rPr>
          <t>矢野,木村</t>
        </r>
      </text>
    </comment>
    <comment ref="N2" authorId="0" shapeId="0" xr:uid="{2C4ADF83-CFF6-437D-BE40-509852BE383E}">
      <text>
        <r>
          <rPr>
            <b/>
            <sz val="9"/>
            <color indexed="81"/>
            <rFont val="MS P ゴシック"/>
            <family val="3"/>
            <charset val="128"/>
          </rPr>
          <t>矢野,木村</t>
        </r>
      </text>
    </comment>
    <comment ref="R2" authorId="0" shapeId="0" xr:uid="{8804CDC1-27DF-4E26-B750-E5B04D42E82C}">
      <text>
        <r>
          <rPr>
            <b/>
            <sz val="9"/>
            <color indexed="81"/>
            <rFont val="MS P ゴシック"/>
            <family val="3"/>
            <charset val="128"/>
          </rPr>
          <t>新井翔、楮本</t>
        </r>
      </text>
    </comment>
    <comment ref="C10" authorId="0" shapeId="0" xr:uid="{61E3509D-C5A0-4282-BC95-82DBC0A99D8F}">
      <text>
        <r>
          <rPr>
            <b/>
            <sz val="9"/>
            <color indexed="81"/>
            <rFont val="MS P ゴシック"/>
            <family val="3"/>
            <charset val="128"/>
          </rPr>
          <t>楮本,木村、加藤誠</t>
        </r>
      </text>
    </comment>
    <comment ref="D10" authorId="0" shapeId="0" xr:uid="{92EE9E58-AD3F-4D0C-8492-EEFF287B95B6}">
      <text>
        <r>
          <rPr>
            <b/>
            <sz val="9"/>
            <color indexed="81"/>
            <rFont val="MS P ゴシック"/>
            <family val="3"/>
            <charset val="128"/>
          </rPr>
          <t>楮本,木村、加藤誠</t>
        </r>
      </text>
    </comment>
    <comment ref="J10" authorId="0" shapeId="0" xr:uid="{C5A59CD2-EDD2-46BB-9790-E31A60143512}">
      <text>
        <r>
          <rPr>
            <b/>
            <sz val="9"/>
            <color indexed="81"/>
            <rFont val="MS P ゴシック"/>
            <family val="3"/>
            <charset val="128"/>
          </rPr>
          <t>楮本、斉藤、加藤誠</t>
        </r>
      </text>
    </comment>
    <comment ref="K10" authorId="0" shapeId="0" xr:uid="{259A55AE-3B61-458E-A6DD-99B1EFB51F91}">
      <text>
        <r>
          <rPr>
            <b/>
            <sz val="9"/>
            <color indexed="81"/>
            <rFont val="MS P ゴシック"/>
            <family val="3"/>
            <charset val="128"/>
          </rPr>
          <t>斉藤</t>
        </r>
      </text>
    </comment>
    <comment ref="B19" authorId="0" shapeId="0" xr:uid="{F0E4AF32-6A65-4CB0-BC1E-87A0A5C76E5A}">
      <text>
        <r>
          <rPr>
            <b/>
            <sz val="9"/>
            <color indexed="81"/>
            <rFont val="MS P ゴシック"/>
            <family val="3"/>
            <charset val="128"/>
          </rPr>
          <t>高橋拓</t>
        </r>
      </text>
    </comment>
    <comment ref="I19" authorId="0" shapeId="0" xr:uid="{5AC3C000-BA6C-44D8-87B2-4FB3E67109BF}">
      <text>
        <r>
          <rPr>
            <b/>
            <sz val="9"/>
            <color indexed="81"/>
            <rFont val="MS P ゴシック"/>
            <family val="3"/>
            <charset val="128"/>
          </rPr>
          <t>矢野</t>
        </r>
      </text>
    </comment>
    <comment ref="J19" authorId="0" shapeId="0" xr:uid="{DDB388C7-F15A-446B-A47C-A88432173B2E}">
      <text>
        <r>
          <rPr>
            <b/>
            <sz val="9"/>
            <color indexed="81"/>
            <rFont val="MS P ゴシック"/>
            <family val="3"/>
            <charset val="128"/>
          </rPr>
          <t>矢野、加藤誠</t>
        </r>
      </text>
    </comment>
    <comment ref="Q19" authorId="0" shapeId="0" xr:uid="{FCBD504B-5ED9-4AFC-BC30-49403337D930}">
      <text>
        <r>
          <rPr>
            <b/>
            <sz val="9"/>
            <color indexed="81"/>
            <rFont val="MS P ゴシック"/>
            <family val="3"/>
            <charset val="128"/>
          </rPr>
          <t>楮本</t>
        </r>
      </text>
    </comment>
    <comment ref="G27" authorId="0" shapeId="0" xr:uid="{2A8A7717-C3D9-4742-A2BF-FD07F6EE8E41}">
      <text>
        <r>
          <rPr>
            <b/>
            <sz val="9"/>
            <color indexed="81"/>
            <rFont val="MS P ゴシック"/>
            <family val="3"/>
            <charset val="128"/>
          </rPr>
          <t>高橋拓、楮本</t>
        </r>
      </text>
    </comment>
    <comment ref="N27" authorId="0" shapeId="0" xr:uid="{3505D6F8-C45A-4E91-9C96-37B9210E1E92}">
      <text>
        <r>
          <rPr>
            <b/>
            <sz val="9"/>
            <color indexed="81"/>
            <rFont val="MS P ゴシック"/>
            <family val="3"/>
            <charset val="128"/>
          </rPr>
          <t>楮本</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SEIZOU-26</author>
  </authors>
  <commentList>
    <comment ref="G2" authorId="0" shapeId="0" xr:uid="{6C3FCACA-03D3-4630-9183-2F99774EC577}">
      <text>
        <r>
          <rPr>
            <b/>
            <sz val="9"/>
            <color indexed="81"/>
            <rFont val="MS P ゴシック"/>
            <family val="3"/>
            <charset val="128"/>
          </rPr>
          <t>高橋拓、木村、楮本</t>
        </r>
      </text>
    </comment>
    <comment ref="H2" authorId="0" shapeId="0" xr:uid="{315F9927-8FE0-446E-BBAB-74BD0444841B}">
      <text>
        <r>
          <rPr>
            <b/>
            <sz val="9"/>
            <color indexed="81"/>
            <rFont val="MS P ゴシック"/>
            <family val="3"/>
            <charset val="128"/>
          </rPr>
          <t>木村</t>
        </r>
      </text>
    </comment>
    <comment ref="R2" authorId="0" shapeId="0" xr:uid="{C202F755-904A-4965-8AEE-F9F8635AA94B}">
      <text>
        <r>
          <rPr>
            <b/>
            <sz val="9"/>
            <color indexed="81"/>
            <rFont val="MS P ゴシック"/>
            <family val="3"/>
            <charset val="128"/>
          </rPr>
          <t>新井翔、楮本</t>
        </r>
      </text>
    </comment>
    <comment ref="B10" authorId="0" shapeId="0" xr:uid="{3D0E9D85-F693-4C02-A36F-6A8EB880C77D}">
      <text>
        <r>
          <rPr>
            <b/>
            <sz val="9"/>
            <color indexed="81"/>
            <rFont val="MS P ゴシック"/>
            <family val="3"/>
            <charset val="128"/>
          </rPr>
          <t>新井翔</t>
        </r>
      </text>
    </comment>
    <comment ref="H10" authorId="0" shapeId="0" xr:uid="{56C7E34C-593D-423C-A870-C1F2DD66F0D6}">
      <text>
        <r>
          <rPr>
            <b/>
            <sz val="9"/>
            <color indexed="81"/>
            <rFont val="MS P ゴシック"/>
            <family val="3"/>
            <charset val="128"/>
          </rPr>
          <t>加藤誠、楮本</t>
        </r>
      </text>
    </comment>
    <comment ref="I10" authorId="0" shapeId="0" xr:uid="{09E601B8-D0FA-460E-B9F1-7E7B1D5588F7}">
      <text>
        <r>
          <rPr>
            <b/>
            <sz val="9"/>
            <color indexed="81"/>
            <rFont val="MS P ゴシック"/>
            <family val="3"/>
            <charset val="128"/>
          </rPr>
          <t>加藤誠</t>
        </r>
      </text>
    </comment>
    <comment ref="O10" authorId="0" shapeId="0" xr:uid="{2C69C0CE-8F99-4CB2-ADB7-6FAF4F6DBAB1}">
      <text>
        <r>
          <rPr>
            <b/>
            <sz val="9"/>
            <color indexed="81"/>
            <rFont val="MS P ゴシック"/>
            <family val="3"/>
            <charset val="128"/>
          </rPr>
          <t>高橋拓、木村、髙田、楮本</t>
        </r>
      </text>
    </comment>
    <comment ref="P10" authorId="0" shapeId="0" xr:uid="{FD4204C0-60AB-43C2-9B73-8D2A1D6BF01D}">
      <text>
        <r>
          <rPr>
            <b/>
            <sz val="9"/>
            <color indexed="81"/>
            <rFont val="MS P ゴシック"/>
            <family val="3"/>
            <charset val="128"/>
          </rPr>
          <t>髙田</t>
        </r>
      </text>
    </comment>
    <comment ref="O19" authorId="0" shapeId="0" xr:uid="{1E9DCC3E-B7EF-42EF-ACFA-26044DEA0052}">
      <text>
        <r>
          <rPr>
            <b/>
            <sz val="9"/>
            <color indexed="81"/>
            <rFont val="MS P ゴシック"/>
            <family val="3"/>
            <charset val="128"/>
          </rPr>
          <t>加藤誠</t>
        </r>
      </text>
    </comment>
    <comment ref="P19" authorId="0" shapeId="0" xr:uid="{3F6DAA47-C6DE-4455-8656-BE7D8F138C4C}">
      <text>
        <r>
          <rPr>
            <b/>
            <sz val="9"/>
            <color indexed="81"/>
            <rFont val="MS P ゴシック"/>
            <family val="3"/>
            <charset val="128"/>
          </rPr>
          <t>加藤誠</t>
        </r>
      </text>
    </comment>
    <comment ref="E27" authorId="0" shapeId="0" xr:uid="{F2C9681E-4248-4409-AAA6-CD67F13316C1}">
      <text>
        <r>
          <rPr>
            <b/>
            <sz val="9"/>
            <color indexed="81"/>
            <rFont val="MS P ゴシック"/>
            <family val="3"/>
            <charset val="128"/>
          </rPr>
          <t>高橋拓、髙田</t>
        </r>
      </text>
    </comment>
    <comment ref="L27" authorId="0" shapeId="0" xr:uid="{96D84960-1552-4809-9D32-596F47DAE7B8}">
      <text>
        <r>
          <rPr>
            <b/>
            <sz val="9"/>
            <color indexed="81"/>
            <rFont val="MS P ゴシック"/>
            <family val="3"/>
            <charset val="128"/>
          </rPr>
          <t>木村、楮本</t>
        </r>
      </text>
    </comment>
    <comment ref="M27" authorId="0" shapeId="0" xr:uid="{E432F4BA-AE39-4D16-A3F2-00434EEF24C3}">
      <text>
        <r>
          <rPr>
            <b/>
            <sz val="9"/>
            <color indexed="81"/>
            <rFont val="MS P ゴシック"/>
            <family val="3"/>
            <charset val="128"/>
          </rPr>
          <t>木村</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SEIZOU-26</author>
  </authors>
  <commentList>
    <comment ref="F2" authorId="0" shapeId="0" xr:uid="{EB1BF819-DD2F-4B02-8396-81A54286849F}">
      <text>
        <r>
          <rPr>
            <b/>
            <sz val="9"/>
            <color indexed="81"/>
            <rFont val="MS P ゴシック"/>
            <family val="3"/>
            <charset val="128"/>
          </rPr>
          <t>矢野、加藤誠、加藤貴、木村、楮本</t>
        </r>
      </text>
    </comment>
    <comment ref="G2" authorId="0" shapeId="0" xr:uid="{591B3D1B-3AC5-4506-B5A9-D2850A1A40AA}">
      <text>
        <r>
          <rPr>
            <b/>
            <sz val="9"/>
            <color indexed="81"/>
            <rFont val="MS P ゴシック"/>
            <family val="3"/>
            <charset val="128"/>
          </rPr>
          <t>高橋拓、矢野、加藤誠、加藤貴、木村</t>
        </r>
      </text>
    </comment>
    <comment ref="H2" authorId="0" shapeId="0" xr:uid="{DF52117B-86D0-418F-95A9-CCE213445E82}">
      <text>
        <r>
          <rPr>
            <b/>
            <sz val="9"/>
            <color indexed="81"/>
            <rFont val="MS P ゴシック"/>
            <family val="3"/>
            <charset val="128"/>
          </rPr>
          <t>夜勤不可　新井洋</t>
        </r>
      </text>
    </comment>
    <comment ref="R2" authorId="0" shapeId="0" xr:uid="{DCDFCA19-5E57-4395-AE78-D30FD9135668}">
      <text>
        <r>
          <rPr>
            <b/>
            <sz val="9"/>
            <color indexed="81"/>
            <rFont val="MS P ゴシック"/>
            <family val="3"/>
            <charset val="128"/>
          </rPr>
          <t>夜勤不可　新井洋</t>
        </r>
      </text>
    </comment>
    <comment ref="D10" authorId="0" shapeId="0" xr:uid="{C63E4CBF-BCA2-4A37-A13C-468A51B6F41C}">
      <text>
        <r>
          <rPr>
            <b/>
            <sz val="9"/>
            <color indexed="81"/>
            <rFont val="MS P ゴシック"/>
            <family val="3"/>
            <charset val="128"/>
          </rPr>
          <t>加藤誠、木村、楮本</t>
        </r>
      </text>
    </comment>
    <comment ref="E10" authorId="0" shapeId="0" xr:uid="{7FAADD61-655B-441C-8706-77EBB16F0F72}">
      <text>
        <r>
          <rPr>
            <b/>
            <sz val="9"/>
            <color indexed="81"/>
            <rFont val="MS P ゴシック"/>
            <family val="3"/>
            <charset val="128"/>
          </rPr>
          <t>高橋拓、加藤誠、木村</t>
        </r>
      </text>
    </comment>
    <comment ref="K10" authorId="0" shapeId="0" xr:uid="{FB714CB3-DA29-4EED-A69F-88BA99E21401}">
      <text>
        <r>
          <rPr>
            <b/>
            <sz val="9"/>
            <color indexed="81"/>
            <rFont val="MS P ゴシック"/>
            <family val="3"/>
            <charset val="128"/>
          </rPr>
          <t>木村、楮本</t>
        </r>
      </text>
    </comment>
    <comment ref="L10" authorId="0" shapeId="0" xr:uid="{8BFAD8E3-EC9B-4514-94FA-C97040700457}">
      <text>
        <r>
          <rPr>
            <b/>
            <sz val="9"/>
            <color indexed="81"/>
            <rFont val="MS P ゴシック"/>
            <family val="3"/>
            <charset val="128"/>
          </rPr>
          <t>高橋拓、木村</t>
        </r>
      </text>
    </comment>
    <comment ref="D19" authorId="0" shapeId="0" xr:uid="{F6CEA556-F805-4D7B-A5E5-F57079068977}">
      <text>
        <r>
          <rPr>
            <b/>
            <sz val="9"/>
            <color indexed="81"/>
            <rFont val="MS P ゴシック"/>
            <family val="3"/>
            <charset val="128"/>
          </rPr>
          <t>高橋拓</t>
        </r>
      </text>
    </comment>
    <comment ref="J19" authorId="0" shapeId="0" xr:uid="{8EED6686-54DC-418F-8824-9C5CD9046B2A}">
      <text>
        <r>
          <rPr>
            <b/>
            <sz val="9"/>
            <color indexed="81"/>
            <rFont val="MS P ゴシック"/>
            <family val="3"/>
            <charset val="128"/>
          </rPr>
          <t>矢野、加藤誠</t>
        </r>
      </text>
    </comment>
    <comment ref="K19" authorId="0" shapeId="0" xr:uid="{E9C67A84-39C7-46EC-BB0F-B8AE9BED9B90}">
      <text>
        <r>
          <rPr>
            <b/>
            <sz val="9"/>
            <color indexed="81"/>
            <rFont val="MS P ゴシック"/>
            <family val="3"/>
            <charset val="128"/>
          </rPr>
          <t>高橋拓、矢野</t>
        </r>
      </text>
    </comment>
    <comment ref="R19" authorId="0" shapeId="0" xr:uid="{4F42CBBF-3FC8-4B5D-8634-A28611201CB4}">
      <text>
        <r>
          <rPr>
            <b/>
            <sz val="9"/>
            <color indexed="81"/>
            <rFont val="MS P ゴシック"/>
            <family val="3"/>
            <charset val="128"/>
          </rPr>
          <t>楮本</t>
        </r>
      </text>
    </comment>
    <comment ref="B27" authorId="0" shapeId="0" xr:uid="{941FB5EE-EC44-40A0-813B-BCBE0D51867E}">
      <text>
        <r>
          <rPr>
            <b/>
            <sz val="9"/>
            <color indexed="81"/>
            <rFont val="MS P ゴシック"/>
            <family val="3"/>
            <charset val="128"/>
          </rPr>
          <t>高橋拓</t>
        </r>
      </text>
    </comment>
    <comment ref="H27" authorId="0" shapeId="0" xr:uid="{1026E9AD-88E6-416A-B038-34AECC58602E}">
      <text>
        <r>
          <rPr>
            <b/>
            <sz val="9"/>
            <color indexed="81"/>
            <rFont val="MS P ゴシック"/>
            <family val="3"/>
            <charset val="128"/>
          </rPr>
          <t>髙田、楮本</t>
        </r>
      </text>
    </comment>
    <comment ref="I27" authorId="0" shapeId="0" xr:uid="{3171D9BE-5AAD-454D-A741-F28D849E4316}">
      <text>
        <r>
          <rPr>
            <b/>
            <sz val="9"/>
            <color indexed="81"/>
            <rFont val="MS P ゴシック"/>
            <family val="3"/>
            <charset val="128"/>
          </rPr>
          <t>高橋拓</t>
        </r>
      </text>
    </comment>
    <comment ref="O27" authorId="0" shapeId="0" xr:uid="{6FF23764-03F9-4F45-9A60-A56FE63FC18A}">
      <text>
        <r>
          <rPr>
            <b/>
            <sz val="9"/>
            <color indexed="81"/>
            <rFont val="MS P ゴシック"/>
            <family val="3"/>
            <charset val="128"/>
          </rPr>
          <t>木村</t>
        </r>
      </text>
    </comment>
    <comment ref="P27" authorId="0" shapeId="0" xr:uid="{251AC0E1-BFF6-475F-A477-DD2E52500DF5}">
      <text>
        <r>
          <rPr>
            <b/>
            <sz val="9"/>
            <color indexed="81"/>
            <rFont val="MS P ゴシック"/>
            <family val="3"/>
            <charset val="128"/>
          </rPr>
          <t>高橋拓、木村</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SEIZOU-26</author>
    <author>SEIZOU-20</author>
  </authors>
  <commentList>
    <comment ref="E2" authorId="0" shapeId="0" xr:uid="{10987939-0F16-4286-BE43-9DE5B2FDCE3B}">
      <text>
        <r>
          <rPr>
            <b/>
            <sz val="9"/>
            <color indexed="81"/>
            <rFont val="MS P ゴシック"/>
            <family val="3"/>
            <charset val="128"/>
          </rPr>
          <t>高橋拓、加藤誠、新井翔</t>
        </r>
      </text>
    </comment>
    <comment ref="K2" authorId="0" shapeId="0" xr:uid="{DE5B7AC5-D1BD-4E4F-A7D0-2985261EA546}">
      <text>
        <r>
          <rPr>
            <b/>
            <sz val="9"/>
            <color indexed="81"/>
            <rFont val="MS P ゴシック"/>
            <family val="3"/>
            <charset val="128"/>
          </rPr>
          <t>矢野、加藤誠、木村</t>
        </r>
      </text>
    </comment>
    <comment ref="L2" authorId="0" shapeId="0" xr:uid="{5422E3AE-2184-4684-A203-BA04D9E76D04}">
      <text>
        <r>
          <rPr>
            <b/>
            <sz val="9"/>
            <color indexed="81"/>
            <rFont val="MS P ゴシック"/>
            <family val="3"/>
            <charset val="128"/>
          </rPr>
          <t>高橋拓、矢野、加藤誠、木村</t>
        </r>
      </text>
    </comment>
    <comment ref="B10" authorId="0" shapeId="0" xr:uid="{15511640-C3D7-4F7D-89DE-EBF745CF67F3}">
      <text>
        <r>
          <rPr>
            <b/>
            <sz val="9"/>
            <color indexed="81"/>
            <rFont val="MS P ゴシック"/>
            <family val="3"/>
            <charset val="128"/>
          </rPr>
          <t>楮本</t>
        </r>
      </text>
    </comment>
    <comment ref="C10" authorId="0" shapeId="0" xr:uid="{66D02119-21CE-4D38-AB43-6D54EE026DC0}">
      <text>
        <r>
          <rPr>
            <b/>
            <sz val="9"/>
            <color indexed="81"/>
            <rFont val="MS P ゴシック"/>
            <family val="3"/>
            <charset val="128"/>
          </rPr>
          <t>高橋拓</t>
        </r>
      </text>
    </comment>
    <comment ref="I10" authorId="0" shapeId="0" xr:uid="{564FB8D2-74C4-4A06-8822-584F883A695B}">
      <text>
        <r>
          <rPr>
            <b/>
            <sz val="9"/>
            <color indexed="81"/>
            <rFont val="MS P ゴシック"/>
            <family val="3"/>
            <charset val="128"/>
          </rPr>
          <t>楮本、矢野、木村</t>
        </r>
      </text>
    </comment>
    <comment ref="J10" authorId="0" shapeId="0" xr:uid="{723C35D6-BD46-489B-BCF0-B1382401527B}">
      <text>
        <r>
          <rPr>
            <b/>
            <sz val="9"/>
            <color indexed="81"/>
            <rFont val="MS P ゴシック"/>
            <family val="3"/>
            <charset val="128"/>
          </rPr>
          <t>高橋拓、木村、新井翔</t>
        </r>
      </text>
    </comment>
    <comment ref="P10" authorId="0" shapeId="0" xr:uid="{636ED073-ADF0-47A0-90CA-1808186D36D8}">
      <text>
        <r>
          <rPr>
            <b/>
            <sz val="9"/>
            <color indexed="81"/>
            <rFont val="MS P ゴシック"/>
            <family val="3"/>
            <charset val="128"/>
          </rPr>
          <t>加藤誠</t>
        </r>
      </text>
    </comment>
    <comment ref="B19" authorId="0" shapeId="0" xr:uid="{97F7FC56-245F-4CC2-BE9A-F67FEBFC735A}">
      <text>
        <r>
          <rPr>
            <b/>
            <sz val="9"/>
            <color indexed="81"/>
            <rFont val="MS P ゴシック"/>
            <family val="3"/>
            <charset val="128"/>
          </rPr>
          <t>高橋拓</t>
        </r>
      </text>
    </comment>
    <comment ref="H19" authorId="0" shapeId="0" xr:uid="{C146288C-5EB3-48C0-9427-7B8ECF308A12}">
      <text>
        <r>
          <rPr>
            <b/>
            <sz val="9"/>
            <color indexed="81"/>
            <rFont val="MS P ゴシック"/>
            <family val="3"/>
            <charset val="128"/>
          </rPr>
          <t>高橋拓,楮本、矢野</t>
        </r>
      </text>
    </comment>
    <comment ref="I19" authorId="0" shapeId="0" xr:uid="{DECA5FF6-9672-4354-8B6E-891B74369576}">
      <text>
        <r>
          <rPr>
            <b/>
            <sz val="9"/>
            <color indexed="81"/>
            <rFont val="MS P ゴシック"/>
            <family val="3"/>
            <charset val="128"/>
          </rPr>
          <t>高橋拓、矢野、加藤誠、髙田</t>
        </r>
      </text>
    </comment>
    <comment ref="P19" authorId="1" shapeId="0" xr:uid="{BE547FD0-5CC1-443A-92C0-350D786DB846}">
      <text>
        <r>
          <rPr>
            <b/>
            <sz val="9"/>
            <color indexed="81"/>
            <rFont val="MS P ゴシック"/>
            <family val="3"/>
            <charset val="128"/>
          </rPr>
          <t>斉藤</t>
        </r>
      </text>
    </comment>
    <comment ref="Q19" authorId="1" shapeId="0" xr:uid="{A2781C14-3DEB-4560-A750-86C960E6223E}">
      <text>
        <r>
          <rPr>
            <b/>
            <sz val="9"/>
            <color indexed="81"/>
            <rFont val="MS P ゴシック"/>
            <family val="3"/>
            <charset val="128"/>
          </rPr>
          <t>斉藤</t>
        </r>
      </text>
    </comment>
    <comment ref="R19" authorId="0" shapeId="0" xr:uid="{C47D32F4-D6B7-4757-BB8B-3CFF8EDB2D5A}">
      <text>
        <r>
          <rPr>
            <b/>
            <sz val="9"/>
            <color indexed="81"/>
            <rFont val="MS P ゴシック"/>
            <family val="3"/>
            <charset val="128"/>
          </rPr>
          <t>高橋拓、斉藤</t>
        </r>
      </text>
    </comment>
    <comment ref="G27" authorId="0" shapeId="0" xr:uid="{F2127C0A-A697-43C9-B27E-E70691927017}">
      <text>
        <r>
          <rPr>
            <b/>
            <sz val="9"/>
            <color indexed="81"/>
            <rFont val="MS P ゴシック"/>
            <family val="3"/>
            <charset val="128"/>
          </rPr>
          <t>楮本、今井、加藤誠、木村</t>
        </r>
      </text>
    </comment>
    <comment ref="H27" authorId="0" shapeId="0" xr:uid="{04D3F02E-DD5E-4C83-BF86-A2F79A9B1ABC}">
      <text>
        <r>
          <rPr>
            <b/>
            <sz val="9"/>
            <color indexed="81"/>
            <rFont val="MS P ゴシック"/>
            <family val="3"/>
            <charset val="128"/>
          </rPr>
          <t>高橋拓、加藤誠、木村</t>
        </r>
      </text>
    </comment>
    <comment ref="N27" authorId="0" shapeId="0" xr:uid="{E95E9C0F-F267-42E0-8FCA-87F291770237}">
      <text>
        <r>
          <rPr>
            <b/>
            <sz val="9"/>
            <color indexed="81"/>
            <rFont val="MS P ゴシック"/>
            <family val="3"/>
            <charset val="128"/>
          </rPr>
          <t>加藤誠、木村</t>
        </r>
      </text>
    </comment>
    <comment ref="O27" authorId="0" shapeId="0" xr:uid="{7407B3F8-9217-4116-BD20-9D0234975A1B}">
      <text>
        <r>
          <rPr>
            <b/>
            <sz val="9"/>
            <color indexed="81"/>
            <rFont val="MS P ゴシック"/>
            <family val="3"/>
            <charset val="128"/>
          </rPr>
          <t>高橋拓、木村</t>
        </r>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SEIZOU-26</author>
    <author>SEIZOU-20</author>
  </authors>
  <commentList>
    <comment ref="E2" authorId="0" shapeId="0" xr:uid="{524A98AA-DCF7-4D96-AFFE-16CB418F2EF9}">
      <text>
        <r>
          <rPr>
            <b/>
            <sz val="9"/>
            <color indexed="81"/>
            <rFont val="MS P ゴシック"/>
            <family val="3"/>
            <charset val="128"/>
          </rPr>
          <t>高橋拓、加藤誠、新井翔</t>
        </r>
      </text>
    </comment>
    <comment ref="K2" authorId="0" shapeId="0" xr:uid="{90BE61CC-B97B-43C6-AC60-B3A44DBB3D44}">
      <text>
        <r>
          <rPr>
            <b/>
            <sz val="9"/>
            <color indexed="81"/>
            <rFont val="MS P ゴシック"/>
            <family val="3"/>
            <charset val="128"/>
          </rPr>
          <t>矢野、加藤誠、木村</t>
        </r>
      </text>
    </comment>
    <comment ref="L2" authorId="0" shapeId="0" xr:uid="{A4A088E4-1678-426E-B63D-3765AE660A72}">
      <text>
        <r>
          <rPr>
            <b/>
            <sz val="9"/>
            <color indexed="81"/>
            <rFont val="MS P ゴシック"/>
            <family val="3"/>
            <charset val="128"/>
          </rPr>
          <t>高橋拓、矢野、加藤誠、木村</t>
        </r>
      </text>
    </comment>
    <comment ref="B10" authorId="0" shapeId="0" xr:uid="{14C76324-0223-4CC6-B21F-24B11A81447A}">
      <text>
        <r>
          <rPr>
            <b/>
            <sz val="9"/>
            <color indexed="81"/>
            <rFont val="MS P ゴシック"/>
            <family val="3"/>
            <charset val="128"/>
          </rPr>
          <t>楮本</t>
        </r>
      </text>
    </comment>
    <comment ref="C10" authorId="0" shapeId="0" xr:uid="{3C65E748-440B-4042-9B5E-A03ABD185E04}">
      <text>
        <r>
          <rPr>
            <b/>
            <sz val="9"/>
            <color indexed="81"/>
            <rFont val="MS P ゴシック"/>
            <family val="3"/>
            <charset val="128"/>
          </rPr>
          <t>高橋拓</t>
        </r>
      </text>
    </comment>
    <comment ref="I10" authorId="0" shapeId="0" xr:uid="{FCD5FF89-7821-4C50-8106-EE9FAD91A408}">
      <text>
        <r>
          <rPr>
            <b/>
            <sz val="9"/>
            <color indexed="81"/>
            <rFont val="MS P ゴシック"/>
            <family val="3"/>
            <charset val="128"/>
          </rPr>
          <t>楮本、矢野、木村</t>
        </r>
      </text>
    </comment>
    <comment ref="J10" authorId="0" shapeId="0" xr:uid="{8F55C7F5-CE52-44F8-8F09-30A12D52549E}">
      <text>
        <r>
          <rPr>
            <b/>
            <sz val="9"/>
            <color indexed="81"/>
            <rFont val="MS P ゴシック"/>
            <family val="3"/>
            <charset val="128"/>
          </rPr>
          <t>高橋拓、木村、新井翔</t>
        </r>
      </text>
    </comment>
    <comment ref="P10" authorId="0" shapeId="0" xr:uid="{CDA42CC5-0384-4377-B5E8-41BCCDFF3AF9}">
      <text>
        <r>
          <rPr>
            <b/>
            <sz val="9"/>
            <color indexed="81"/>
            <rFont val="MS P ゴシック"/>
            <family val="3"/>
            <charset val="128"/>
          </rPr>
          <t>加藤誠</t>
        </r>
      </text>
    </comment>
    <comment ref="B19" authorId="0" shapeId="0" xr:uid="{CCFA9961-8827-41BB-A944-3A6316AAB3A2}">
      <text>
        <r>
          <rPr>
            <b/>
            <sz val="9"/>
            <color indexed="81"/>
            <rFont val="MS P ゴシック"/>
            <family val="3"/>
            <charset val="128"/>
          </rPr>
          <t>高橋拓</t>
        </r>
      </text>
    </comment>
    <comment ref="H19" authorId="0" shapeId="0" xr:uid="{C0F97B7B-F38C-4DE7-9BF8-F659AF5B8AC6}">
      <text>
        <r>
          <rPr>
            <b/>
            <sz val="9"/>
            <color indexed="81"/>
            <rFont val="MS P ゴシック"/>
            <family val="3"/>
            <charset val="128"/>
          </rPr>
          <t>高橋拓,楮本、矢野</t>
        </r>
      </text>
    </comment>
    <comment ref="I19" authorId="0" shapeId="0" xr:uid="{1CD0847C-FDEB-4975-8C5B-E7D79608E55C}">
      <text>
        <r>
          <rPr>
            <b/>
            <sz val="9"/>
            <color indexed="81"/>
            <rFont val="MS P ゴシック"/>
            <family val="3"/>
            <charset val="128"/>
          </rPr>
          <t>高橋拓、矢野、加藤誠、髙田</t>
        </r>
      </text>
    </comment>
    <comment ref="P19" authorId="1" shapeId="0" xr:uid="{C1705A1D-3AEA-42B0-BB58-866A77C83763}">
      <text>
        <r>
          <rPr>
            <b/>
            <sz val="9"/>
            <color indexed="81"/>
            <rFont val="MS P ゴシック"/>
            <family val="3"/>
            <charset val="128"/>
          </rPr>
          <t>斉藤</t>
        </r>
      </text>
    </comment>
    <comment ref="Q19" authorId="1" shapeId="0" xr:uid="{8342CB19-F14E-43B6-8110-1EBACBA42328}">
      <text>
        <r>
          <rPr>
            <b/>
            <sz val="9"/>
            <color indexed="81"/>
            <rFont val="MS P ゴシック"/>
            <family val="3"/>
            <charset val="128"/>
          </rPr>
          <t>斉藤</t>
        </r>
      </text>
    </comment>
    <comment ref="R19" authorId="0" shapeId="0" xr:uid="{C1611D47-17E5-4979-95F8-A0E297F551B0}">
      <text>
        <r>
          <rPr>
            <b/>
            <sz val="9"/>
            <color indexed="81"/>
            <rFont val="MS P ゴシック"/>
            <family val="3"/>
            <charset val="128"/>
          </rPr>
          <t>高橋拓、斉藤</t>
        </r>
      </text>
    </comment>
    <comment ref="G27" authorId="0" shapeId="0" xr:uid="{5E387DA0-4DBF-4E7A-AB62-F1EED7D21A31}">
      <text>
        <r>
          <rPr>
            <b/>
            <sz val="9"/>
            <color indexed="81"/>
            <rFont val="MS P ゴシック"/>
            <family val="3"/>
            <charset val="128"/>
          </rPr>
          <t>楮本、今井、加藤誠、木村</t>
        </r>
      </text>
    </comment>
    <comment ref="H27" authorId="0" shapeId="0" xr:uid="{59E0A46F-32A5-4C3A-863E-155ECDDB2D31}">
      <text>
        <r>
          <rPr>
            <b/>
            <sz val="9"/>
            <color indexed="81"/>
            <rFont val="MS P ゴシック"/>
            <family val="3"/>
            <charset val="128"/>
          </rPr>
          <t>高橋拓、加藤誠、木村</t>
        </r>
      </text>
    </comment>
    <comment ref="N27" authorId="0" shapeId="0" xr:uid="{E1D44AFA-62CF-4059-BE48-ED13B923223D}">
      <text>
        <r>
          <rPr>
            <b/>
            <sz val="9"/>
            <color indexed="81"/>
            <rFont val="MS P ゴシック"/>
            <family val="3"/>
            <charset val="128"/>
          </rPr>
          <t>加藤誠、木村</t>
        </r>
      </text>
    </comment>
    <comment ref="O27" authorId="0" shapeId="0" xr:uid="{91C4763A-95CE-43DF-B283-027BCE78319B}">
      <text>
        <r>
          <rPr>
            <b/>
            <sz val="9"/>
            <color indexed="81"/>
            <rFont val="MS P ゴシック"/>
            <family val="3"/>
            <charset val="128"/>
          </rPr>
          <t>高橋拓、木村</t>
        </r>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SEIZOU-26</author>
  </authors>
  <commentList>
    <comment ref="B2" authorId="0" shapeId="0" xr:uid="{68C10096-BC6D-4B7C-B294-5067DF13B7E9}">
      <text>
        <r>
          <rPr>
            <b/>
            <sz val="9"/>
            <color indexed="81"/>
            <rFont val="MS P ゴシック"/>
            <family val="3"/>
            <charset val="128"/>
          </rPr>
          <t>高橋拓、今井、高田、加藤貴</t>
        </r>
      </text>
    </comment>
    <comment ref="C2" authorId="0" shapeId="0" xr:uid="{5FFF37F7-885C-461F-A93A-3ABE8C533893}">
      <text>
        <r>
          <rPr>
            <b/>
            <sz val="9"/>
            <color indexed="81"/>
            <rFont val="MS P ゴシック"/>
            <family val="3"/>
            <charset val="128"/>
          </rPr>
          <t>高橋拓、今井、高田</t>
        </r>
      </text>
    </comment>
    <comment ref="I2" authorId="0" shapeId="0" xr:uid="{239EA25D-47A6-4A2B-9297-9F2CA31179E3}">
      <text>
        <r>
          <rPr>
            <b/>
            <sz val="9"/>
            <color indexed="81"/>
            <rFont val="MS P ゴシック"/>
            <family val="3"/>
            <charset val="128"/>
          </rPr>
          <t>加藤貴、矢野</t>
        </r>
      </text>
    </comment>
    <comment ref="J2" authorId="0" shapeId="0" xr:uid="{3ACEB677-0C73-434A-922E-D1D726E78F8C}">
      <text>
        <r>
          <rPr>
            <b/>
            <sz val="9"/>
            <color indexed="81"/>
            <rFont val="MS P ゴシック"/>
            <family val="3"/>
            <charset val="128"/>
          </rPr>
          <t>高橋拓、加藤貴、矢野</t>
        </r>
      </text>
    </comment>
    <comment ref="Q2" authorId="0" shapeId="0" xr:uid="{134B0313-BE97-4B06-88E4-4FE47CB33AAB}">
      <text>
        <r>
          <rPr>
            <b/>
            <sz val="9"/>
            <color indexed="81"/>
            <rFont val="MS P ゴシック"/>
            <family val="3"/>
            <charset val="128"/>
          </rPr>
          <t>加藤貴</t>
        </r>
      </text>
    </comment>
    <comment ref="R2" authorId="0" shapeId="0" xr:uid="{E7BE8BC5-702B-4677-A922-68FF125B287E}">
      <text>
        <r>
          <rPr>
            <b/>
            <sz val="9"/>
            <color indexed="81"/>
            <rFont val="MS P ゴシック"/>
            <family val="3"/>
            <charset val="128"/>
          </rPr>
          <t>高橋拓、加藤貴</t>
        </r>
      </text>
    </comment>
    <comment ref="G10" authorId="0" shapeId="0" xr:uid="{15210815-D551-4EEA-B9AF-CF57C69A6D28}">
      <text>
        <r>
          <rPr>
            <b/>
            <sz val="9"/>
            <color indexed="81"/>
            <rFont val="MS P ゴシック"/>
            <family val="3"/>
            <charset val="128"/>
          </rPr>
          <t>高田、加藤貴</t>
        </r>
      </text>
    </comment>
    <comment ref="H10" authorId="0" shapeId="0" xr:uid="{CD966F29-A611-4193-A853-EAC03A81BDBC}">
      <text>
        <r>
          <rPr>
            <b/>
            <sz val="9"/>
            <color indexed="81"/>
            <rFont val="MS P ゴシック"/>
            <family val="3"/>
            <charset val="128"/>
          </rPr>
          <t>高橋拓、高田</t>
        </r>
      </text>
    </comment>
    <comment ref="N10" authorId="0" shapeId="0" xr:uid="{02D5FF4F-6EFC-4192-B7F5-9F3E8E1BB94B}">
      <text>
        <r>
          <rPr>
            <b/>
            <sz val="9"/>
            <color indexed="81"/>
            <rFont val="MS P ゴシック"/>
            <family val="3"/>
            <charset val="128"/>
          </rPr>
          <t>今井、髙田、加藤貴</t>
        </r>
      </text>
    </comment>
    <comment ref="O10" authorId="0" shapeId="0" xr:uid="{97D36510-D503-4C6B-936B-77849394CF49}">
      <text>
        <r>
          <rPr>
            <b/>
            <sz val="9"/>
            <color indexed="81"/>
            <rFont val="MS P ゴシック"/>
            <family val="3"/>
            <charset val="128"/>
          </rPr>
          <t xml:space="preserve">高橋拓、今井、高田
</t>
        </r>
      </text>
    </comment>
    <comment ref="F19" authorId="0" shapeId="0" xr:uid="{BCA460DC-627B-4E67-8FA3-30CC99A98EF7}">
      <text>
        <r>
          <rPr>
            <b/>
            <sz val="9"/>
            <color indexed="81"/>
            <rFont val="MS P ゴシック"/>
            <family val="3"/>
            <charset val="128"/>
          </rPr>
          <t>今井、矢野</t>
        </r>
      </text>
    </comment>
    <comment ref="G19" authorId="0" shapeId="0" xr:uid="{C14F0DDD-413E-411D-91EB-35B91724728F}">
      <text>
        <r>
          <rPr>
            <b/>
            <sz val="9"/>
            <color indexed="81"/>
            <rFont val="MS P ゴシック"/>
            <family val="3"/>
            <charset val="128"/>
          </rPr>
          <t>高橋拓、今井、矢野</t>
        </r>
      </text>
    </comment>
    <comment ref="O19" authorId="0" shapeId="0" xr:uid="{80E6A762-9D29-46BE-A211-66DA15C48296}">
      <text>
        <r>
          <rPr>
            <b/>
            <sz val="9"/>
            <color indexed="81"/>
            <rFont val="MS P ゴシック"/>
            <family val="3"/>
            <charset val="128"/>
          </rPr>
          <t xml:space="preserve">勅使河原
</t>
        </r>
      </text>
    </comment>
    <comment ref="P19" authorId="0" shapeId="0" xr:uid="{C203C739-F35A-44B0-8E37-8CCC812BFB96}">
      <text>
        <r>
          <rPr>
            <b/>
            <sz val="9"/>
            <color indexed="81"/>
            <rFont val="MS P ゴシック"/>
            <family val="3"/>
            <charset val="128"/>
          </rPr>
          <t xml:space="preserve">高橋拓、高田、勅使河原
</t>
        </r>
      </text>
    </comment>
    <comment ref="E27" authorId="0" shapeId="0" xr:uid="{CACA19C8-CF7B-4996-93F7-130CB1EF14DF}">
      <text>
        <r>
          <rPr>
            <b/>
            <sz val="9"/>
            <color indexed="81"/>
            <rFont val="MS P ゴシック"/>
            <family val="3"/>
            <charset val="128"/>
          </rPr>
          <t>加藤誠</t>
        </r>
      </text>
    </comment>
    <comment ref="F27" authorId="0" shapeId="0" xr:uid="{4F73ED9D-7A45-4DBB-B957-352C89C2298F}">
      <text>
        <r>
          <rPr>
            <b/>
            <sz val="9"/>
            <color indexed="81"/>
            <rFont val="MS P ゴシック"/>
            <family val="3"/>
            <charset val="128"/>
          </rPr>
          <t>高橋拓、加藤誠</t>
        </r>
      </text>
    </comment>
    <comment ref="L27" authorId="0" shapeId="0" xr:uid="{423CF5C5-3D68-4C5E-82CF-C9153D1A1C61}">
      <text>
        <r>
          <rPr>
            <b/>
            <sz val="9"/>
            <color indexed="81"/>
            <rFont val="MS P ゴシック"/>
            <family val="3"/>
            <charset val="128"/>
          </rPr>
          <t>加藤誠</t>
        </r>
      </text>
    </comment>
    <comment ref="M27" authorId="0" shapeId="0" xr:uid="{478BB8FF-E6EA-4605-A683-34FBD352E1B6}">
      <text>
        <r>
          <rPr>
            <b/>
            <sz val="9"/>
            <color indexed="81"/>
            <rFont val="MS P ゴシック"/>
            <family val="3"/>
            <charset val="128"/>
          </rPr>
          <t>高橋拓、加藤誠</t>
        </r>
      </text>
    </comment>
  </commentList>
</comments>
</file>

<file path=xl/comments29.xml><?xml version="1.0" encoding="utf-8"?>
<comments xmlns="http://schemas.openxmlformats.org/spreadsheetml/2006/main" xmlns:mc="http://schemas.openxmlformats.org/markup-compatibility/2006" xmlns:xr="http://schemas.microsoft.com/office/spreadsheetml/2014/revision" mc:Ignorable="xr">
  <authors>
    <author>SEIZOU-26</author>
  </authors>
  <commentList>
    <comment ref="G2" authorId="0" shapeId="0" xr:uid="{00E8B5DE-6088-4103-8503-76C852C434E3}">
      <text>
        <r>
          <rPr>
            <b/>
            <sz val="9"/>
            <color indexed="81"/>
            <rFont val="MS P ゴシック"/>
            <family val="3"/>
            <charset val="128"/>
          </rPr>
          <t>今井、矢野、、木村</t>
        </r>
      </text>
    </comment>
    <comment ref="H2" authorId="0" shapeId="0" xr:uid="{82C0E499-6828-44DE-BD32-D949CCE1C419}">
      <text>
        <r>
          <rPr>
            <b/>
            <sz val="9"/>
            <color indexed="81"/>
            <rFont val="MS P ゴシック"/>
            <family val="3"/>
            <charset val="128"/>
          </rPr>
          <t>高橋拓、矢野、木村</t>
        </r>
      </text>
    </comment>
    <comment ref="P2" authorId="0" shapeId="0" xr:uid="{3049480B-963B-4237-AB6A-2A3668F07C4F}">
      <text>
        <r>
          <rPr>
            <b/>
            <sz val="9"/>
            <color indexed="81"/>
            <rFont val="MS P ゴシック"/>
            <family val="3"/>
            <charset val="128"/>
          </rPr>
          <t>楮本、木村</t>
        </r>
      </text>
    </comment>
    <comment ref="Q2" authorId="0" shapeId="0" xr:uid="{C55DEF9E-3D01-42E0-A263-3B10DC3EDCD5}">
      <text>
        <r>
          <rPr>
            <b/>
            <sz val="9"/>
            <color indexed="81"/>
            <rFont val="MS P ゴシック"/>
            <family val="3"/>
            <charset val="128"/>
          </rPr>
          <t>高橋拓、木村</t>
        </r>
      </text>
    </comment>
    <comment ref="F10" authorId="0" shapeId="0" xr:uid="{02A10F9E-BD73-4845-80BE-94F9F35B1507}">
      <text>
        <r>
          <rPr>
            <b/>
            <sz val="9"/>
            <color indexed="81"/>
            <rFont val="MS P ゴシック"/>
            <family val="3"/>
            <charset val="128"/>
          </rPr>
          <t>楮本</t>
        </r>
      </text>
    </comment>
    <comment ref="G10" authorId="0" shapeId="0" xr:uid="{648C85C1-E203-4FC9-8CBD-31F36AEC1B96}">
      <text>
        <r>
          <rPr>
            <b/>
            <sz val="9"/>
            <color indexed="81"/>
            <rFont val="MS P ゴシック"/>
            <family val="3"/>
            <charset val="128"/>
          </rPr>
          <t>高橋良、高橋拓</t>
        </r>
      </text>
    </comment>
    <comment ref="N10" authorId="0" shapeId="0" xr:uid="{98248B70-36F8-416D-9F1B-76D213CF9912}">
      <text>
        <r>
          <rPr>
            <b/>
            <sz val="9"/>
            <color indexed="81"/>
            <rFont val="MS P ゴシック"/>
            <family val="3"/>
            <charset val="128"/>
          </rPr>
          <t>高橋拓</t>
        </r>
      </text>
    </comment>
    <comment ref="E19" authorId="0" shapeId="0" xr:uid="{97493F0B-AACE-4D81-9F79-D07F50A4C332}">
      <text>
        <r>
          <rPr>
            <b/>
            <sz val="9"/>
            <color indexed="81"/>
            <rFont val="MS P ゴシック"/>
            <family val="3"/>
            <charset val="128"/>
          </rPr>
          <t>加藤誠、楮本</t>
        </r>
      </text>
    </comment>
    <comment ref="F19" authorId="0" shapeId="0" xr:uid="{46BAFC3B-4F4E-4F94-90A4-35A5441FC8A9}">
      <text>
        <r>
          <rPr>
            <b/>
            <sz val="9"/>
            <color indexed="81"/>
            <rFont val="MS P ゴシック"/>
            <family val="3"/>
            <charset val="128"/>
          </rPr>
          <t>加藤誠、高橋拓</t>
        </r>
      </text>
    </comment>
    <comment ref="L19" authorId="0" shapeId="0" xr:uid="{4DF76AB5-2A4A-44E1-A815-59054EBA278A}">
      <text>
        <r>
          <rPr>
            <b/>
            <sz val="9"/>
            <color indexed="81"/>
            <rFont val="MS P ゴシック"/>
            <family val="3"/>
            <charset val="128"/>
          </rPr>
          <t xml:space="preserve">髙田、矢野、楮本
</t>
        </r>
      </text>
    </comment>
    <comment ref="N19" authorId="0" shapeId="0" xr:uid="{421CB4A5-BB38-4189-A737-D996C75E5F31}">
      <text>
        <r>
          <rPr>
            <b/>
            <sz val="9"/>
            <color indexed="81"/>
            <rFont val="MS P ゴシック"/>
            <family val="3"/>
            <charset val="128"/>
          </rPr>
          <t>髙田、高橋良、高橋拓、矢野</t>
        </r>
      </text>
    </comment>
    <comment ref="D27" authorId="0" shapeId="0" xr:uid="{BDFC04A9-5321-46EB-88A9-9C1FD77DCB20}">
      <text>
        <r>
          <rPr>
            <b/>
            <sz val="9"/>
            <color indexed="81"/>
            <rFont val="MS P ゴシック"/>
            <family val="3"/>
            <charset val="128"/>
          </rPr>
          <t>高橋拓</t>
        </r>
      </text>
    </comment>
    <comment ref="K27" authorId="0" shapeId="0" xr:uid="{6BCEC966-6A11-417E-BD74-AD42CB0DCCF2}">
      <text>
        <r>
          <rPr>
            <b/>
            <sz val="9"/>
            <color indexed="81"/>
            <rFont val="MS P ゴシック"/>
            <family val="3"/>
            <charset val="128"/>
          </rPr>
          <t>高橋拓</t>
        </r>
      </text>
    </comment>
  </commentList>
</comments>
</file>

<file path=xl/comments30.xml><?xml version="1.0" encoding="utf-8"?>
<comments xmlns="http://schemas.openxmlformats.org/spreadsheetml/2006/main" xmlns:mc="http://schemas.openxmlformats.org/markup-compatibility/2006" xmlns:xr="http://schemas.microsoft.com/office/spreadsheetml/2014/revision" mc:Ignorable="xr">
  <authors>
    <author>SEIZOU-20</author>
  </authors>
  <commentList>
    <comment ref="E2" authorId="0" shapeId="0" xr:uid="{9DB40767-0EF9-4A31-AFA8-5D3045AE8D84}">
      <text>
        <r>
          <rPr>
            <b/>
            <sz val="9"/>
            <color indexed="81"/>
            <rFont val="MS P ゴシック"/>
            <family val="3"/>
            <charset val="128"/>
          </rPr>
          <t>髙田、矢野、斉藤</t>
        </r>
      </text>
    </comment>
    <comment ref="F2" authorId="0" shapeId="0" xr:uid="{6B19D012-2547-44D7-BB0C-E576F2216C56}">
      <text>
        <r>
          <rPr>
            <b/>
            <sz val="9"/>
            <color indexed="81"/>
            <rFont val="MS P ゴシック"/>
            <family val="3"/>
            <charset val="128"/>
          </rPr>
          <t>矢野、高橋拓、斉藤</t>
        </r>
      </text>
    </comment>
    <comment ref="G2" authorId="0" shapeId="0" xr:uid="{930371F9-FBF9-44B0-ADBD-C9CCB58A14CE}">
      <text>
        <r>
          <rPr>
            <b/>
            <sz val="9"/>
            <color indexed="81"/>
            <rFont val="MS P ゴシック"/>
            <family val="3"/>
            <charset val="128"/>
          </rPr>
          <t>新井洋</t>
        </r>
      </text>
    </comment>
    <comment ref="N2" authorId="0" shapeId="0" xr:uid="{E5BBD39E-047B-494B-B597-D5506DADEC9A}">
      <text>
        <r>
          <rPr>
            <b/>
            <sz val="9"/>
            <color indexed="81"/>
            <rFont val="MS P ゴシック"/>
            <family val="3"/>
            <charset val="128"/>
          </rPr>
          <t>加藤貴、楮本、木村</t>
        </r>
      </text>
    </comment>
    <comment ref="O2" authorId="0" shapeId="0" xr:uid="{A0E83792-0E67-4674-8DED-01B1CEDB30EC}">
      <text>
        <r>
          <rPr>
            <b/>
            <sz val="9"/>
            <color indexed="81"/>
            <rFont val="MS P ゴシック"/>
            <family val="3"/>
            <charset val="128"/>
          </rPr>
          <t>加藤貴、高橋拓、今井、楮本</t>
        </r>
      </text>
    </comment>
    <comment ref="P2" authorId="0" shapeId="0" xr:uid="{107B022E-40FA-45A4-AF91-A34CAEAA1465}">
      <text>
        <r>
          <rPr>
            <b/>
            <sz val="9"/>
            <color indexed="81"/>
            <rFont val="MS P ゴシック"/>
            <family val="3"/>
            <charset val="128"/>
          </rPr>
          <t>加藤貴、今井、斉藤</t>
        </r>
      </text>
    </comment>
    <comment ref="Q2" authorId="0" shapeId="0" xr:uid="{DBC79085-17EC-48C9-A37B-38BFEE215EA5}">
      <text>
        <r>
          <rPr>
            <b/>
            <sz val="9"/>
            <color indexed="81"/>
            <rFont val="MS P ゴシック"/>
            <family val="3"/>
            <charset val="128"/>
          </rPr>
          <t>加藤貴、今井、斉藤</t>
        </r>
      </text>
    </comment>
    <comment ref="R2" authorId="0" shapeId="0" xr:uid="{09ACE4DC-6945-423C-8D1B-21B114413784}">
      <text>
        <r>
          <rPr>
            <b/>
            <sz val="9"/>
            <color indexed="81"/>
            <rFont val="MS P ゴシック"/>
            <family val="3"/>
            <charset val="128"/>
          </rPr>
          <t>齋藤、木村</t>
        </r>
      </text>
    </comment>
    <comment ref="D10" authorId="0" shapeId="0" xr:uid="{23C0FEB9-1186-49F6-B35A-ABCF78296232}">
      <text>
        <r>
          <rPr>
            <b/>
            <sz val="9"/>
            <color indexed="81"/>
            <rFont val="MS P ゴシック"/>
            <family val="3"/>
            <charset val="128"/>
          </rPr>
          <t>加藤誠、新井洋、髙田、楮本、木村</t>
        </r>
      </text>
    </comment>
    <comment ref="E10" authorId="0" shapeId="0" xr:uid="{D0BB03DF-C504-4480-90C1-720A8906EAC9}">
      <text>
        <r>
          <rPr>
            <b/>
            <sz val="9"/>
            <color indexed="81"/>
            <rFont val="MS P ゴシック"/>
            <family val="3"/>
            <charset val="128"/>
          </rPr>
          <t>加藤誠、新井洋、高橋拓、木村</t>
        </r>
      </text>
    </comment>
    <comment ref="K10" authorId="0" shapeId="0" xr:uid="{B42CD85C-8C5F-48FA-B57F-31F57825AB65}">
      <text>
        <r>
          <rPr>
            <b/>
            <sz val="9"/>
            <color indexed="81"/>
            <rFont val="MS P ゴシック"/>
            <family val="3"/>
            <charset val="128"/>
          </rPr>
          <t>髙田、楮本</t>
        </r>
      </text>
    </comment>
    <comment ref="L10" authorId="0" shapeId="0" xr:uid="{34956143-B8D9-4809-9D8D-26AE223CFDA9}">
      <text>
        <r>
          <rPr>
            <b/>
            <sz val="9"/>
            <color indexed="81"/>
            <rFont val="MS P ゴシック"/>
            <family val="3"/>
            <charset val="128"/>
          </rPr>
          <t>加藤誠、高橋拓</t>
        </r>
      </text>
    </comment>
    <comment ref="C19" authorId="0" shapeId="0" xr:uid="{9E92AEA9-EB8E-4082-8DE2-0B24C06FD44E}">
      <text>
        <r>
          <rPr>
            <b/>
            <sz val="9"/>
            <color indexed="81"/>
            <rFont val="MS P ゴシック"/>
            <family val="3"/>
            <charset val="128"/>
          </rPr>
          <t>高橋拓</t>
        </r>
      </text>
    </comment>
    <comment ref="D19" authorId="0" shapeId="0" xr:uid="{B3E9EB4D-C427-419C-B351-8FA7211E0C41}">
      <text>
        <r>
          <rPr>
            <b/>
            <sz val="9"/>
            <color indexed="81"/>
            <rFont val="MS P ゴシック"/>
            <family val="3"/>
            <charset val="128"/>
          </rPr>
          <t>高橋拓</t>
        </r>
      </text>
    </comment>
    <comment ref="J19" authorId="0" shapeId="0" xr:uid="{B33D585E-BBC8-4932-8CBB-38CF957DD7D2}">
      <text>
        <r>
          <rPr>
            <b/>
            <sz val="9"/>
            <color indexed="81"/>
            <rFont val="MS P ゴシック"/>
            <family val="3"/>
            <charset val="128"/>
          </rPr>
          <t>矢野</t>
        </r>
      </text>
    </comment>
    <comment ref="K19" authorId="0" shapeId="0" xr:uid="{25BC5F45-0EE5-4DBA-9121-8DCD07A9F2CB}">
      <text>
        <r>
          <rPr>
            <b/>
            <sz val="9"/>
            <color indexed="81"/>
            <rFont val="MS P ゴシック"/>
            <family val="3"/>
            <charset val="128"/>
          </rPr>
          <t>加藤誠、矢野、高橋拓</t>
        </r>
      </text>
    </comment>
    <comment ref="R19" authorId="0" shapeId="0" xr:uid="{10A8235D-2634-4F77-B044-086CD866171E}">
      <text>
        <r>
          <rPr>
            <b/>
            <sz val="9"/>
            <color indexed="81"/>
            <rFont val="MS P ゴシック"/>
            <family val="3"/>
            <charset val="128"/>
          </rPr>
          <t>楮本</t>
        </r>
      </text>
    </comment>
    <comment ref="B27" authorId="0" shapeId="0" xr:uid="{DBA61A44-E7A4-474D-885C-D9CC43F9ABAD}">
      <text>
        <r>
          <rPr>
            <b/>
            <sz val="9"/>
            <color indexed="81"/>
            <rFont val="MS P ゴシック"/>
            <family val="3"/>
            <charset val="128"/>
          </rPr>
          <t>高橋拓</t>
        </r>
      </text>
    </comment>
    <comment ref="H27" authorId="0" shapeId="0" xr:uid="{083B7E99-7430-4C79-A2DE-0E40ABBED02A}">
      <text>
        <r>
          <rPr>
            <b/>
            <sz val="9"/>
            <color indexed="81"/>
            <rFont val="MS P ゴシック"/>
            <family val="3"/>
            <charset val="128"/>
          </rPr>
          <t>楮本</t>
        </r>
      </text>
    </comment>
    <comment ref="I27" authorId="0" shapeId="0" xr:uid="{73584851-9080-4D06-9499-553D6DF10CD4}">
      <text>
        <r>
          <rPr>
            <b/>
            <sz val="9"/>
            <color indexed="81"/>
            <rFont val="MS P ゴシック"/>
            <family val="3"/>
            <charset val="128"/>
          </rPr>
          <t>高橋拓</t>
        </r>
      </text>
    </comment>
    <comment ref="P27" authorId="0" shapeId="0" xr:uid="{DC5FAD42-C94E-49C8-A59D-F1E741FA1383}">
      <text>
        <r>
          <rPr>
            <b/>
            <sz val="9"/>
            <color indexed="81"/>
            <rFont val="MS P ゴシック"/>
            <family val="3"/>
            <charset val="128"/>
          </rPr>
          <t>高橋拓</t>
        </r>
      </text>
    </comment>
  </commentList>
</comments>
</file>

<file path=xl/comments31.xml><?xml version="1.0" encoding="utf-8"?>
<comments xmlns="http://schemas.openxmlformats.org/spreadsheetml/2006/main" xmlns:mc="http://schemas.openxmlformats.org/markup-compatibility/2006" xmlns:xr="http://schemas.microsoft.com/office/spreadsheetml/2014/revision" mc:Ignorable="xr">
  <authors>
    <author>SEIZOU-20</author>
  </authors>
  <commentList>
    <comment ref="B2" authorId="0" shapeId="0" xr:uid="{1246D749-86AA-46D9-B7B9-EFD2A9D36529}">
      <text>
        <r>
          <rPr>
            <b/>
            <sz val="9"/>
            <color indexed="81"/>
            <rFont val="MS P ゴシック"/>
            <family val="3"/>
            <charset val="128"/>
          </rPr>
          <t>高橋拓</t>
        </r>
      </text>
    </comment>
    <comment ref="H2" authorId="0" shapeId="0" xr:uid="{A54BCCA3-E869-42F3-AF61-C39F39271B2D}">
      <text>
        <r>
          <rPr>
            <b/>
            <sz val="9"/>
            <color indexed="81"/>
            <rFont val="MS P ゴシック"/>
            <family val="3"/>
            <charset val="128"/>
          </rPr>
          <t xml:space="preserve">高橋剛
</t>
        </r>
      </text>
    </comment>
    <comment ref="I2" authorId="0" shapeId="0" xr:uid="{70F1F415-AD3E-4FBF-B5E5-7EDAED2E05C2}">
      <text>
        <r>
          <rPr>
            <b/>
            <sz val="9"/>
            <color indexed="81"/>
            <rFont val="MS P ゴシック"/>
            <family val="3"/>
            <charset val="128"/>
          </rPr>
          <t>高橋剛、加藤貴、
高橋拓</t>
        </r>
      </text>
    </comment>
    <comment ref="B10" authorId="0" shapeId="0" xr:uid="{23743784-0946-4488-A610-F6E4752A7F8C}">
      <text>
        <r>
          <rPr>
            <b/>
            <sz val="9"/>
            <color indexed="81"/>
            <rFont val="MS P ゴシック"/>
            <family val="3"/>
            <charset val="128"/>
          </rPr>
          <t>加藤貴</t>
        </r>
      </text>
    </comment>
    <comment ref="C10" authorId="0" shapeId="0" xr:uid="{153EC4DA-E25E-4E40-BF9E-B0908B987ED9}">
      <text>
        <r>
          <rPr>
            <b/>
            <sz val="9"/>
            <color indexed="81"/>
            <rFont val="MS P ゴシック"/>
            <family val="3"/>
            <charset val="128"/>
          </rPr>
          <t>加藤貴、高橋拓</t>
        </r>
      </text>
    </comment>
    <comment ref="I10" authorId="0" shapeId="0" xr:uid="{6B96E4E8-A69C-44E2-AAEE-F9F32BDBF8F0}">
      <text>
        <r>
          <rPr>
            <b/>
            <sz val="9"/>
            <color indexed="81"/>
            <rFont val="MS P ゴシック"/>
            <family val="3"/>
            <charset val="128"/>
          </rPr>
          <t>加藤貴、楮本</t>
        </r>
      </text>
    </comment>
    <comment ref="J10" authorId="0" shapeId="0" xr:uid="{ACAC7E36-0F77-4A17-B8CC-2DD1284B35B0}">
      <text>
        <r>
          <rPr>
            <b/>
            <sz val="9"/>
            <color indexed="81"/>
            <rFont val="MS P ゴシック"/>
            <family val="3"/>
            <charset val="128"/>
          </rPr>
          <t>高橋拓</t>
        </r>
      </text>
    </comment>
    <comment ref="P10" authorId="0" shapeId="0" xr:uid="{A3FE2623-BC25-4D48-9993-8B5AE265347E}">
      <text>
        <r>
          <rPr>
            <b/>
            <sz val="9"/>
            <color indexed="81"/>
            <rFont val="MS P ゴシック"/>
            <family val="3"/>
            <charset val="128"/>
          </rPr>
          <t>髙田、楮本、高橋拓</t>
        </r>
      </text>
    </comment>
    <comment ref="B19" authorId="0" shapeId="0" xr:uid="{BDC4A71D-09AF-4D17-A856-3D786B4476B7}">
      <text>
        <r>
          <rPr>
            <b/>
            <sz val="9"/>
            <color indexed="81"/>
            <rFont val="MS P ゴシック"/>
            <family val="3"/>
            <charset val="128"/>
          </rPr>
          <t>高橋拓</t>
        </r>
      </text>
    </comment>
    <comment ref="I19" authorId="0" shapeId="0" xr:uid="{3731453B-3EB8-442D-BBFD-32C66A88C0C3}">
      <text>
        <r>
          <rPr>
            <b/>
            <sz val="9"/>
            <color indexed="81"/>
            <rFont val="MS P ゴシック"/>
            <family val="3"/>
            <charset val="128"/>
          </rPr>
          <t>高橋拓</t>
        </r>
      </text>
    </comment>
    <comment ref="P19" authorId="0" shapeId="0" xr:uid="{3A2A0B5C-70CE-4167-A4E6-1953633A7DF1}">
      <text>
        <r>
          <rPr>
            <b/>
            <sz val="9"/>
            <color indexed="81"/>
            <rFont val="MS P ゴシック"/>
            <family val="3"/>
            <charset val="128"/>
          </rPr>
          <t>加藤誠、楮本</t>
        </r>
      </text>
    </comment>
    <comment ref="Q19" authorId="0" shapeId="0" xr:uid="{AD470F2E-3E77-4ABC-A603-F87B4453715B}">
      <text>
        <r>
          <rPr>
            <b/>
            <sz val="9"/>
            <color indexed="81"/>
            <rFont val="MS P ゴシック"/>
            <family val="3"/>
            <charset val="128"/>
          </rPr>
          <t>高橋拓</t>
        </r>
      </text>
    </comment>
    <comment ref="F27" authorId="0" shapeId="0" xr:uid="{0D2CEACE-D71B-4837-8006-53ED88EA188A}">
      <text>
        <r>
          <rPr>
            <b/>
            <sz val="9"/>
            <color indexed="81"/>
            <rFont val="MS P ゴシック"/>
            <family val="3"/>
            <charset val="128"/>
          </rPr>
          <t>加藤誠、楮本、高橋拓</t>
        </r>
      </text>
    </comment>
    <comment ref="G27" authorId="0" shapeId="0" xr:uid="{40A58ABE-D70B-4F6F-82C0-BFB5A44BC548}">
      <text>
        <r>
          <rPr>
            <b/>
            <sz val="9"/>
            <color indexed="81"/>
            <rFont val="MS P ゴシック"/>
            <family val="3"/>
            <charset val="128"/>
          </rPr>
          <t>高橋拓</t>
        </r>
      </text>
    </comment>
    <comment ref="N27" authorId="0" shapeId="0" xr:uid="{FCEA3851-9EA2-4E5F-AC97-B2A701AC5082}">
      <text>
        <r>
          <rPr>
            <b/>
            <sz val="9"/>
            <color indexed="81"/>
            <rFont val="MS P ゴシック"/>
            <family val="3"/>
            <charset val="128"/>
          </rPr>
          <t>高橋拓</t>
        </r>
      </text>
    </comment>
    <comment ref="Q27" authorId="0" shapeId="0" xr:uid="{1DF5C50B-FF86-4D8B-BEEA-03575D64C521}">
      <text>
        <r>
          <rPr>
            <b/>
            <sz val="9"/>
            <color indexed="81"/>
            <rFont val="MS P ゴシック"/>
            <family val="3"/>
            <charset val="128"/>
          </rPr>
          <t>4/24髙田</t>
        </r>
      </text>
    </comment>
  </commentList>
</comments>
</file>

<file path=xl/comments32.xml><?xml version="1.0" encoding="utf-8"?>
<comments xmlns="http://schemas.openxmlformats.org/spreadsheetml/2006/main" xmlns:mc="http://schemas.openxmlformats.org/markup-compatibility/2006" xmlns:xr="http://schemas.microsoft.com/office/spreadsheetml/2014/revision" mc:Ignorable="xr">
  <authors>
    <author>SEIZOU-20</author>
  </authors>
  <commentList>
    <comment ref="G2" authorId="0" shapeId="0" xr:uid="{100129EA-1FAF-4835-9B2D-B790186978C6}">
      <text>
        <r>
          <rPr>
            <b/>
            <sz val="9"/>
            <color indexed="81"/>
            <rFont val="MS P ゴシック"/>
            <family val="3"/>
            <charset val="128"/>
          </rPr>
          <t>新井翔、木村、高橋良、高橋拓</t>
        </r>
      </text>
    </comment>
    <comment ref="H2" authorId="0" shapeId="0" xr:uid="{A530E12E-28E0-489B-9343-9E70935D1CFB}">
      <text>
        <r>
          <rPr>
            <b/>
            <sz val="9"/>
            <color indexed="81"/>
            <rFont val="MS P ゴシック"/>
            <family val="3"/>
            <charset val="128"/>
          </rPr>
          <t xml:space="preserve">新井翔、木村、高橋拓、勅使河原
</t>
        </r>
      </text>
    </comment>
    <comment ref="E10" authorId="0" shapeId="0" xr:uid="{E514A8CD-ECE9-4AB1-9B47-B5E6DE2D46DA}">
      <text>
        <r>
          <rPr>
            <b/>
            <sz val="9"/>
            <color indexed="81"/>
            <rFont val="MS P ゴシック"/>
            <family val="3"/>
            <charset val="128"/>
          </rPr>
          <t>矢野、木村</t>
        </r>
      </text>
    </comment>
    <comment ref="F10" authorId="0" shapeId="0" xr:uid="{FA630D4D-92C3-4E8B-BE89-B9CA5A9C7AF8}">
      <text>
        <r>
          <rPr>
            <b/>
            <sz val="9"/>
            <color indexed="81"/>
            <rFont val="MS P ゴシック"/>
            <family val="3"/>
            <charset val="128"/>
          </rPr>
          <t>矢野、木村、高橋拓</t>
        </r>
      </text>
    </comment>
    <comment ref="L10" authorId="0" shapeId="0" xr:uid="{E4128EA2-02BD-4DA3-BE6C-F57E2C1179DF}">
      <text>
        <r>
          <rPr>
            <b/>
            <sz val="9"/>
            <color indexed="81"/>
            <rFont val="MS P ゴシック"/>
            <family val="3"/>
            <charset val="128"/>
          </rPr>
          <t>楮本</t>
        </r>
      </text>
    </comment>
    <comment ref="M10" authorId="0" shapeId="0" xr:uid="{309F442C-6292-4726-8B66-B3288A12AFE7}">
      <text>
        <r>
          <rPr>
            <b/>
            <sz val="9"/>
            <color indexed="81"/>
            <rFont val="MS P ゴシック"/>
            <family val="3"/>
            <charset val="128"/>
          </rPr>
          <t xml:space="preserve">高橋拓、髙田
</t>
        </r>
      </text>
    </comment>
    <comment ref="D19" authorId="0" shapeId="0" xr:uid="{250F5DEA-3F04-49B7-9215-A7FED8ED15D3}">
      <text>
        <r>
          <rPr>
            <b/>
            <sz val="9"/>
            <color indexed="81"/>
            <rFont val="MS P ゴシック"/>
            <family val="3"/>
            <charset val="128"/>
          </rPr>
          <t>楮本、高橋良</t>
        </r>
      </text>
    </comment>
    <comment ref="E19" authorId="0" shapeId="0" xr:uid="{0307121F-7E42-4C8B-A321-FB9946CD6A3A}">
      <text>
        <r>
          <rPr>
            <b/>
            <sz val="9"/>
            <color indexed="81"/>
            <rFont val="MS P ゴシック"/>
            <family val="3"/>
            <charset val="128"/>
          </rPr>
          <t>楮本、高橋拓</t>
        </r>
      </text>
    </comment>
    <comment ref="K19" authorId="0" shapeId="0" xr:uid="{11C34066-AC18-4D43-8C6F-8CC0846E6106}">
      <text>
        <r>
          <rPr>
            <b/>
            <sz val="9"/>
            <color indexed="81"/>
            <rFont val="MS P ゴシック"/>
            <family val="3"/>
            <charset val="128"/>
          </rPr>
          <t>楮本、高橋良</t>
        </r>
      </text>
    </comment>
    <comment ref="L19" authorId="0" shapeId="0" xr:uid="{EEAB0F7B-DAF7-4634-95F9-6CDFC479E730}">
      <text>
        <r>
          <rPr>
            <b/>
            <sz val="9"/>
            <color indexed="81"/>
            <rFont val="MS P ゴシック"/>
            <family val="3"/>
            <charset val="128"/>
          </rPr>
          <t>楮本、高橋拓</t>
        </r>
      </text>
    </comment>
    <comment ref="B27" authorId="0" shapeId="0" xr:uid="{597CF110-1E42-4C2F-B75A-325ED2607FB9}">
      <text>
        <r>
          <rPr>
            <b/>
            <sz val="9"/>
            <color indexed="81"/>
            <rFont val="MS P ゴシック"/>
            <family val="3"/>
            <charset val="128"/>
          </rPr>
          <t xml:space="preserve">新井啓、木村
</t>
        </r>
      </text>
    </comment>
    <comment ref="C27" authorId="0" shapeId="0" xr:uid="{80EC1B76-D0CE-40AF-9D88-49708B4DD3C7}">
      <text>
        <r>
          <rPr>
            <b/>
            <sz val="9"/>
            <color indexed="81"/>
            <rFont val="MS P ゴシック"/>
            <family val="3"/>
            <charset val="128"/>
          </rPr>
          <t>新井啓、高橋拓</t>
        </r>
      </text>
    </comment>
    <comment ref="I27" authorId="0" shapeId="0" xr:uid="{75217B9F-9240-4027-ABEB-13B944576521}">
      <text>
        <r>
          <rPr>
            <b/>
            <sz val="9"/>
            <color indexed="81"/>
            <rFont val="MS P ゴシック"/>
            <family val="3"/>
            <charset val="128"/>
          </rPr>
          <t>矢野、高橋拓</t>
        </r>
      </text>
    </comment>
    <comment ref="J27" authorId="0" shapeId="0" xr:uid="{C863BE16-8688-450E-AC17-7DBA4865F215}">
      <text>
        <r>
          <rPr>
            <b/>
            <sz val="9"/>
            <color indexed="81"/>
            <rFont val="MS P ゴシック"/>
            <family val="3"/>
            <charset val="128"/>
          </rPr>
          <t>矢野、高橋拓</t>
        </r>
      </text>
    </comment>
    <comment ref="P27" authorId="0" shapeId="0" xr:uid="{8D20EF99-EFCC-45D8-8721-C53102E44AE1}">
      <text>
        <r>
          <rPr>
            <b/>
            <sz val="9"/>
            <color indexed="81"/>
            <rFont val="MS P ゴシック"/>
            <family val="3"/>
            <charset val="128"/>
          </rPr>
          <t>高橋拓</t>
        </r>
      </text>
    </comment>
    <comment ref="Q27" authorId="0" shapeId="0" xr:uid="{28D38416-77F0-47D5-8358-976E212288F4}">
      <text>
        <r>
          <rPr>
            <b/>
            <sz val="9"/>
            <color indexed="81"/>
            <rFont val="MS P ゴシック"/>
            <family val="3"/>
            <charset val="128"/>
          </rPr>
          <t>高橋拓</t>
        </r>
        <r>
          <rPr>
            <sz val="9"/>
            <color indexed="81"/>
            <rFont val="MS P ゴシック"/>
            <family val="3"/>
            <charset val="128"/>
          </rPr>
          <t xml:space="preserve">
</t>
        </r>
      </text>
    </comment>
  </commentList>
</comments>
</file>

<file path=xl/comments33.xml><?xml version="1.0" encoding="utf-8"?>
<comments xmlns="http://schemas.openxmlformats.org/spreadsheetml/2006/main" xmlns:mc="http://schemas.openxmlformats.org/markup-compatibility/2006" xmlns:xr="http://schemas.microsoft.com/office/spreadsheetml/2014/revision" mc:Ignorable="xr">
  <authors>
    <author>SEIZOU-20</author>
  </authors>
  <commentList>
    <comment ref="C19" authorId="0" shapeId="0" xr:uid="{074D596C-464F-4072-BD79-C7A6F66A1A3B}">
      <text>
        <r>
          <rPr>
            <b/>
            <sz val="9"/>
            <color indexed="81"/>
            <rFont val="MS P ゴシック"/>
            <family val="3"/>
            <charset val="128"/>
          </rPr>
          <t>新井翔</t>
        </r>
      </text>
    </comment>
    <comment ref="I19" authorId="0" shapeId="0" xr:uid="{606A35F5-4899-4131-A5B6-6520D9F0929D}">
      <text>
        <r>
          <rPr>
            <b/>
            <sz val="9"/>
            <color indexed="81"/>
            <rFont val="MS P ゴシック"/>
            <family val="3"/>
            <charset val="128"/>
          </rPr>
          <t>矢野、高橋拓</t>
        </r>
      </text>
    </comment>
    <comment ref="J19" authorId="0" shapeId="0" xr:uid="{419CCE6C-60D7-49D2-996E-9C416E407590}">
      <text>
        <r>
          <rPr>
            <b/>
            <sz val="9"/>
            <color indexed="81"/>
            <rFont val="MS P ゴシック"/>
            <family val="3"/>
            <charset val="128"/>
          </rPr>
          <t>矢野、加藤誠、高橋拓</t>
        </r>
      </text>
    </comment>
    <comment ref="B27" authorId="0" shapeId="0" xr:uid="{ECEA46B9-6073-4C09-97B2-4DF3CE56F231}">
      <text>
        <r>
          <rPr>
            <b/>
            <sz val="9"/>
            <color indexed="81"/>
            <rFont val="MS P ゴシック"/>
            <family val="3"/>
            <charset val="128"/>
          </rPr>
          <t>新井翔、高橋拓</t>
        </r>
      </text>
    </comment>
    <comment ref="H27" authorId="0" shapeId="0" xr:uid="{6C68652B-EBD5-4A28-9C58-F9CBF82BA101}">
      <text>
        <r>
          <rPr>
            <b/>
            <sz val="9"/>
            <color indexed="81"/>
            <rFont val="MS P ゴシック"/>
            <family val="3"/>
            <charset val="128"/>
          </rPr>
          <t xml:space="preserve">今井、勅使河原
</t>
        </r>
      </text>
    </comment>
  </commentList>
</comments>
</file>

<file path=xl/comments34.xml><?xml version="1.0" encoding="utf-8"?>
<comments xmlns="http://schemas.openxmlformats.org/spreadsheetml/2006/main" xmlns:mc="http://schemas.openxmlformats.org/markup-compatibility/2006" xmlns:xr="http://schemas.microsoft.com/office/spreadsheetml/2014/revision" mc:Ignorable="xr">
  <authors>
    <author>SEIZOU-20</author>
  </authors>
  <commentList>
    <comment ref="E2" authorId="0" shapeId="0" xr:uid="{CED8D57B-B9F0-490F-96D7-82EFDB0E4C5F}">
      <text>
        <r>
          <rPr>
            <b/>
            <sz val="9"/>
            <color indexed="81"/>
            <rFont val="MS P ゴシック"/>
            <family val="3"/>
            <charset val="128"/>
          </rPr>
          <t xml:space="preserve">勅使河原
</t>
        </r>
      </text>
    </comment>
    <comment ref="F2" authorId="0" shapeId="0" xr:uid="{A7E244EA-5464-4036-9476-86C5D85E1E59}">
      <text>
        <r>
          <rPr>
            <b/>
            <sz val="9"/>
            <color indexed="81"/>
            <rFont val="MS P ゴシック"/>
            <family val="3"/>
            <charset val="128"/>
          </rPr>
          <t xml:space="preserve">高橋拓、勅使河原
</t>
        </r>
      </text>
    </comment>
    <comment ref="K2" authorId="0" shapeId="0" xr:uid="{DEB14117-4FD2-405B-9234-6BC5228CA199}">
      <text>
        <r>
          <rPr>
            <b/>
            <sz val="9"/>
            <color indexed="81"/>
            <rFont val="MS P ゴシック"/>
            <family val="3"/>
            <charset val="128"/>
          </rPr>
          <t>新井洋</t>
        </r>
      </text>
    </comment>
    <comment ref="L2" authorId="0" shapeId="0" xr:uid="{AA9BDB61-2C8D-4530-9662-20AA81F40406}">
      <text>
        <r>
          <rPr>
            <b/>
            <sz val="9"/>
            <color indexed="81"/>
            <rFont val="MS P ゴシック"/>
            <family val="3"/>
            <charset val="128"/>
          </rPr>
          <t>矢野、新井洋、新井翔、加藤誠</t>
        </r>
      </text>
    </comment>
    <comment ref="N2" authorId="0" shapeId="0" xr:uid="{99B1EB38-7540-4C41-BDDD-7F7B64E1861D}">
      <text>
        <r>
          <rPr>
            <b/>
            <sz val="9"/>
            <color indexed="81"/>
            <rFont val="MS P ゴシック"/>
            <family val="3"/>
            <charset val="128"/>
          </rPr>
          <t>矢野、新井洋、高橋拓</t>
        </r>
      </text>
    </comment>
    <comment ref="C10" authorId="0" shapeId="0" xr:uid="{0A065680-06B4-4E47-B6D2-D0FE9202DCBE}">
      <text>
        <r>
          <rPr>
            <b/>
            <sz val="9"/>
            <color indexed="81"/>
            <rFont val="MS P ゴシック"/>
            <family val="3"/>
            <charset val="128"/>
          </rPr>
          <t>勅使河原、浅賀</t>
        </r>
      </text>
    </comment>
    <comment ref="D10" authorId="0" shapeId="0" xr:uid="{B3E6CF3B-B14D-4C80-ABA1-C834EFCA1CA1}">
      <text>
        <r>
          <rPr>
            <b/>
            <sz val="9"/>
            <color indexed="81"/>
            <rFont val="MS P ゴシック"/>
            <family val="3"/>
            <charset val="128"/>
          </rPr>
          <t>高橋拓、浅賀</t>
        </r>
      </text>
    </comment>
    <comment ref="J10" authorId="0" shapeId="0" xr:uid="{94103118-1315-496B-98C6-E1D9A03F6155}">
      <text>
        <r>
          <rPr>
            <b/>
            <sz val="9"/>
            <color indexed="81"/>
            <rFont val="MS P ゴシック"/>
            <family val="3"/>
            <charset val="128"/>
          </rPr>
          <t>新井翔</t>
        </r>
      </text>
    </comment>
    <comment ref="K10" authorId="0" shapeId="0" xr:uid="{F1CFB567-43CC-46B5-9048-2C7A07E5C095}">
      <text>
        <r>
          <rPr>
            <b/>
            <sz val="9"/>
            <color indexed="81"/>
            <rFont val="MS P ゴシック"/>
            <family val="3"/>
            <charset val="128"/>
          </rPr>
          <t>高橋拓</t>
        </r>
      </text>
    </comment>
    <comment ref="C19" authorId="0" shapeId="0" xr:uid="{F5AD1DC3-6364-4776-B929-38EDEE1E294C}">
      <text>
        <r>
          <rPr>
            <b/>
            <sz val="9"/>
            <color indexed="81"/>
            <rFont val="MS P ゴシック"/>
            <family val="3"/>
            <charset val="128"/>
          </rPr>
          <t>新井翔</t>
        </r>
      </text>
    </comment>
    <comment ref="I19" authorId="0" shapeId="0" xr:uid="{3FE6EBBB-EA4C-466E-8516-102FA17C6EDF}">
      <text>
        <r>
          <rPr>
            <b/>
            <sz val="9"/>
            <color indexed="81"/>
            <rFont val="MS P ゴシック"/>
            <family val="3"/>
            <charset val="128"/>
          </rPr>
          <t>矢野、高橋拓</t>
        </r>
      </text>
    </comment>
    <comment ref="J19" authorId="0" shapeId="0" xr:uid="{4BB69B8F-2F60-43CC-8F61-79C772952234}">
      <text>
        <r>
          <rPr>
            <b/>
            <sz val="9"/>
            <color indexed="81"/>
            <rFont val="MS P ゴシック"/>
            <family val="3"/>
            <charset val="128"/>
          </rPr>
          <t>矢野、加藤誠、高橋拓</t>
        </r>
      </text>
    </comment>
    <comment ref="B27" authorId="0" shapeId="0" xr:uid="{D332C2B5-2800-42B4-886A-56FF45E2FAB2}">
      <text>
        <r>
          <rPr>
            <b/>
            <sz val="9"/>
            <color indexed="81"/>
            <rFont val="MS P ゴシック"/>
            <family val="3"/>
            <charset val="128"/>
          </rPr>
          <t>新井翔、高橋拓</t>
        </r>
      </text>
    </comment>
    <comment ref="H27" authorId="0" shapeId="0" xr:uid="{44333EF9-6CB7-4EA4-9ACF-2C2E01D6B37A}">
      <text>
        <r>
          <rPr>
            <b/>
            <sz val="9"/>
            <color indexed="81"/>
            <rFont val="MS P ゴシック"/>
            <family val="3"/>
            <charset val="128"/>
          </rPr>
          <t xml:space="preserve">今井、勅使河原
</t>
        </r>
      </text>
    </comment>
  </commentList>
</comments>
</file>

<file path=xl/comments35.xml><?xml version="1.0" encoding="utf-8"?>
<comments xmlns="http://schemas.openxmlformats.org/spreadsheetml/2006/main" xmlns:mc="http://schemas.openxmlformats.org/markup-compatibility/2006" xmlns:xr="http://schemas.microsoft.com/office/spreadsheetml/2014/revision" mc:Ignorable="xr">
  <authors>
    <author>SEIZOU-20</author>
  </authors>
  <commentList>
    <comment ref="C2" authorId="0" shapeId="0" xr:uid="{B5344C18-010E-4DF5-B22D-7CB4B7A544CD}">
      <text>
        <r>
          <rPr>
            <b/>
            <sz val="9"/>
            <color indexed="81"/>
            <rFont val="MS P ゴシック"/>
            <family val="3"/>
            <charset val="128"/>
          </rPr>
          <t>新井洋、高橋拓、木村</t>
        </r>
      </text>
    </comment>
    <comment ref="D2" authorId="0" shapeId="0" xr:uid="{824B7559-BEDB-455D-B322-935C0C9CC333}">
      <text>
        <r>
          <rPr>
            <b/>
            <sz val="9"/>
            <color indexed="81"/>
            <rFont val="MS P ゴシック"/>
            <family val="3"/>
            <charset val="128"/>
          </rPr>
          <t>新井洋、木村</t>
        </r>
      </text>
    </comment>
    <comment ref="J2" authorId="0" shapeId="0" xr:uid="{200825F6-7FD6-4C8F-A56D-8AB288055E43}">
      <text>
        <r>
          <rPr>
            <b/>
            <sz val="9"/>
            <color indexed="81"/>
            <rFont val="MS P ゴシック"/>
            <family val="3"/>
            <charset val="128"/>
          </rPr>
          <t xml:space="preserve">矢野
</t>
        </r>
      </text>
    </comment>
    <comment ref="K2" authorId="0" shapeId="0" xr:uid="{449C783A-0112-4EBB-9FE4-CB63E278961C}">
      <text>
        <r>
          <rPr>
            <b/>
            <sz val="9"/>
            <color indexed="81"/>
            <rFont val="MS P ゴシック"/>
            <family val="3"/>
            <charset val="128"/>
          </rPr>
          <t xml:space="preserve">矢野
</t>
        </r>
      </text>
    </comment>
    <comment ref="R2" authorId="0" shapeId="0" xr:uid="{88DFC3F4-26C8-4A92-A1ED-4ABA71D53E74}">
      <text>
        <r>
          <rPr>
            <b/>
            <sz val="9"/>
            <color indexed="81"/>
            <rFont val="MS P ゴシック"/>
            <family val="3"/>
            <charset val="128"/>
          </rPr>
          <t>高橋拓、新井翔</t>
        </r>
      </text>
    </comment>
    <comment ref="B10" authorId="0" shapeId="0" xr:uid="{B5C8C01E-F60D-42BD-9F3C-F81D0A868703}">
      <text>
        <r>
          <rPr>
            <b/>
            <sz val="9"/>
            <color indexed="81"/>
            <rFont val="MS P ゴシック"/>
            <family val="3"/>
            <charset val="128"/>
          </rPr>
          <t xml:space="preserve">加藤誠、新井翔
</t>
        </r>
      </text>
    </comment>
    <comment ref="C10" authorId="0" shapeId="0" xr:uid="{B18B9D91-A7E6-499C-8A8A-A7AD36CDBC21}">
      <text>
        <r>
          <rPr>
            <b/>
            <sz val="9"/>
            <color indexed="81"/>
            <rFont val="MS P ゴシック"/>
            <family val="3"/>
            <charset val="128"/>
          </rPr>
          <t xml:space="preserve">夜勤希望
高橋剛
</t>
        </r>
      </text>
    </comment>
    <comment ref="H10" authorId="0" shapeId="0" xr:uid="{01E5B04D-711C-4E7F-A088-A0CC5DB70718}">
      <text>
        <r>
          <rPr>
            <b/>
            <sz val="9"/>
            <color indexed="81"/>
            <rFont val="MS P ゴシック"/>
            <family val="3"/>
            <charset val="128"/>
          </rPr>
          <t>今井、新井翔</t>
        </r>
      </text>
    </comment>
    <comment ref="I10" authorId="0" shapeId="0" xr:uid="{4D7FCC2A-70AA-42B5-95FB-333945F5D32C}">
      <text>
        <r>
          <rPr>
            <b/>
            <sz val="9"/>
            <color indexed="81"/>
            <rFont val="MS P ゴシック"/>
            <family val="3"/>
            <charset val="128"/>
          </rPr>
          <t>新井翔</t>
        </r>
      </text>
    </comment>
    <comment ref="O10" authorId="0" shapeId="0" xr:uid="{AD46A9B4-F1C4-4E3D-B828-925503131EF6}">
      <text>
        <r>
          <rPr>
            <b/>
            <sz val="9"/>
            <color indexed="81"/>
            <rFont val="MS P ゴシック"/>
            <family val="3"/>
            <charset val="128"/>
          </rPr>
          <t>今井、加藤誠、新井翔</t>
        </r>
      </text>
    </comment>
    <comment ref="P10" authorId="0" shapeId="0" xr:uid="{94B75CB4-6F4C-459A-B2A4-EBF8E4FFA680}">
      <text>
        <r>
          <rPr>
            <b/>
            <sz val="9"/>
            <color indexed="81"/>
            <rFont val="MS P ゴシック"/>
            <family val="3"/>
            <charset val="128"/>
          </rPr>
          <t>今井、加藤誠、新井翔</t>
        </r>
      </text>
    </comment>
    <comment ref="G19" authorId="0" shapeId="0" xr:uid="{9211930D-DFC5-4237-A01A-77FF62627B2D}">
      <text>
        <r>
          <rPr>
            <b/>
            <sz val="9"/>
            <color indexed="81"/>
            <rFont val="MS P ゴシック"/>
            <family val="3"/>
            <charset val="128"/>
          </rPr>
          <t>矢野、今井、高橋拓、髙田、加藤誠、新井翔、木村</t>
        </r>
      </text>
    </comment>
    <comment ref="H19" authorId="0" shapeId="0" xr:uid="{484C4B31-4079-4F30-AAF5-177CF31CD927}">
      <text>
        <r>
          <rPr>
            <b/>
            <sz val="9"/>
            <color indexed="81"/>
            <rFont val="MS P ゴシック"/>
            <family val="3"/>
            <charset val="128"/>
          </rPr>
          <t>矢野、今井、加藤誠、新井翔、木村</t>
        </r>
      </text>
    </comment>
    <comment ref="P19" authorId="0" shapeId="0" xr:uid="{F092E5C0-CFD5-4A1F-83ED-BA4E71A53FC7}">
      <text>
        <r>
          <rPr>
            <b/>
            <sz val="9"/>
            <color indexed="81"/>
            <rFont val="MS P ゴシック"/>
            <family val="3"/>
            <charset val="128"/>
          </rPr>
          <t>高橋拓、加藤誠</t>
        </r>
      </text>
    </comment>
    <comment ref="Q19" authorId="0" shapeId="0" xr:uid="{13500A5A-7D91-4E5D-ADC5-6070AF2D3095}">
      <text>
        <r>
          <rPr>
            <b/>
            <sz val="9"/>
            <color indexed="81"/>
            <rFont val="MS P ゴシック"/>
            <family val="3"/>
            <charset val="128"/>
          </rPr>
          <t>加藤誠</t>
        </r>
      </text>
    </comment>
    <comment ref="F27" authorId="0" shapeId="0" xr:uid="{DD826846-4037-4DF0-8C75-807AE1B3123B}">
      <text>
        <r>
          <rPr>
            <b/>
            <sz val="9"/>
            <color indexed="81"/>
            <rFont val="MS P ゴシック"/>
            <family val="3"/>
            <charset val="128"/>
          </rPr>
          <t>高橋拓</t>
        </r>
      </text>
    </comment>
  </commentList>
</comments>
</file>

<file path=xl/comments36.xml><?xml version="1.0" encoding="utf-8"?>
<comments xmlns="http://schemas.openxmlformats.org/spreadsheetml/2006/main" xmlns:mc="http://schemas.openxmlformats.org/markup-compatibility/2006" xmlns:xr="http://schemas.microsoft.com/office/spreadsheetml/2014/revision" mc:Ignorable="xr">
  <authors>
    <author>SEIZOU-20</author>
  </authors>
  <commentList>
    <comment ref="H2" authorId="0" shapeId="0" xr:uid="{2661B9B1-5CFF-4E0A-BAE7-EFD579FF94DB}">
      <text>
        <r>
          <rPr>
            <b/>
            <sz val="9"/>
            <color indexed="81"/>
            <rFont val="MS P ゴシック"/>
            <family val="3"/>
            <charset val="128"/>
          </rPr>
          <t>矢野</t>
        </r>
      </text>
    </comment>
    <comment ref="I2" authorId="0" shapeId="0" xr:uid="{00000000-0006-0000-0000-000001000000}">
      <text>
        <r>
          <rPr>
            <b/>
            <sz val="9"/>
            <color indexed="81"/>
            <rFont val="MS P ゴシック"/>
            <family val="3"/>
            <charset val="128"/>
          </rPr>
          <t>加藤誠、髙田、矢野</t>
        </r>
      </text>
    </comment>
    <comment ref="G10" authorId="0" shapeId="0" xr:uid="{ED0C33AD-1315-43AC-BA57-3980B18369A2}">
      <text>
        <r>
          <rPr>
            <b/>
            <sz val="9"/>
            <color indexed="81"/>
            <rFont val="MS P ゴシック"/>
            <family val="3"/>
            <charset val="128"/>
          </rPr>
          <t>高橋拓</t>
        </r>
      </text>
    </comment>
    <comment ref="F19" authorId="0" shapeId="0" xr:uid="{00000000-0006-0000-0000-000002000000}">
      <text>
        <r>
          <rPr>
            <b/>
            <sz val="9"/>
            <color indexed="81"/>
            <rFont val="MS P ゴシック"/>
            <family val="3"/>
            <charset val="128"/>
          </rPr>
          <t>加藤誠、矢野</t>
        </r>
      </text>
    </comment>
    <comment ref="G19" authorId="0" shapeId="0" xr:uid="{00000000-0006-0000-0000-000003000000}">
      <text>
        <r>
          <rPr>
            <b/>
            <sz val="9"/>
            <color indexed="81"/>
            <rFont val="MS P ゴシック"/>
            <family val="3"/>
            <charset val="128"/>
          </rPr>
          <t>加藤誠、矢野</t>
        </r>
      </text>
    </comment>
  </commentList>
</comments>
</file>

<file path=xl/comments37.xml><?xml version="1.0" encoding="utf-8"?>
<comments xmlns="http://schemas.openxmlformats.org/spreadsheetml/2006/main" xmlns:mc="http://schemas.openxmlformats.org/markup-compatibility/2006" xmlns:xr="http://schemas.microsoft.com/office/spreadsheetml/2014/revision" mc:Ignorable="xr">
  <authors>
    <author>SEIZOU-20</author>
  </authors>
  <commentList>
    <comment ref="F2" authorId="0" shapeId="0" xr:uid="{00000000-0006-0000-0100-000001000000}">
      <text>
        <r>
          <rPr>
            <b/>
            <sz val="9"/>
            <color indexed="81"/>
            <rFont val="MS P ゴシック"/>
            <family val="3"/>
            <charset val="128"/>
          </rPr>
          <t>高橋良、髙田、勅使河原、矢野</t>
        </r>
      </text>
    </comment>
    <comment ref="G2" authorId="0" shapeId="0" xr:uid="{00000000-0006-0000-0100-000002000000}">
      <text>
        <r>
          <rPr>
            <b/>
            <sz val="9"/>
            <color indexed="81"/>
            <rFont val="MS P ゴシック"/>
            <family val="3"/>
            <charset val="128"/>
          </rPr>
          <t>高橋良、勅使河原、矢野</t>
        </r>
      </text>
    </comment>
    <comment ref="E10" authorId="0" shapeId="0" xr:uid="{00000000-0006-0000-0100-000003000000}">
      <text>
        <r>
          <rPr>
            <b/>
            <sz val="9"/>
            <color indexed="81"/>
            <rFont val="MS P ゴシック"/>
            <family val="3"/>
            <charset val="128"/>
          </rPr>
          <t>木村、矢野</t>
        </r>
      </text>
    </comment>
    <comment ref="F10" authorId="0" shapeId="0" xr:uid="{00000000-0006-0000-0100-000004000000}">
      <text>
        <r>
          <rPr>
            <b/>
            <sz val="9"/>
            <color indexed="81"/>
            <rFont val="MS P ゴシック"/>
            <family val="3"/>
            <charset val="128"/>
          </rPr>
          <t>木村、矢野</t>
        </r>
      </text>
    </comment>
    <comment ref="L10" authorId="0" shapeId="0" xr:uid="{00000000-0006-0000-0100-000005000000}">
      <text>
        <r>
          <rPr>
            <b/>
            <sz val="9"/>
            <color indexed="81"/>
            <rFont val="MS P ゴシック"/>
            <family val="3"/>
            <charset val="128"/>
          </rPr>
          <t>髙田</t>
        </r>
      </text>
    </comment>
    <comment ref="K19" authorId="0" shapeId="0" xr:uid="{00000000-0006-0000-0100-000006000000}">
      <text>
        <r>
          <rPr>
            <b/>
            <sz val="9"/>
            <color indexed="81"/>
            <rFont val="MS P ゴシック"/>
            <family val="3"/>
            <charset val="128"/>
          </rPr>
          <t>高橋拓、加藤誠、矢野</t>
        </r>
      </text>
    </comment>
    <comment ref="L19" authorId="0" shapeId="0" xr:uid="{00000000-0006-0000-0100-000007000000}">
      <text>
        <r>
          <rPr>
            <b/>
            <sz val="9"/>
            <color indexed="81"/>
            <rFont val="MS P ゴシック"/>
            <family val="3"/>
            <charset val="128"/>
          </rPr>
          <t>加藤誠、矢野</t>
        </r>
      </text>
    </comment>
    <comment ref="B27" authorId="0" shapeId="0" xr:uid="{00000000-0006-0000-0100-000008000000}">
      <text>
        <r>
          <rPr>
            <b/>
            <sz val="9"/>
            <color indexed="81"/>
            <rFont val="MS P ゴシック"/>
            <family val="3"/>
            <charset val="128"/>
          </rPr>
          <t xml:space="preserve">高橋拓、髙田
</t>
        </r>
      </text>
    </comment>
    <comment ref="I27" authorId="0" shapeId="0" xr:uid="{00000000-0006-0000-0100-000009000000}">
      <text>
        <r>
          <rPr>
            <b/>
            <sz val="9"/>
            <color indexed="81"/>
            <rFont val="MS P ゴシック"/>
            <family val="3"/>
            <charset val="128"/>
          </rPr>
          <t>高橋拓</t>
        </r>
      </text>
    </comment>
  </commentList>
</comments>
</file>

<file path=xl/comments38.xml><?xml version="1.0" encoding="utf-8"?>
<comments xmlns="http://schemas.openxmlformats.org/spreadsheetml/2006/main" xmlns:mc="http://schemas.openxmlformats.org/markup-compatibility/2006" xmlns:xr="http://schemas.microsoft.com/office/spreadsheetml/2014/revision" mc:Ignorable="xr">
  <authors>
    <author>SEIZOU-20</author>
  </authors>
  <commentList>
    <comment ref="C2" authorId="0" shapeId="0" xr:uid="{00000000-0006-0000-0200-000001000000}">
      <text>
        <r>
          <rPr>
            <b/>
            <sz val="9"/>
            <color indexed="81"/>
            <rFont val="MS P ゴシック"/>
            <family val="3"/>
            <charset val="128"/>
          </rPr>
          <t>新井啓、勅使河原
加藤貴、髙田</t>
        </r>
      </text>
    </comment>
    <comment ref="D2" authorId="0" shapeId="0" xr:uid="{00000000-0006-0000-0200-000002000000}">
      <text>
        <r>
          <rPr>
            <b/>
            <sz val="9"/>
            <color indexed="81"/>
            <rFont val="MS P ゴシック"/>
            <family val="3"/>
            <charset val="128"/>
          </rPr>
          <t xml:space="preserve">新井啓、加藤貴
</t>
        </r>
      </text>
    </comment>
    <comment ref="E2" authorId="0" shapeId="0" xr:uid="{00000000-0006-0000-0200-000003000000}">
      <text>
        <r>
          <rPr>
            <b/>
            <sz val="9"/>
            <color indexed="81"/>
            <rFont val="MS P ゴシック"/>
            <family val="3"/>
            <charset val="128"/>
          </rPr>
          <t>夜勤不可　木村</t>
        </r>
      </text>
    </comment>
    <comment ref="J2" authorId="0" shapeId="0" xr:uid="{00000000-0006-0000-0200-000004000000}">
      <text>
        <r>
          <rPr>
            <b/>
            <sz val="9"/>
            <color indexed="81"/>
            <rFont val="MS P ゴシック"/>
            <family val="3"/>
            <charset val="128"/>
          </rPr>
          <t xml:space="preserve">新井洋
</t>
        </r>
      </text>
    </comment>
    <comment ref="N2" authorId="0" shapeId="0" xr:uid="{00000000-0006-0000-0200-000005000000}">
      <text>
        <r>
          <rPr>
            <b/>
            <sz val="9"/>
            <color indexed="81"/>
            <rFont val="MS P ゴシック"/>
            <family val="3"/>
            <charset val="128"/>
          </rPr>
          <t>加藤誠、新井洋</t>
        </r>
      </text>
    </comment>
    <comment ref="C10" authorId="0" shapeId="0" xr:uid="{00000000-0006-0000-0200-000006000000}">
      <text>
        <r>
          <rPr>
            <b/>
            <sz val="9"/>
            <color indexed="81"/>
            <rFont val="MS P ゴシック"/>
            <family val="3"/>
            <charset val="128"/>
          </rPr>
          <t xml:space="preserve">新井翔、加藤誠
</t>
        </r>
      </text>
    </comment>
    <comment ref="D10" authorId="0" shapeId="0" xr:uid="{00000000-0006-0000-0200-000007000000}">
      <text>
        <r>
          <rPr>
            <b/>
            <sz val="9"/>
            <color indexed="81"/>
            <rFont val="MS P ゴシック"/>
            <family val="3"/>
            <charset val="128"/>
          </rPr>
          <t xml:space="preserve">新井翔、加藤誠
小林
</t>
        </r>
      </text>
    </comment>
    <comment ref="C19" authorId="0" shapeId="0" xr:uid="{00000000-0006-0000-0200-000008000000}">
      <text>
        <r>
          <rPr>
            <b/>
            <sz val="9"/>
            <color indexed="81"/>
            <rFont val="MS P ゴシック"/>
            <family val="3"/>
            <charset val="128"/>
          </rPr>
          <t xml:space="preserve">新井翔
</t>
        </r>
      </text>
    </comment>
    <comment ref="Q19" authorId="0" shapeId="0" xr:uid="{00000000-0006-0000-0200-000009000000}">
      <text>
        <r>
          <rPr>
            <b/>
            <sz val="9"/>
            <color indexed="81"/>
            <rFont val="MS P ゴシック"/>
            <family val="3"/>
            <charset val="128"/>
          </rPr>
          <t>高橋拓、勅使河原
加藤貴</t>
        </r>
      </text>
    </comment>
    <comment ref="R19" authorId="0" shapeId="0" xr:uid="{00000000-0006-0000-0200-00000A000000}">
      <text>
        <r>
          <rPr>
            <b/>
            <sz val="9"/>
            <color indexed="81"/>
            <rFont val="MS P ゴシック"/>
            <family val="3"/>
            <charset val="128"/>
          </rPr>
          <t xml:space="preserve">加藤貴
</t>
        </r>
      </text>
    </comment>
    <comment ref="G27" authorId="0" shapeId="0" xr:uid="{00000000-0006-0000-0200-00000B000000}">
      <text>
        <r>
          <rPr>
            <b/>
            <sz val="9"/>
            <color indexed="81"/>
            <rFont val="MS P ゴシック"/>
            <family val="3"/>
            <charset val="128"/>
          </rPr>
          <t>高橋拓</t>
        </r>
      </text>
    </comment>
    <comment ref="H27" authorId="0" shapeId="0" xr:uid="{00000000-0006-0000-0200-00000C000000}">
      <text>
        <r>
          <rPr>
            <b/>
            <sz val="9"/>
            <color indexed="81"/>
            <rFont val="MS P ゴシック"/>
            <family val="3"/>
            <charset val="128"/>
          </rPr>
          <t xml:space="preserve">加藤誠
</t>
        </r>
      </text>
    </comment>
    <comment ref="N27" authorId="0" shapeId="0" xr:uid="{00000000-0006-0000-0200-00000D000000}">
      <text>
        <r>
          <rPr>
            <b/>
            <sz val="9"/>
            <color indexed="81"/>
            <rFont val="MS P ゴシック"/>
            <family val="3"/>
            <charset val="128"/>
          </rPr>
          <t xml:space="preserve">加藤誠、勅使河原
</t>
        </r>
      </text>
    </comment>
    <comment ref="O27" authorId="0" shapeId="0" xr:uid="{00000000-0006-0000-0200-00000E000000}">
      <text>
        <r>
          <rPr>
            <b/>
            <sz val="9"/>
            <color indexed="81"/>
            <rFont val="MS P ゴシック"/>
            <family val="3"/>
            <charset val="128"/>
          </rPr>
          <t xml:space="preserve">加藤誠
</t>
        </r>
      </text>
    </comment>
  </commentList>
</comments>
</file>

<file path=xl/comments39.xml><?xml version="1.0" encoding="utf-8"?>
<comments xmlns="http://schemas.openxmlformats.org/spreadsheetml/2006/main" xmlns:mc="http://schemas.openxmlformats.org/markup-compatibility/2006" xmlns:xr="http://schemas.microsoft.com/office/spreadsheetml/2014/revision" mc:Ignorable="xr">
  <authors>
    <author>SEIZOU-20</author>
  </authors>
  <commentList>
    <comment ref="B2" authorId="0" shapeId="0" xr:uid="{00000000-0006-0000-0300-000001000000}">
      <text>
        <r>
          <rPr>
            <b/>
            <sz val="9"/>
            <color indexed="81"/>
            <rFont val="MS P ゴシック"/>
            <family val="3"/>
            <charset val="128"/>
          </rPr>
          <t xml:space="preserve">髙田、勅使河原
</t>
        </r>
      </text>
    </comment>
    <comment ref="C2" authorId="0" shapeId="0" xr:uid="{00000000-0006-0000-0300-000002000000}">
      <text>
        <r>
          <rPr>
            <b/>
            <sz val="9"/>
            <color indexed="81"/>
            <rFont val="MS P ゴシック"/>
            <family val="3"/>
            <charset val="128"/>
          </rPr>
          <t>加藤誠、勅使河原、高橋拓</t>
        </r>
      </text>
    </comment>
    <comment ref="I2" authorId="0" shapeId="0" xr:uid="{00000000-0006-0000-0300-000003000000}">
      <text>
        <r>
          <rPr>
            <b/>
            <sz val="9"/>
            <color indexed="81"/>
            <rFont val="MS P ゴシック"/>
            <family val="3"/>
            <charset val="128"/>
          </rPr>
          <t>高橋拓</t>
        </r>
      </text>
    </comment>
    <comment ref="J2" authorId="0" shapeId="0" xr:uid="{00000000-0006-0000-0300-000004000000}">
      <text>
        <r>
          <rPr>
            <b/>
            <sz val="9"/>
            <color indexed="81"/>
            <rFont val="MS P ゴシック"/>
            <family val="3"/>
            <charset val="128"/>
          </rPr>
          <t>高橋良、高橋拓、斉藤</t>
        </r>
      </text>
    </comment>
    <comment ref="G10" authorId="0" shapeId="0" xr:uid="{00000000-0006-0000-0300-000005000000}">
      <text>
        <r>
          <rPr>
            <b/>
            <sz val="9"/>
            <color indexed="81"/>
            <rFont val="MS P ゴシック"/>
            <family val="3"/>
            <charset val="128"/>
          </rPr>
          <t>斉藤</t>
        </r>
      </text>
    </comment>
    <comment ref="H10" authorId="0" shapeId="0" xr:uid="{00000000-0006-0000-0300-000006000000}">
      <text>
        <r>
          <rPr>
            <b/>
            <sz val="9"/>
            <color indexed="81"/>
            <rFont val="MS P ゴシック"/>
            <family val="3"/>
            <charset val="128"/>
          </rPr>
          <t>斉藤</t>
        </r>
      </text>
    </comment>
    <comment ref="N10" authorId="0" shapeId="0" xr:uid="{00000000-0006-0000-0300-000007000000}">
      <text>
        <r>
          <rPr>
            <b/>
            <sz val="9"/>
            <color indexed="81"/>
            <rFont val="MS P ゴシック"/>
            <family val="3"/>
            <charset val="128"/>
          </rPr>
          <t xml:space="preserve">木村
</t>
        </r>
      </text>
    </comment>
    <comment ref="O10" authorId="0" shapeId="0" xr:uid="{00000000-0006-0000-0300-000008000000}">
      <text>
        <r>
          <rPr>
            <b/>
            <sz val="9"/>
            <color indexed="81"/>
            <rFont val="MS P ゴシック"/>
            <family val="3"/>
            <charset val="128"/>
          </rPr>
          <t xml:space="preserve">木村
</t>
        </r>
      </text>
    </comment>
    <comment ref="P10" authorId="0" shapeId="0" xr:uid="{00000000-0006-0000-0300-000009000000}">
      <text>
        <r>
          <rPr>
            <b/>
            <sz val="9"/>
            <color indexed="81"/>
            <rFont val="MS P ゴシック"/>
            <family val="3"/>
            <charset val="128"/>
          </rPr>
          <t>夜勤不可、加藤貴</t>
        </r>
      </text>
    </comment>
    <comment ref="F19" authorId="0" shapeId="0" xr:uid="{00000000-0006-0000-0300-00000A000000}">
      <text>
        <r>
          <rPr>
            <b/>
            <sz val="9"/>
            <color indexed="81"/>
            <rFont val="MS P ゴシック"/>
            <family val="3"/>
            <charset val="128"/>
          </rPr>
          <t>木村、加藤貴</t>
        </r>
      </text>
    </comment>
    <comment ref="G19" authorId="0" shapeId="0" xr:uid="{00000000-0006-0000-0300-00000B000000}">
      <text>
        <r>
          <rPr>
            <b/>
            <sz val="9"/>
            <color indexed="81"/>
            <rFont val="MS P ゴシック"/>
            <family val="3"/>
            <charset val="128"/>
          </rPr>
          <t>木村、加藤貴</t>
        </r>
      </text>
    </comment>
    <comment ref="N19" authorId="0" shapeId="0" xr:uid="{00000000-0006-0000-0300-00000C000000}">
      <text>
        <r>
          <rPr>
            <b/>
            <sz val="9"/>
            <color indexed="81"/>
            <rFont val="MS P ゴシック"/>
            <family val="3"/>
            <charset val="128"/>
          </rPr>
          <t>木村</t>
        </r>
      </text>
    </comment>
    <comment ref="O19" authorId="0" shapeId="0" xr:uid="{00000000-0006-0000-0300-00000D000000}">
      <text>
        <r>
          <rPr>
            <b/>
            <sz val="9"/>
            <color indexed="81"/>
            <rFont val="MS P ゴシック"/>
            <family val="3"/>
            <charset val="128"/>
          </rPr>
          <t>木村</t>
        </r>
      </text>
    </comment>
    <comment ref="K27" authorId="0" shapeId="0" xr:uid="{00000000-0006-0000-0300-00000E000000}">
      <text>
        <r>
          <rPr>
            <b/>
            <sz val="9"/>
            <color indexed="81"/>
            <rFont val="MS P ゴシック"/>
            <family val="3"/>
            <charset val="128"/>
          </rPr>
          <t>高橋拓</t>
        </r>
      </text>
    </comment>
    <comment ref="L27" authorId="0" shapeId="0" xr:uid="{00000000-0006-0000-0300-00000F000000}">
      <text>
        <r>
          <rPr>
            <b/>
            <sz val="9"/>
            <color indexed="81"/>
            <rFont val="MS P ゴシック"/>
            <family val="3"/>
            <charset val="128"/>
          </rPr>
          <t xml:space="preserve">加藤誠
</t>
        </r>
      </text>
    </comment>
  </commentList>
</comments>
</file>

<file path=xl/comments40.xml><?xml version="1.0" encoding="utf-8"?>
<comments xmlns="http://schemas.openxmlformats.org/spreadsheetml/2006/main" xmlns:mc="http://schemas.openxmlformats.org/markup-compatibility/2006" xmlns:xr="http://schemas.microsoft.com/office/spreadsheetml/2014/revision" mc:Ignorable="xr">
  <authors>
    <author>SEIZOU-20</author>
  </authors>
  <commentList>
    <comment ref="G2" authorId="0" shapeId="0" xr:uid="{00000000-0006-0000-0400-000001000000}">
      <text>
        <r>
          <rPr>
            <b/>
            <sz val="9"/>
            <color indexed="81"/>
            <rFont val="MS P ゴシック"/>
            <family val="3"/>
            <charset val="128"/>
          </rPr>
          <t>勅使河原,高橋拓</t>
        </r>
      </text>
    </comment>
    <comment ref="H2" authorId="0" shapeId="0" xr:uid="{00000000-0006-0000-0400-000002000000}">
      <text>
        <r>
          <rPr>
            <b/>
            <sz val="9"/>
            <color indexed="81"/>
            <rFont val="MS P ゴシック"/>
            <family val="3"/>
            <charset val="128"/>
          </rPr>
          <t xml:space="preserve">勅使河原
</t>
        </r>
      </text>
    </comment>
    <comment ref="P2" authorId="0" shapeId="0" xr:uid="{00000000-0006-0000-0400-000003000000}">
      <text>
        <r>
          <rPr>
            <b/>
            <sz val="9"/>
            <color indexed="81"/>
            <rFont val="MS P ゴシック"/>
            <family val="3"/>
            <charset val="128"/>
          </rPr>
          <t>加藤誠,加藤貴</t>
        </r>
      </text>
    </comment>
    <comment ref="E10" authorId="0" shapeId="0" xr:uid="{00000000-0006-0000-0400-000004000000}">
      <text>
        <r>
          <rPr>
            <b/>
            <sz val="9"/>
            <color indexed="81"/>
            <rFont val="MS P ゴシック"/>
            <family val="3"/>
            <charset val="128"/>
          </rPr>
          <t>今井、加藤誠、髙田
勅使河原</t>
        </r>
      </text>
    </comment>
    <comment ref="F10" authorId="0" shapeId="0" xr:uid="{00000000-0006-0000-0400-000005000000}">
      <text>
        <r>
          <rPr>
            <b/>
            <sz val="9"/>
            <color indexed="81"/>
            <rFont val="MS P ゴシック"/>
            <family val="3"/>
            <charset val="128"/>
          </rPr>
          <t>加藤誠、髙田、勅使河原</t>
        </r>
      </text>
    </comment>
    <comment ref="L10" authorId="0" shapeId="0" xr:uid="{00000000-0006-0000-0400-000006000000}">
      <text>
        <r>
          <rPr>
            <b/>
            <sz val="9"/>
            <color indexed="81"/>
            <rFont val="MS P ゴシック"/>
            <family val="3"/>
            <charset val="128"/>
          </rPr>
          <t xml:space="preserve">今井
</t>
        </r>
      </text>
    </comment>
    <comment ref="D19" authorId="0" shapeId="0" xr:uid="{00000000-0006-0000-0400-000007000000}">
      <text>
        <r>
          <rPr>
            <b/>
            <sz val="9"/>
            <color indexed="81"/>
            <rFont val="MS P ゴシック"/>
            <family val="3"/>
            <charset val="128"/>
          </rPr>
          <t>加藤誠,新井翔</t>
        </r>
      </text>
    </comment>
    <comment ref="E19" authorId="0" shapeId="0" xr:uid="{00000000-0006-0000-0400-000008000000}">
      <text>
        <r>
          <rPr>
            <b/>
            <sz val="9"/>
            <color indexed="81"/>
            <rFont val="MS P ゴシック"/>
            <family val="3"/>
            <charset val="128"/>
          </rPr>
          <t>加藤誠、新井翔</t>
        </r>
      </text>
    </comment>
    <comment ref="K19" authorId="0" shapeId="0" xr:uid="{00000000-0006-0000-0400-000009000000}">
      <text>
        <r>
          <rPr>
            <b/>
            <sz val="9"/>
            <color indexed="81"/>
            <rFont val="MS P ゴシック"/>
            <family val="3"/>
            <charset val="128"/>
          </rPr>
          <t>高橋拓、勅使河原</t>
        </r>
      </text>
    </comment>
    <comment ref="N19" authorId="0" shapeId="0" xr:uid="{00000000-0006-0000-0400-00000A000000}">
      <text>
        <r>
          <rPr>
            <b/>
            <sz val="9"/>
            <color indexed="81"/>
            <rFont val="MS P ゴシック"/>
            <family val="3"/>
            <charset val="128"/>
          </rPr>
          <t>高橋拓</t>
        </r>
      </text>
    </comment>
    <comment ref="O19" authorId="0" shapeId="0" xr:uid="{00000000-0006-0000-0400-00000B000000}">
      <text>
        <r>
          <rPr>
            <b/>
            <sz val="9"/>
            <color indexed="81"/>
            <rFont val="MS P ゴシック"/>
            <family val="3"/>
            <charset val="128"/>
          </rPr>
          <t xml:space="preserve">新井洋夜勤不可
</t>
        </r>
      </text>
    </comment>
    <comment ref="C27" authorId="0" shapeId="0" xr:uid="{00000000-0006-0000-0400-00000C000000}">
      <text>
        <r>
          <rPr>
            <b/>
            <sz val="9"/>
            <color indexed="81"/>
            <rFont val="MS P ゴシック"/>
            <family val="3"/>
            <charset val="128"/>
          </rPr>
          <t>今井、髙田</t>
        </r>
      </text>
    </comment>
    <comment ref="D27" authorId="0" shapeId="0" xr:uid="{00000000-0006-0000-0400-00000D000000}">
      <text>
        <r>
          <rPr>
            <b/>
            <sz val="9"/>
            <color indexed="81"/>
            <rFont val="MS P ゴシック"/>
            <family val="3"/>
            <charset val="128"/>
          </rPr>
          <t>髙田</t>
        </r>
      </text>
    </comment>
    <comment ref="J27" authorId="0" shapeId="0" xr:uid="{00000000-0006-0000-0400-00000E000000}">
      <text>
        <r>
          <rPr>
            <b/>
            <sz val="9"/>
            <color indexed="81"/>
            <rFont val="MS P ゴシック"/>
            <family val="3"/>
            <charset val="128"/>
          </rPr>
          <t xml:space="preserve">勅使河原
</t>
        </r>
      </text>
    </comment>
    <comment ref="L27" authorId="0" shapeId="0" xr:uid="{00000000-0006-0000-0400-00000F000000}">
      <text>
        <r>
          <rPr>
            <b/>
            <sz val="9"/>
            <color indexed="81"/>
            <rFont val="MS P ゴシック"/>
            <family val="3"/>
            <charset val="128"/>
          </rPr>
          <t xml:space="preserve">夜勤不可　高橋拓
</t>
        </r>
      </text>
    </comment>
  </commentList>
</comments>
</file>

<file path=xl/comments41.xml><?xml version="1.0" encoding="utf-8"?>
<comments xmlns="http://schemas.openxmlformats.org/spreadsheetml/2006/main" xmlns:mc="http://schemas.openxmlformats.org/markup-compatibility/2006" xmlns:xr="http://schemas.microsoft.com/office/spreadsheetml/2014/revision" mc:Ignorable="xr">
  <authors>
    <author>SEIZOU-20</author>
  </authors>
  <commentList>
    <comment ref="E2" authorId="0" shapeId="0" xr:uid="{00000000-0006-0000-0500-000001000000}">
      <text>
        <r>
          <rPr>
            <b/>
            <sz val="9"/>
            <color indexed="81"/>
            <rFont val="MS P ゴシック"/>
            <family val="3"/>
            <charset val="128"/>
          </rPr>
          <t>高橋拓、石間戸</t>
        </r>
      </text>
    </comment>
    <comment ref="F2" authorId="0" shapeId="0" xr:uid="{00000000-0006-0000-0500-000002000000}">
      <text>
        <r>
          <rPr>
            <b/>
            <sz val="9"/>
            <color indexed="81"/>
            <rFont val="MS P ゴシック"/>
            <family val="3"/>
            <charset val="128"/>
          </rPr>
          <t>石間戸</t>
        </r>
      </text>
    </comment>
    <comment ref="L2" authorId="0" shapeId="0" xr:uid="{00000000-0006-0000-0500-000003000000}">
      <text>
        <r>
          <rPr>
            <b/>
            <sz val="9"/>
            <color indexed="81"/>
            <rFont val="MS P ゴシック"/>
            <family val="3"/>
            <charset val="128"/>
          </rPr>
          <t>高橋良、木村、新井洋、楮本</t>
        </r>
      </text>
    </comment>
    <comment ref="N2" authorId="0" shapeId="0" xr:uid="{00000000-0006-0000-0500-000004000000}">
      <text>
        <r>
          <rPr>
            <b/>
            <sz val="9"/>
            <color indexed="81"/>
            <rFont val="MS P ゴシック"/>
            <family val="3"/>
            <charset val="128"/>
          </rPr>
          <t>高橋良、木村、新井洋、楮本</t>
        </r>
      </text>
    </comment>
    <comment ref="C10" authorId="0" shapeId="0" xr:uid="{00000000-0006-0000-0500-000005000000}">
      <text>
        <r>
          <rPr>
            <b/>
            <sz val="9"/>
            <color indexed="81"/>
            <rFont val="MS P ゴシック"/>
            <family val="3"/>
            <charset val="128"/>
          </rPr>
          <t>加藤貴</t>
        </r>
      </text>
    </comment>
    <comment ref="D10" authorId="0" shapeId="0" xr:uid="{00000000-0006-0000-0500-000006000000}">
      <text>
        <r>
          <rPr>
            <b/>
            <sz val="9"/>
            <color indexed="81"/>
            <rFont val="MS P ゴシック"/>
            <family val="3"/>
            <charset val="128"/>
          </rPr>
          <t>新井翔、加藤貴</t>
        </r>
      </text>
    </comment>
    <comment ref="J10" authorId="0" shapeId="0" xr:uid="{00000000-0006-0000-0500-000007000000}">
      <text>
        <r>
          <rPr>
            <b/>
            <sz val="9"/>
            <color indexed="81"/>
            <rFont val="MS P ゴシック"/>
            <family val="3"/>
            <charset val="128"/>
          </rPr>
          <t>今井、木村、石間戸</t>
        </r>
      </text>
    </comment>
    <comment ref="K10" authorId="0" shapeId="0" xr:uid="{00000000-0006-0000-0500-000008000000}">
      <text>
        <r>
          <rPr>
            <b/>
            <sz val="9"/>
            <color indexed="81"/>
            <rFont val="MS P ゴシック"/>
            <family val="3"/>
            <charset val="128"/>
          </rPr>
          <t>木村、石間戸</t>
        </r>
      </text>
    </comment>
    <comment ref="B19" authorId="0" shapeId="0" xr:uid="{00000000-0006-0000-0500-000009000000}">
      <text>
        <r>
          <rPr>
            <b/>
            <sz val="9"/>
            <color indexed="81"/>
            <rFont val="MS P ゴシック"/>
            <family val="3"/>
            <charset val="128"/>
          </rPr>
          <t>今井、木村、勅使河原、加藤貴</t>
        </r>
      </text>
    </comment>
    <comment ref="C19" authorId="0" shapeId="0" xr:uid="{00000000-0006-0000-0500-00000A000000}">
      <text>
        <r>
          <rPr>
            <b/>
            <sz val="9"/>
            <color indexed="81"/>
            <rFont val="MS P ゴシック"/>
            <family val="3"/>
            <charset val="128"/>
          </rPr>
          <t>今井、木村、勅使河原、加藤貴</t>
        </r>
      </text>
    </comment>
    <comment ref="D19" authorId="0" shapeId="0" xr:uid="{00000000-0006-0000-0500-00000B000000}">
      <text>
        <r>
          <rPr>
            <b/>
            <sz val="9"/>
            <color indexed="81"/>
            <rFont val="MS P ゴシック"/>
            <family val="3"/>
            <charset val="128"/>
          </rPr>
          <t>加藤貴</t>
        </r>
      </text>
    </comment>
    <comment ref="I19" authorId="0" shapeId="0" xr:uid="{00000000-0006-0000-0500-00000C000000}">
      <text>
        <r>
          <rPr>
            <b/>
            <sz val="9"/>
            <color indexed="81"/>
            <rFont val="MS P ゴシック"/>
            <family val="3"/>
            <charset val="128"/>
          </rPr>
          <t>今井、高橋拓、石間戸、岩田、髙田</t>
        </r>
      </text>
    </comment>
    <comment ref="J19" authorId="0" shapeId="0" xr:uid="{00000000-0006-0000-0500-00000D000000}">
      <text>
        <r>
          <rPr>
            <b/>
            <sz val="9"/>
            <color indexed="81"/>
            <rFont val="MS P ゴシック"/>
            <family val="3"/>
            <charset val="128"/>
          </rPr>
          <t>今井、石間戸、岩田</t>
        </r>
      </text>
    </comment>
    <comment ref="R19" authorId="0" shapeId="0" xr:uid="{00000000-0006-0000-0500-00000E000000}">
      <text>
        <r>
          <rPr>
            <b/>
            <sz val="9"/>
            <color indexed="81"/>
            <rFont val="MS P ゴシック"/>
            <family val="3"/>
            <charset val="128"/>
          </rPr>
          <t>新井啓、高橋拓、勅使河原、加藤貴、髙田</t>
        </r>
      </text>
    </comment>
    <comment ref="B27" authorId="0" shapeId="0" xr:uid="{00000000-0006-0000-0500-00000F000000}">
      <text>
        <r>
          <rPr>
            <b/>
            <sz val="9"/>
            <color indexed="81"/>
            <rFont val="MS P ゴシック"/>
            <family val="3"/>
            <charset val="128"/>
          </rPr>
          <t>高橋拓、勅使河原</t>
        </r>
      </text>
    </comment>
    <comment ref="H27" authorId="0" shapeId="0" xr:uid="{00000000-0006-0000-0500-000010000000}">
      <text>
        <r>
          <rPr>
            <b/>
            <sz val="9"/>
            <color indexed="81"/>
            <rFont val="MS P ゴシック"/>
            <family val="3"/>
            <charset val="128"/>
          </rPr>
          <t>今井、高橋良</t>
        </r>
      </text>
    </comment>
    <comment ref="I27" authorId="0" shapeId="0" xr:uid="{00000000-0006-0000-0500-000011000000}">
      <text>
        <r>
          <rPr>
            <b/>
            <sz val="9"/>
            <color indexed="81"/>
            <rFont val="MS P ゴシック"/>
            <family val="3"/>
            <charset val="128"/>
          </rPr>
          <t>今井、高橋良
、岩田</t>
        </r>
      </text>
    </comment>
    <comment ref="O27" authorId="0" shapeId="0" xr:uid="{00000000-0006-0000-0500-000012000000}">
      <text>
        <r>
          <rPr>
            <b/>
            <sz val="9"/>
            <color indexed="81"/>
            <rFont val="MS P ゴシック"/>
            <family val="3"/>
            <charset val="128"/>
          </rPr>
          <t>新井翔、石間戸</t>
        </r>
      </text>
    </comment>
    <comment ref="P27" authorId="0" shapeId="0" xr:uid="{00000000-0006-0000-0500-000013000000}">
      <text>
        <r>
          <rPr>
            <b/>
            <sz val="9"/>
            <color indexed="81"/>
            <rFont val="MS P ゴシック"/>
            <family val="3"/>
            <charset val="128"/>
          </rPr>
          <t>新井翔、石間戸</t>
        </r>
      </text>
    </comment>
  </commentList>
</comments>
</file>

<file path=xl/comments42.xml><?xml version="1.0" encoding="utf-8"?>
<comments xmlns="http://schemas.openxmlformats.org/spreadsheetml/2006/main" xmlns:mc="http://schemas.openxmlformats.org/markup-compatibility/2006" xmlns:xr="http://schemas.microsoft.com/office/spreadsheetml/2014/revision" mc:Ignorable="xr">
  <authors>
    <author>SEIZOU-20</author>
  </authors>
  <commentList>
    <comment ref="E2" authorId="0" shapeId="0" xr:uid="{00000000-0006-0000-0600-000001000000}">
      <text>
        <r>
          <rPr>
            <b/>
            <sz val="9"/>
            <color indexed="81"/>
            <rFont val="MS P ゴシック"/>
            <family val="3"/>
            <charset val="128"/>
          </rPr>
          <t>夜勤不可
小林</t>
        </r>
      </text>
    </comment>
    <comment ref="J2" authorId="0" shapeId="0" xr:uid="{00000000-0006-0000-0600-000002000000}">
      <text>
        <r>
          <rPr>
            <b/>
            <sz val="9"/>
            <color indexed="81"/>
            <rFont val="MS P ゴシック"/>
            <family val="3"/>
            <charset val="128"/>
          </rPr>
          <t>木村</t>
        </r>
      </text>
    </comment>
    <comment ref="K2" authorId="0" shapeId="0" xr:uid="{00000000-0006-0000-0600-000003000000}">
      <text>
        <r>
          <rPr>
            <b/>
            <sz val="9"/>
            <color indexed="81"/>
            <rFont val="MS P ゴシック"/>
            <family val="3"/>
            <charset val="128"/>
          </rPr>
          <t>木村、髙田</t>
        </r>
      </text>
    </comment>
    <comment ref="N2" authorId="0" shapeId="0" xr:uid="{00000000-0006-0000-0600-000004000000}">
      <text>
        <r>
          <rPr>
            <b/>
            <sz val="9"/>
            <color indexed="81"/>
            <rFont val="MS P ゴシック"/>
            <family val="3"/>
            <charset val="128"/>
          </rPr>
          <t>夜勤不可
小林、新井洋</t>
        </r>
      </text>
    </comment>
    <comment ref="B10" authorId="0" shapeId="0" xr:uid="{00000000-0006-0000-0600-000005000000}">
      <text>
        <r>
          <rPr>
            <b/>
            <sz val="9"/>
            <color indexed="81"/>
            <rFont val="MS P ゴシック"/>
            <family val="3"/>
            <charset val="128"/>
          </rPr>
          <t>髙田、大関</t>
        </r>
      </text>
    </comment>
    <comment ref="C10" authorId="0" shapeId="0" xr:uid="{00000000-0006-0000-0600-000006000000}">
      <text>
        <r>
          <rPr>
            <b/>
            <sz val="9"/>
            <color indexed="81"/>
            <rFont val="MS P ゴシック"/>
            <family val="3"/>
            <charset val="128"/>
          </rPr>
          <t xml:space="preserve">大関
</t>
        </r>
      </text>
    </comment>
    <comment ref="K10" authorId="0" shapeId="0" xr:uid="{00000000-0006-0000-0600-000007000000}">
      <text>
        <r>
          <rPr>
            <b/>
            <sz val="9"/>
            <color indexed="81"/>
            <rFont val="MS P ゴシック"/>
            <family val="3"/>
            <charset val="128"/>
          </rPr>
          <t xml:space="preserve">ここから夜勤不可
丸山
</t>
        </r>
      </text>
    </comment>
    <comment ref="P10" authorId="0" shapeId="0" xr:uid="{00000000-0006-0000-0600-000008000000}">
      <text>
        <r>
          <rPr>
            <b/>
            <sz val="9"/>
            <color indexed="81"/>
            <rFont val="MS P ゴシック"/>
            <family val="3"/>
            <charset val="128"/>
          </rPr>
          <t>高橋良、加藤貴、髙田、加藤誠</t>
        </r>
      </text>
    </comment>
    <comment ref="B19" authorId="0" shapeId="0" xr:uid="{00000000-0006-0000-0600-000009000000}">
      <text>
        <r>
          <rPr>
            <b/>
            <sz val="9"/>
            <color indexed="81"/>
            <rFont val="MS P ゴシック"/>
            <family val="3"/>
            <charset val="128"/>
          </rPr>
          <t>加藤貴、髙田、加藤誠</t>
        </r>
      </text>
    </comment>
    <comment ref="H19" authorId="0" shapeId="0" xr:uid="{00000000-0006-0000-0600-00000A000000}">
      <text>
        <r>
          <rPr>
            <b/>
            <sz val="9"/>
            <color indexed="81"/>
            <rFont val="MS P ゴシック"/>
            <family val="3"/>
            <charset val="128"/>
          </rPr>
          <t>今井、高橋武、高橋良、新井翔、加藤貴、加藤誠、勅使河原</t>
        </r>
      </text>
    </comment>
    <comment ref="I19" authorId="0" shapeId="0" xr:uid="{00000000-0006-0000-0600-00000B000000}">
      <text>
        <r>
          <rPr>
            <b/>
            <sz val="9"/>
            <color indexed="81"/>
            <rFont val="MS P ゴシック"/>
            <family val="3"/>
            <charset val="128"/>
          </rPr>
          <t>今井、高橋武、高橋良、新井翔、加藤貴、加藤誠、勅使河原</t>
        </r>
      </text>
    </comment>
    <comment ref="P19" authorId="0" shapeId="0" xr:uid="{00000000-0006-0000-0600-00000C000000}">
      <text>
        <r>
          <rPr>
            <b/>
            <sz val="9"/>
            <color indexed="81"/>
            <rFont val="MS P ゴシック"/>
            <family val="3"/>
            <charset val="128"/>
          </rPr>
          <t>今井、高橋武、勅使河原</t>
        </r>
      </text>
    </comment>
    <comment ref="Q19" authorId="0" shapeId="0" xr:uid="{00000000-0006-0000-0600-00000D000000}">
      <text>
        <r>
          <rPr>
            <b/>
            <sz val="9"/>
            <color indexed="81"/>
            <rFont val="MS P ゴシック"/>
            <family val="3"/>
            <charset val="128"/>
          </rPr>
          <t>高橋武、勅使河原</t>
        </r>
      </text>
    </comment>
    <comment ref="J27" authorId="0" shapeId="0" xr:uid="{00000000-0006-0000-0600-00000E000000}">
      <text>
        <r>
          <rPr>
            <b/>
            <sz val="9"/>
            <color indexed="81"/>
            <rFont val="MS P ゴシック"/>
            <family val="3"/>
            <charset val="128"/>
          </rPr>
          <t>加藤誠、木村</t>
        </r>
      </text>
    </comment>
    <comment ref="K27" authorId="0" shapeId="0" xr:uid="{00000000-0006-0000-0600-00000F000000}">
      <text>
        <r>
          <rPr>
            <b/>
            <sz val="9"/>
            <color indexed="81"/>
            <rFont val="MS P ゴシック"/>
            <family val="3"/>
            <charset val="128"/>
          </rPr>
          <t>加藤誠、木村</t>
        </r>
      </text>
    </comment>
    <comment ref="L27" authorId="0" shapeId="0" xr:uid="{00000000-0006-0000-0600-000010000000}">
      <text>
        <r>
          <rPr>
            <b/>
            <sz val="9"/>
            <color indexed="81"/>
            <rFont val="MS P ゴシック"/>
            <family val="3"/>
            <charset val="128"/>
          </rPr>
          <t>加藤誠、木村</t>
        </r>
      </text>
    </comment>
    <comment ref="M27" authorId="0" shapeId="0" xr:uid="{00000000-0006-0000-0600-000011000000}">
      <text>
        <r>
          <rPr>
            <b/>
            <sz val="9"/>
            <color indexed="81"/>
            <rFont val="MS P ゴシック"/>
            <family val="3"/>
            <charset val="128"/>
          </rPr>
          <t>新井翔、加藤誠、木村</t>
        </r>
      </text>
    </comment>
    <comment ref="N27" authorId="0" shapeId="0" xr:uid="{00000000-0006-0000-0600-000012000000}">
      <text>
        <r>
          <rPr>
            <b/>
            <sz val="9"/>
            <color indexed="81"/>
            <rFont val="MS P ゴシック"/>
            <family val="3"/>
            <charset val="128"/>
          </rPr>
          <t>新井翔、加藤誠、木村</t>
        </r>
      </text>
    </comment>
  </commentList>
</comments>
</file>

<file path=xl/comments43.xml><?xml version="1.0" encoding="utf-8"?>
<comments xmlns="http://schemas.openxmlformats.org/spreadsheetml/2006/main" xmlns:mc="http://schemas.openxmlformats.org/markup-compatibility/2006" xmlns:xr="http://schemas.microsoft.com/office/spreadsheetml/2014/revision" mc:Ignorable="xr">
  <authors>
    <author>SEIZOU-20</author>
    <author>SEIZOU-17</author>
  </authors>
  <commentList>
    <comment ref="B2" authorId="0" shapeId="0" xr:uid="{00000000-0006-0000-0700-000001000000}">
      <text>
        <r>
          <rPr>
            <b/>
            <sz val="9"/>
            <color indexed="81"/>
            <rFont val="MS P ゴシック"/>
            <family val="3"/>
            <charset val="128"/>
          </rPr>
          <t>加藤誠、岩田
石間戸</t>
        </r>
      </text>
    </comment>
    <comment ref="H2" authorId="0" shapeId="0" xr:uid="{00000000-0006-0000-0700-000002000000}">
      <text>
        <r>
          <rPr>
            <b/>
            <sz val="9"/>
            <color indexed="81"/>
            <rFont val="MS P ゴシック"/>
            <family val="3"/>
            <charset val="128"/>
          </rPr>
          <t>加藤誠、勅使河原
OK　横田</t>
        </r>
      </text>
    </comment>
    <comment ref="I2" authorId="0" shapeId="0" xr:uid="{00000000-0006-0000-0700-000003000000}">
      <text>
        <r>
          <rPr>
            <b/>
            <sz val="9"/>
            <color indexed="81"/>
            <rFont val="MS P ゴシック"/>
            <family val="3"/>
            <charset val="128"/>
          </rPr>
          <t xml:space="preserve">高橋良、加藤誠
勅使河原、岩田
髙田
</t>
        </r>
      </text>
    </comment>
    <comment ref="P2" authorId="0" shapeId="0" xr:uid="{00000000-0006-0000-0700-000004000000}">
      <text>
        <r>
          <rPr>
            <b/>
            <sz val="9"/>
            <color indexed="81"/>
            <rFont val="MS P ゴシック"/>
            <family val="3"/>
            <charset val="128"/>
          </rPr>
          <t>高橋良、加藤誠
加藤貴、勅使河原
今井
OK　横田、松田</t>
        </r>
      </text>
    </comment>
    <comment ref="Q2" authorId="0" shapeId="0" xr:uid="{00000000-0006-0000-0700-000005000000}">
      <text>
        <r>
          <rPr>
            <b/>
            <sz val="9"/>
            <color indexed="81"/>
            <rFont val="MS P ゴシック"/>
            <family val="3"/>
            <charset val="128"/>
          </rPr>
          <t>高橋良、加藤誠
加藤貴、勅使河原
石間戸、今井
OK　松田</t>
        </r>
      </text>
    </comment>
    <comment ref="R2" authorId="0" shapeId="0" xr:uid="{00000000-0006-0000-0700-000006000000}">
      <text>
        <r>
          <rPr>
            <b/>
            <sz val="9"/>
            <color indexed="81"/>
            <rFont val="MS P ゴシック"/>
            <family val="3"/>
            <charset val="128"/>
          </rPr>
          <t>高橋良、加藤誠
加藤貴、勅使河原
石間戸、今井
OK、松田</t>
        </r>
      </text>
    </comment>
    <comment ref="B10" authorId="0" shapeId="0" xr:uid="{00000000-0006-0000-0700-000007000000}">
      <text>
        <r>
          <rPr>
            <b/>
            <sz val="9"/>
            <color indexed="81"/>
            <rFont val="MS P ゴシック"/>
            <family val="3"/>
            <charset val="128"/>
          </rPr>
          <t>加藤誠、勅使河原
今井
OK　松田</t>
        </r>
      </text>
    </comment>
    <comment ref="G10" authorId="0" shapeId="0" xr:uid="{00000000-0006-0000-0700-000008000000}">
      <text>
        <r>
          <rPr>
            <b/>
            <sz val="9"/>
            <color indexed="81"/>
            <rFont val="MS P ゴシック"/>
            <family val="3"/>
            <charset val="128"/>
          </rPr>
          <t>新井翔
吉田可</t>
        </r>
      </text>
    </comment>
    <comment ref="H10" authorId="0" shapeId="0" xr:uid="{00000000-0006-0000-0700-000009000000}">
      <text>
        <r>
          <rPr>
            <b/>
            <sz val="9"/>
            <color indexed="81"/>
            <rFont val="MS P ゴシック"/>
            <family val="3"/>
            <charset val="128"/>
          </rPr>
          <t>新井翔、岩田
吉田可</t>
        </r>
      </text>
    </comment>
    <comment ref="N10" authorId="1" shapeId="0" xr:uid="{00000000-0006-0000-0700-00000A000000}">
      <text>
        <r>
          <rPr>
            <b/>
            <sz val="9"/>
            <color indexed="81"/>
            <rFont val="MS P ゴシック"/>
            <family val="3"/>
            <charset val="128"/>
          </rPr>
          <t xml:space="preserve">加藤誠
</t>
        </r>
      </text>
    </comment>
    <comment ref="O10" authorId="0" shapeId="0" xr:uid="{00000000-0006-0000-0700-00000B000000}">
      <text>
        <r>
          <rPr>
            <b/>
            <sz val="9"/>
            <color indexed="81"/>
            <rFont val="MS P ゴシック"/>
            <family val="3"/>
            <charset val="128"/>
          </rPr>
          <t>関口、石間戸</t>
        </r>
      </text>
    </comment>
    <comment ref="F19" authorId="0" shapeId="0" xr:uid="{00000000-0006-0000-0700-00000C000000}">
      <text>
        <r>
          <rPr>
            <b/>
            <sz val="9"/>
            <color indexed="81"/>
            <rFont val="MS P ゴシック"/>
            <family val="3"/>
            <charset val="128"/>
          </rPr>
          <t>勅使河原、西澤
石間戸</t>
        </r>
      </text>
    </comment>
    <comment ref="G19" authorId="0" shapeId="0" xr:uid="{00000000-0006-0000-0700-00000D000000}">
      <text>
        <r>
          <rPr>
            <b/>
            <sz val="9"/>
            <color indexed="81"/>
            <rFont val="MS P ゴシック"/>
            <family val="3"/>
            <charset val="128"/>
          </rPr>
          <t>加藤誠、勅使河原
岩田、西澤
石間戸</t>
        </r>
      </text>
    </comment>
    <comment ref="O19" authorId="0" shapeId="0" xr:uid="{00000000-0006-0000-0700-00000E000000}">
      <text>
        <r>
          <rPr>
            <b/>
            <sz val="9"/>
            <color indexed="81"/>
            <rFont val="MS P ゴシック"/>
            <family val="3"/>
            <charset val="128"/>
          </rPr>
          <t>岩田</t>
        </r>
      </text>
    </comment>
    <comment ref="D27" authorId="0" shapeId="0" xr:uid="{00000000-0006-0000-0700-00000F000000}">
      <text>
        <r>
          <rPr>
            <b/>
            <sz val="9"/>
            <color indexed="81"/>
            <rFont val="MS P ゴシック"/>
            <family val="3"/>
            <charset val="128"/>
          </rPr>
          <t>勅使河原</t>
        </r>
      </text>
    </comment>
    <comment ref="E27" authorId="0" shapeId="0" xr:uid="{00000000-0006-0000-0700-000010000000}">
      <text>
        <r>
          <rPr>
            <b/>
            <sz val="9"/>
            <color indexed="81"/>
            <rFont val="MS P ゴシック"/>
            <family val="3"/>
            <charset val="128"/>
          </rPr>
          <t>新井翔、岩田</t>
        </r>
      </text>
    </comment>
    <comment ref="L27" authorId="0" shapeId="0" xr:uid="{00000000-0006-0000-0700-000011000000}">
      <text>
        <r>
          <rPr>
            <b/>
            <sz val="9"/>
            <color indexed="81"/>
            <rFont val="MS P ゴシック"/>
            <family val="3"/>
            <charset val="128"/>
          </rPr>
          <t>新井翔、西澤</t>
        </r>
      </text>
    </comment>
  </commentList>
</comments>
</file>

<file path=xl/comments44.xml><?xml version="1.0" encoding="utf-8"?>
<comments xmlns="http://schemas.openxmlformats.org/spreadsheetml/2006/main" xmlns:mc="http://schemas.openxmlformats.org/markup-compatibility/2006" xmlns:xr="http://schemas.microsoft.com/office/spreadsheetml/2014/revision" mc:Ignorable="xr">
  <authors>
    <author>SEIKAN06-PC</author>
    <author>SEIZOU-17</author>
    <author>SEIZOU-20</author>
  </authors>
  <commentList>
    <comment ref="D2" authorId="0" shapeId="0" xr:uid="{00000000-0006-0000-0800-000001000000}">
      <text>
        <r>
          <rPr>
            <b/>
            <sz val="9"/>
            <color indexed="81"/>
            <rFont val="MS P ゴシック"/>
            <family val="3"/>
            <charset val="128"/>
          </rPr>
          <t xml:space="preserve">高橋拓、加藤誠
高橋良
</t>
        </r>
      </text>
    </comment>
    <comment ref="E2" authorId="0" shapeId="0" xr:uid="{00000000-0006-0000-0800-000002000000}">
      <text>
        <r>
          <rPr>
            <b/>
            <sz val="9"/>
            <color indexed="81"/>
            <rFont val="MS P ゴシック"/>
            <family val="3"/>
            <charset val="128"/>
          </rPr>
          <t xml:space="preserve">高橋拓、加藤誠
高橋良
</t>
        </r>
      </text>
    </comment>
    <comment ref="O2" authorId="0" shapeId="0" xr:uid="{00000000-0006-0000-0800-000003000000}">
      <text>
        <r>
          <rPr>
            <b/>
            <sz val="9"/>
            <color indexed="81"/>
            <rFont val="MS P ゴシック"/>
            <family val="3"/>
            <charset val="128"/>
          </rPr>
          <t>新井翔</t>
        </r>
      </text>
    </comment>
    <comment ref="P2" authorId="0" shapeId="0" xr:uid="{00000000-0006-0000-0800-000004000000}">
      <text>
        <r>
          <rPr>
            <b/>
            <sz val="9"/>
            <color indexed="81"/>
            <rFont val="MS P ゴシック"/>
            <family val="3"/>
            <charset val="128"/>
          </rPr>
          <t>新井翔</t>
        </r>
      </text>
    </comment>
    <comment ref="E9" authorId="1" shapeId="0" xr:uid="{00000000-0006-0000-0800-000005000000}">
      <text>
        <r>
          <rPr>
            <b/>
            <sz val="9"/>
            <color indexed="81"/>
            <rFont val="MS P ゴシック"/>
            <family val="3"/>
            <charset val="128"/>
          </rPr>
          <t>小林</t>
        </r>
      </text>
    </comment>
    <comment ref="F9" authorId="1" shapeId="0" xr:uid="{00000000-0006-0000-0800-000006000000}">
      <text>
        <r>
          <rPr>
            <b/>
            <sz val="9"/>
            <color indexed="81"/>
            <rFont val="MS P ゴシック"/>
            <family val="3"/>
            <charset val="128"/>
          </rPr>
          <t>小林、加藤誠</t>
        </r>
      </text>
    </comment>
    <comment ref="D17" authorId="1" shapeId="0" xr:uid="{00000000-0006-0000-0800-000007000000}">
      <text>
        <r>
          <rPr>
            <b/>
            <sz val="9"/>
            <color indexed="81"/>
            <rFont val="MS P ゴシック"/>
            <family val="3"/>
            <charset val="128"/>
          </rPr>
          <t>石間戸</t>
        </r>
      </text>
    </comment>
    <comment ref="E17" authorId="0" shapeId="0" xr:uid="{00000000-0006-0000-0800-000008000000}">
      <text>
        <r>
          <rPr>
            <b/>
            <sz val="9"/>
            <color indexed="81"/>
            <rFont val="MS P ゴシック"/>
            <family val="3"/>
            <charset val="128"/>
          </rPr>
          <t xml:space="preserve">新井翔、石間戸
</t>
        </r>
      </text>
    </comment>
    <comment ref="K17" authorId="0" shapeId="0" xr:uid="{00000000-0006-0000-0800-000009000000}">
      <text>
        <r>
          <rPr>
            <b/>
            <sz val="9"/>
            <color indexed="81"/>
            <rFont val="MS P ゴシック"/>
            <family val="3"/>
            <charset val="128"/>
          </rPr>
          <t xml:space="preserve">今井
</t>
        </r>
      </text>
    </comment>
    <comment ref="B24" authorId="0" shapeId="0" xr:uid="{00000000-0006-0000-0800-00000A000000}">
      <text>
        <r>
          <rPr>
            <b/>
            <sz val="9"/>
            <color indexed="81"/>
            <rFont val="MS P ゴシック"/>
            <family val="3"/>
            <charset val="128"/>
          </rPr>
          <t>高橋拓、今井</t>
        </r>
      </text>
    </comment>
    <comment ref="C24" authorId="0" shapeId="0" xr:uid="{00000000-0006-0000-0800-00000B000000}">
      <text>
        <r>
          <rPr>
            <b/>
            <sz val="9"/>
            <color indexed="81"/>
            <rFont val="MS P ゴシック"/>
            <family val="3"/>
            <charset val="128"/>
          </rPr>
          <t>今井</t>
        </r>
      </text>
    </comment>
    <comment ref="I24" authorId="0" shapeId="0" xr:uid="{00000000-0006-0000-0800-00000C000000}">
      <text>
        <r>
          <rPr>
            <b/>
            <sz val="9"/>
            <color indexed="81"/>
            <rFont val="MS P ゴシック"/>
            <family val="3"/>
            <charset val="128"/>
          </rPr>
          <t>高橋拓</t>
        </r>
      </text>
    </comment>
    <comment ref="J24" authorId="2" shapeId="0" xr:uid="{00000000-0006-0000-0800-00000D000000}">
      <text>
        <r>
          <rPr>
            <b/>
            <sz val="9"/>
            <color indexed="81"/>
            <rFont val="MS P ゴシック"/>
            <family val="3"/>
            <charset val="128"/>
          </rPr>
          <t xml:space="preserve">高橋良
</t>
        </r>
      </text>
    </comment>
    <comment ref="P24" authorId="1" shapeId="0" xr:uid="{00000000-0006-0000-0800-00000E000000}">
      <text>
        <r>
          <rPr>
            <b/>
            <sz val="9"/>
            <color indexed="81"/>
            <rFont val="MS P ゴシック"/>
            <family val="3"/>
            <charset val="128"/>
          </rPr>
          <t xml:space="preserve">加藤誠
</t>
        </r>
      </text>
    </comment>
  </commentList>
</comments>
</file>

<file path=xl/comments45.xml><?xml version="1.0" encoding="utf-8"?>
<comments xmlns="http://schemas.openxmlformats.org/spreadsheetml/2006/main" xmlns:mc="http://schemas.openxmlformats.org/markup-compatibility/2006" xmlns:xr="http://schemas.microsoft.com/office/spreadsheetml/2014/revision" mc:Ignorable="xr">
  <authors>
    <author>SEIZOU-20</author>
  </authors>
  <commentList>
    <comment ref="C2" authorId="0" shapeId="0" xr:uid="{00000000-0006-0000-0900-000001000000}">
      <text>
        <r>
          <rPr>
            <b/>
            <sz val="9"/>
            <color indexed="81"/>
            <rFont val="MS P ゴシック"/>
            <family val="3"/>
            <charset val="128"/>
          </rPr>
          <t>高橋拓、加藤貴</t>
        </r>
      </text>
    </comment>
    <comment ref="D2" authorId="0" shapeId="0" xr:uid="{00000000-0006-0000-0900-000002000000}">
      <text>
        <r>
          <rPr>
            <b/>
            <sz val="9"/>
            <color indexed="81"/>
            <rFont val="MS P ゴシック"/>
            <family val="3"/>
            <charset val="128"/>
          </rPr>
          <t>高橋拓、加藤誠</t>
        </r>
      </text>
    </comment>
    <comment ref="J2" authorId="0" shapeId="0" xr:uid="{00000000-0006-0000-0900-000003000000}">
      <text>
        <r>
          <rPr>
            <b/>
            <sz val="9"/>
            <color indexed="81"/>
            <rFont val="MS P ゴシック"/>
            <family val="3"/>
            <charset val="128"/>
          </rPr>
          <t xml:space="preserve">高橋拓、石島、高橋良
</t>
        </r>
      </text>
    </comment>
    <comment ref="K2" authorId="0" shapeId="0" xr:uid="{00000000-0006-0000-0900-000004000000}">
      <text>
        <r>
          <rPr>
            <b/>
            <sz val="9"/>
            <color indexed="81"/>
            <rFont val="MS P ゴシック"/>
            <family val="3"/>
            <charset val="128"/>
          </rPr>
          <t>高橋拓、石島、髙田、高橋剛、加藤誠
、高橋良</t>
        </r>
      </text>
    </comment>
    <comment ref="L2" authorId="0" shapeId="0" xr:uid="{00000000-0006-0000-0900-000005000000}">
      <text>
        <r>
          <rPr>
            <b/>
            <sz val="9"/>
            <color indexed="81"/>
            <rFont val="MS P ゴシック"/>
            <family val="3"/>
            <charset val="128"/>
          </rPr>
          <t xml:space="preserve">高橋拓、石島、石間戸、西澤、高橋剛、加藤誠、高橋良
</t>
        </r>
      </text>
    </comment>
    <comment ref="R2" authorId="0" shapeId="0" xr:uid="{00000000-0006-0000-0900-000006000000}">
      <text>
        <r>
          <rPr>
            <b/>
            <sz val="9"/>
            <color indexed="81"/>
            <rFont val="MS P ゴシック"/>
            <family val="3"/>
            <charset val="128"/>
          </rPr>
          <t>高橋拓、西澤</t>
        </r>
      </text>
    </comment>
    <comment ref="B9" authorId="0" shapeId="0" xr:uid="{00000000-0006-0000-0900-000007000000}">
      <text>
        <r>
          <rPr>
            <b/>
            <sz val="9"/>
            <color indexed="81"/>
            <rFont val="MS P ゴシック"/>
            <family val="3"/>
            <charset val="128"/>
          </rPr>
          <t>高橋拓、西澤</t>
        </r>
      </text>
    </comment>
    <comment ref="G17" authorId="0" shapeId="0" xr:uid="{00000000-0006-0000-0900-000008000000}">
      <text>
        <r>
          <rPr>
            <b/>
            <sz val="9"/>
            <color indexed="81"/>
            <rFont val="MS P ゴシック"/>
            <family val="3"/>
            <charset val="128"/>
          </rPr>
          <t>新井翔</t>
        </r>
      </text>
    </comment>
    <comment ref="H17" authorId="0" shapeId="0" xr:uid="{00000000-0006-0000-0900-000009000000}">
      <text>
        <r>
          <rPr>
            <b/>
            <sz val="9"/>
            <color indexed="81"/>
            <rFont val="MS P ゴシック"/>
            <family val="3"/>
            <charset val="128"/>
          </rPr>
          <t xml:space="preserve">新井翔
</t>
        </r>
      </text>
    </comment>
    <comment ref="E24" authorId="0" shapeId="0" xr:uid="{00000000-0006-0000-0900-00000A000000}">
      <text>
        <r>
          <rPr>
            <b/>
            <sz val="9"/>
            <color indexed="81"/>
            <rFont val="MS P ゴシック"/>
            <family val="3"/>
            <charset val="128"/>
          </rPr>
          <t>加藤誠</t>
        </r>
      </text>
    </comment>
    <comment ref="F24" authorId="0" shapeId="0" xr:uid="{00000000-0006-0000-0900-00000B000000}">
      <text>
        <r>
          <rPr>
            <b/>
            <sz val="9"/>
            <color indexed="81"/>
            <rFont val="MS P ゴシック"/>
            <family val="3"/>
            <charset val="128"/>
          </rPr>
          <t>加藤誠</t>
        </r>
      </text>
    </comment>
  </commentList>
</comments>
</file>

<file path=xl/comments46.xml><?xml version="1.0" encoding="utf-8"?>
<comments xmlns="http://schemas.openxmlformats.org/spreadsheetml/2006/main" xmlns:mc="http://schemas.openxmlformats.org/markup-compatibility/2006" xmlns:xr="http://schemas.microsoft.com/office/spreadsheetml/2014/revision" mc:Ignorable="xr">
  <authors>
    <author>SEIZOU-20</author>
  </authors>
  <commentList>
    <comment ref="B2" authorId="0" shapeId="0" xr:uid="{00000000-0006-0000-0A00-000001000000}">
      <text>
        <r>
          <rPr>
            <b/>
            <sz val="9"/>
            <color indexed="81"/>
            <rFont val="MS P ゴシック"/>
            <family val="3"/>
            <charset val="128"/>
          </rPr>
          <t xml:space="preserve">石間戸　高橋良
</t>
        </r>
      </text>
    </comment>
    <comment ref="I2" authorId="0" shapeId="0" xr:uid="{00000000-0006-0000-0A00-000002000000}">
      <text>
        <r>
          <rPr>
            <b/>
            <sz val="9"/>
            <color indexed="81"/>
            <rFont val="MS P ゴシック"/>
            <family val="3"/>
            <charset val="128"/>
          </rPr>
          <t>加藤誠</t>
        </r>
      </text>
    </comment>
    <comment ref="P2" authorId="0" shapeId="0" xr:uid="{00000000-0006-0000-0A00-000003000000}">
      <text>
        <r>
          <rPr>
            <b/>
            <sz val="9"/>
            <color indexed="81"/>
            <rFont val="MS P ゴシック"/>
            <family val="3"/>
            <charset val="128"/>
          </rPr>
          <t>髙田　今井　新井翔
高橋拓　楮本
楮本　加藤貴　</t>
        </r>
      </text>
    </comment>
    <comment ref="Q2" authorId="0" shapeId="0" xr:uid="{00000000-0006-0000-0A00-000004000000}">
      <text>
        <r>
          <rPr>
            <b/>
            <sz val="9"/>
            <color indexed="81"/>
            <rFont val="MS P ゴシック"/>
            <family val="3"/>
            <charset val="128"/>
          </rPr>
          <t>髙田 今井　
勅使河原　岩田</t>
        </r>
      </text>
    </comment>
    <comment ref="F9" authorId="0" shapeId="0" xr:uid="{00000000-0006-0000-0A00-000005000000}">
      <text>
        <r>
          <rPr>
            <b/>
            <sz val="9"/>
            <color indexed="81"/>
            <rFont val="MS P ゴシック"/>
            <family val="3"/>
            <charset val="128"/>
          </rPr>
          <t>加藤貴　勅使河原
新井秀</t>
        </r>
      </text>
    </comment>
    <comment ref="G9" authorId="0" shapeId="0" xr:uid="{00000000-0006-0000-0A00-000006000000}">
      <text>
        <r>
          <rPr>
            <b/>
            <sz val="9"/>
            <color indexed="81"/>
            <rFont val="MS P ゴシック"/>
            <family val="3"/>
            <charset val="128"/>
          </rPr>
          <t xml:space="preserve">加藤貴　勅使河原
新井秀
</t>
        </r>
      </text>
    </comment>
    <comment ref="E17" authorId="0" shapeId="0" xr:uid="{00000000-0006-0000-0A00-000007000000}">
      <text>
        <r>
          <rPr>
            <b/>
            <sz val="9"/>
            <color indexed="81"/>
            <rFont val="MS P ゴシック"/>
            <family val="3"/>
            <charset val="128"/>
          </rPr>
          <t>加藤誠</t>
        </r>
      </text>
    </comment>
    <comment ref="F17" authorId="0" shapeId="0" xr:uid="{00000000-0006-0000-0A00-000008000000}">
      <text>
        <r>
          <rPr>
            <b/>
            <sz val="9"/>
            <color indexed="81"/>
            <rFont val="MS P ゴシック"/>
            <family val="3"/>
            <charset val="128"/>
          </rPr>
          <t>加藤誠　新井翔</t>
        </r>
      </text>
    </comment>
    <comment ref="N17" authorId="0" shapeId="0" xr:uid="{00000000-0006-0000-0A00-000009000000}">
      <text>
        <r>
          <rPr>
            <b/>
            <sz val="9"/>
            <color indexed="81"/>
            <rFont val="MS P ゴシック"/>
            <family val="3"/>
            <charset val="128"/>
          </rPr>
          <t>今井　勅使河原</t>
        </r>
      </text>
    </comment>
    <comment ref="O17" authorId="0" shapeId="0" xr:uid="{00000000-0006-0000-0A00-00000A000000}">
      <text>
        <r>
          <rPr>
            <b/>
            <sz val="9"/>
            <color indexed="81"/>
            <rFont val="MS P ゴシック"/>
            <family val="3"/>
            <charset val="128"/>
          </rPr>
          <t>加藤誠　今井</t>
        </r>
      </text>
    </comment>
    <comment ref="P17" authorId="0" shapeId="0" xr:uid="{00000000-0006-0000-0A00-00000B000000}">
      <text>
        <r>
          <rPr>
            <b/>
            <sz val="9"/>
            <color indexed="81"/>
            <rFont val="MS P ゴシック"/>
            <family val="3"/>
            <charset val="128"/>
          </rPr>
          <t xml:space="preserve">加藤誠　今井
岩田
</t>
        </r>
      </text>
    </comment>
    <comment ref="D24" authorId="0" shapeId="0" xr:uid="{00000000-0006-0000-0A00-00000C000000}">
      <text>
        <r>
          <rPr>
            <b/>
            <sz val="9"/>
            <color indexed="81"/>
            <rFont val="MS P ゴシック"/>
            <family val="3"/>
            <charset val="128"/>
          </rPr>
          <t xml:space="preserve">加藤貴　勅使河原
</t>
        </r>
      </text>
    </comment>
    <comment ref="K24" authorId="0" shapeId="0" xr:uid="{00000000-0006-0000-0A00-00000D000000}">
      <text>
        <r>
          <rPr>
            <b/>
            <sz val="9"/>
            <color indexed="81"/>
            <rFont val="MS P ゴシック"/>
            <family val="3"/>
            <charset val="128"/>
          </rPr>
          <t>石間戸　新井翔</t>
        </r>
      </text>
    </comment>
    <comment ref="L24" authorId="0" shapeId="0" xr:uid="{00000000-0006-0000-0A00-00000E000000}">
      <text>
        <r>
          <rPr>
            <b/>
            <sz val="9"/>
            <color indexed="81"/>
            <rFont val="MS P ゴシック"/>
            <family val="3"/>
            <charset val="128"/>
          </rPr>
          <t xml:space="preserve">石間戸
</t>
        </r>
      </text>
    </comment>
  </commentList>
</comments>
</file>

<file path=xl/comments47.xml><?xml version="1.0" encoding="utf-8"?>
<comments xmlns="http://schemas.openxmlformats.org/spreadsheetml/2006/main" xmlns:mc="http://schemas.openxmlformats.org/markup-compatibility/2006" xmlns:xr="http://schemas.microsoft.com/office/spreadsheetml/2014/revision" mc:Ignorable="xr">
  <authors>
    <author>SEIZOU-20</author>
  </authors>
  <commentList>
    <comment ref="G2" authorId="0" shapeId="0" xr:uid="{00000000-0006-0000-0B00-000001000000}">
      <text>
        <r>
          <rPr>
            <b/>
            <sz val="9"/>
            <color indexed="81"/>
            <rFont val="MS P ゴシック"/>
            <family val="3"/>
            <charset val="128"/>
          </rPr>
          <t>高橋拓</t>
        </r>
      </text>
    </comment>
    <comment ref="N2" authorId="0" shapeId="0" xr:uid="{00000000-0006-0000-0B00-000002000000}">
      <text>
        <r>
          <rPr>
            <b/>
            <sz val="9"/>
            <color indexed="81"/>
            <rFont val="MS P ゴシック"/>
            <family val="3"/>
            <charset val="128"/>
          </rPr>
          <t>高橋拓</t>
        </r>
      </text>
    </comment>
    <comment ref="O2" authorId="0" shapeId="0" xr:uid="{00000000-0006-0000-0B00-000003000000}">
      <text>
        <r>
          <rPr>
            <b/>
            <sz val="9"/>
            <color indexed="81"/>
            <rFont val="MS P ゴシック"/>
            <family val="3"/>
            <charset val="128"/>
          </rPr>
          <t>高橋拓
加藤誠</t>
        </r>
      </text>
    </comment>
    <comment ref="D9" authorId="0" shapeId="0" xr:uid="{00000000-0006-0000-0B00-000004000000}">
      <text>
        <r>
          <rPr>
            <b/>
            <sz val="9"/>
            <color indexed="81"/>
            <rFont val="MS P ゴシック"/>
            <family val="3"/>
            <charset val="128"/>
          </rPr>
          <t>新井秀</t>
        </r>
      </text>
    </comment>
    <comment ref="L9" authorId="0" shapeId="0" xr:uid="{00000000-0006-0000-0B00-000005000000}">
      <text>
        <r>
          <rPr>
            <b/>
            <sz val="9"/>
            <color indexed="81"/>
            <rFont val="MS P ゴシック"/>
            <family val="3"/>
            <charset val="128"/>
          </rPr>
          <t>高橋拓</t>
        </r>
      </text>
    </comment>
    <comment ref="C17" authorId="0" shapeId="0" xr:uid="{00000000-0006-0000-0B00-000006000000}">
      <text>
        <r>
          <rPr>
            <b/>
            <sz val="9"/>
            <color indexed="81"/>
            <rFont val="MS P ゴシック"/>
            <family val="3"/>
            <charset val="128"/>
          </rPr>
          <t>高橋拓
今井
勅使河原
加藤貴</t>
        </r>
      </text>
    </comment>
    <comment ref="D17" authorId="0" shapeId="0" xr:uid="{00000000-0006-0000-0B00-000007000000}">
      <text>
        <r>
          <rPr>
            <b/>
            <sz val="9"/>
            <color indexed="81"/>
            <rFont val="MS P ゴシック"/>
            <family val="3"/>
            <charset val="128"/>
          </rPr>
          <t>高橋拓
今井
加藤誠</t>
        </r>
      </text>
    </comment>
    <comment ref="I17" authorId="0" shapeId="0" xr:uid="{00000000-0006-0000-0B00-000008000000}">
      <text>
        <r>
          <rPr>
            <b/>
            <sz val="9"/>
            <color indexed="81"/>
            <rFont val="MS P ゴシック"/>
            <family val="3"/>
            <charset val="128"/>
          </rPr>
          <t>加藤貴</t>
        </r>
      </text>
    </comment>
    <comment ref="J17" authorId="0" shapeId="0" xr:uid="{00000000-0006-0000-0B00-000009000000}">
      <text>
        <r>
          <rPr>
            <b/>
            <sz val="9"/>
            <color indexed="81"/>
            <rFont val="MS P ゴシック"/>
            <family val="3"/>
            <charset val="128"/>
          </rPr>
          <t>今井
加藤誠
西澤
加藤貴
髙田</t>
        </r>
      </text>
    </comment>
    <comment ref="K17" authorId="0" shapeId="0" xr:uid="{00000000-0006-0000-0B00-00000A000000}">
      <text>
        <r>
          <rPr>
            <b/>
            <sz val="9"/>
            <color indexed="81"/>
            <rFont val="MS P ゴシック"/>
            <family val="3"/>
            <charset val="128"/>
          </rPr>
          <t>勅使河原
加藤誠
西澤
加藤貴</t>
        </r>
      </text>
    </comment>
    <comment ref="B24" authorId="0" shapeId="0" xr:uid="{00000000-0006-0000-0B00-00000B000000}">
      <text>
        <r>
          <rPr>
            <b/>
            <sz val="9"/>
            <color indexed="81"/>
            <rFont val="MS P ゴシック"/>
            <family val="3"/>
            <charset val="128"/>
          </rPr>
          <t>高橋拓
今井
勅使河原
加藤貴</t>
        </r>
      </text>
    </comment>
    <comment ref="C24" authorId="0" shapeId="0" xr:uid="{00000000-0006-0000-0B00-00000C000000}">
      <text>
        <r>
          <rPr>
            <b/>
            <sz val="9"/>
            <color indexed="81"/>
            <rFont val="MS P ゴシック"/>
            <family val="3"/>
            <charset val="128"/>
          </rPr>
          <t>高橋拓
岩田</t>
        </r>
      </text>
    </comment>
    <comment ref="J24" authorId="0" shapeId="0" xr:uid="{00000000-0006-0000-0B00-00000D000000}">
      <text>
        <r>
          <rPr>
            <b/>
            <sz val="9"/>
            <color indexed="81"/>
            <rFont val="MS P ゴシック"/>
            <family val="3"/>
            <charset val="128"/>
          </rPr>
          <t>今井
加藤誠
岩田</t>
        </r>
      </text>
    </comment>
  </commentList>
</comments>
</file>

<file path=xl/comments48.xml><?xml version="1.0" encoding="utf-8"?>
<comments xmlns="http://schemas.openxmlformats.org/spreadsheetml/2006/main" xmlns:mc="http://schemas.openxmlformats.org/markup-compatibility/2006" xmlns:xr="http://schemas.microsoft.com/office/spreadsheetml/2014/revision" mc:Ignorable="xr">
  <authors>
    <author>SEIZOU-20</author>
  </authors>
  <commentList>
    <comment ref="D2" authorId="0" shapeId="0" xr:uid="{00000000-0006-0000-0C00-000001000000}">
      <text>
        <r>
          <rPr>
            <b/>
            <sz val="9"/>
            <color indexed="81"/>
            <rFont val="MS P ゴシック"/>
            <family val="3"/>
            <charset val="128"/>
          </rPr>
          <t xml:space="preserve">加藤誠
</t>
        </r>
      </text>
    </comment>
    <comment ref="E2" authorId="0" shapeId="0" xr:uid="{00000000-0006-0000-0C00-000002000000}">
      <text>
        <r>
          <rPr>
            <b/>
            <sz val="9"/>
            <color indexed="81"/>
            <rFont val="MS P ゴシック"/>
            <family val="3"/>
            <charset val="128"/>
          </rPr>
          <t xml:space="preserve">加藤誠
</t>
        </r>
      </text>
    </comment>
    <comment ref="K2" authorId="0" shapeId="0" xr:uid="{00000000-0006-0000-0C00-000003000000}">
      <text>
        <r>
          <rPr>
            <b/>
            <sz val="9"/>
            <color indexed="81"/>
            <rFont val="MS P ゴシック"/>
            <family val="3"/>
            <charset val="128"/>
          </rPr>
          <t>高橋良</t>
        </r>
      </text>
    </comment>
    <comment ref="F6" authorId="0" shapeId="0" xr:uid="{00000000-0006-0000-0C00-000004000000}">
      <text>
        <r>
          <rPr>
            <b/>
            <sz val="9"/>
            <color indexed="81"/>
            <rFont val="MS P ゴシック"/>
            <family val="3"/>
            <charset val="128"/>
          </rPr>
          <t>加藤誠</t>
        </r>
      </text>
    </comment>
    <comment ref="N7" authorId="0" shapeId="0" xr:uid="{00000000-0006-0000-0C00-000005000000}">
      <text>
        <r>
          <rPr>
            <b/>
            <sz val="9"/>
            <color indexed="81"/>
            <rFont val="MS P ゴシック"/>
            <family val="3"/>
            <charset val="128"/>
          </rPr>
          <t>浅見</t>
        </r>
      </text>
    </comment>
    <comment ref="C9" authorId="0" shapeId="0" xr:uid="{00000000-0006-0000-0C00-000006000000}">
      <text>
        <r>
          <rPr>
            <b/>
            <sz val="9"/>
            <color indexed="81"/>
            <rFont val="MS P ゴシック"/>
            <family val="3"/>
            <charset val="128"/>
          </rPr>
          <t xml:space="preserve">石島
</t>
        </r>
      </text>
    </comment>
    <comment ref="K9" authorId="0" shapeId="0" xr:uid="{00000000-0006-0000-0C00-000007000000}">
      <text>
        <r>
          <rPr>
            <b/>
            <sz val="9"/>
            <color indexed="81"/>
            <rFont val="MS P ゴシック"/>
            <family val="3"/>
            <charset val="128"/>
          </rPr>
          <t>新井翔</t>
        </r>
      </text>
    </comment>
    <comment ref="B17" authorId="0" shapeId="0" xr:uid="{00000000-0006-0000-0C00-000008000000}">
      <text>
        <r>
          <rPr>
            <b/>
            <sz val="9"/>
            <color indexed="81"/>
            <rFont val="MS P ゴシック"/>
            <family val="3"/>
            <charset val="128"/>
          </rPr>
          <t>加藤誠
髙田
高橋良</t>
        </r>
      </text>
    </comment>
    <comment ref="C17" authorId="0" shapeId="0" xr:uid="{00000000-0006-0000-0C00-000009000000}">
      <text>
        <r>
          <rPr>
            <b/>
            <sz val="9"/>
            <color indexed="81"/>
            <rFont val="MS P ゴシック"/>
            <family val="3"/>
            <charset val="128"/>
          </rPr>
          <t>加藤誠
髙田</t>
        </r>
      </text>
    </comment>
    <comment ref="I17" authorId="0" shapeId="0" xr:uid="{00000000-0006-0000-0C00-00000A000000}">
      <text>
        <r>
          <rPr>
            <b/>
            <sz val="9"/>
            <color indexed="81"/>
            <rFont val="MS P ゴシック"/>
            <family val="3"/>
            <charset val="128"/>
          </rPr>
          <t>加藤誠
勅使河原</t>
        </r>
      </text>
    </comment>
    <comment ref="J17" authorId="0" shapeId="0" xr:uid="{00000000-0006-0000-0C00-00000B000000}">
      <text>
        <r>
          <rPr>
            <b/>
            <sz val="9"/>
            <color indexed="81"/>
            <rFont val="MS P ゴシック"/>
            <family val="3"/>
            <charset val="128"/>
          </rPr>
          <t>加藤誠
勅使河原</t>
        </r>
      </text>
    </comment>
    <comment ref="Q17" authorId="0" shapeId="0" xr:uid="{00000000-0006-0000-0C00-00000C000000}">
      <text>
        <r>
          <rPr>
            <b/>
            <sz val="9"/>
            <color indexed="81"/>
            <rFont val="MS P ゴシック"/>
            <family val="3"/>
            <charset val="128"/>
          </rPr>
          <t xml:space="preserve">今井
</t>
        </r>
      </text>
    </comment>
    <comment ref="G24" authorId="0" shapeId="0" xr:uid="{00000000-0006-0000-0C00-00000D000000}">
      <text>
        <r>
          <rPr>
            <b/>
            <sz val="9"/>
            <color indexed="81"/>
            <rFont val="MS P ゴシック"/>
            <family val="3"/>
            <charset val="128"/>
          </rPr>
          <t xml:space="preserve">今井
</t>
        </r>
      </text>
    </comment>
    <comment ref="H24" authorId="0" shapeId="0" xr:uid="{00000000-0006-0000-0C00-00000E000000}">
      <text>
        <r>
          <rPr>
            <b/>
            <sz val="9"/>
            <color indexed="81"/>
            <rFont val="MS P ゴシック"/>
            <family val="3"/>
            <charset val="128"/>
          </rPr>
          <t xml:space="preserve">今井
</t>
        </r>
      </text>
    </comment>
    <comment ref="I24" authorId="0" shapeId="0" xr:uid="{00000000-0006-0000-0C00-00000F000000}">
      <text>
        <r>
          <rPr>
            <b/>
            <sz val="9"/>
            <color indexed="81"/>
            <rFont val="MS P ゴシック"/>
            <family val="3"/>
            <charset val="128"/>
          </rPr>
          <t>洗浄・深田、新井秀、大関
加藤誠</t>
        </r>
      </text>
    </comment>
    <comment ref="J24" authorId="0" shapeId="0" xr:uid="{00000000-0006-0000-0C00-000010000000}">
      <text>
        <r>
          <rPr>
            <b/>
            <sz val="9"/>
            <color indexed="81"/>
            <rFont val="MS P ゴシック"/>
            <family val="3"/>
            <charset val="128"/>
          </rPr>
          <t>加藤誠</t>
        </r>
      </text>
    </comment>
    <comment ref="K24" authorId="0" shapeId="0" xr:uid="{00000000-0006-0000-0C00-000011000000}">
      <text>
        <r>
          <rPr>
            <b/>
            <sz val="9"/>
            <color indexed="81"/>
            <rFont val="MS P ゴシック"/>
            <family val="3"/>
            <charset val="128"/>
          </rPr>
          <t>加藤誠</t>
        </r>
      </text>
    </comment>
    <comment ref="O24" authorId="0" shapeId="0" xr:uid="{00000000-0006-0000-0C00-000012000000}">
      <text>
        <r>
          <rPr>
            <b/>
            <sz val="9"/>
            <color indexed="81"/>
            <rFont val="MS P ゴシック"/>
            <family val="3"/>
            <charset val="128"/>
          </rPr>
          <t>新井翔</t>
        </r>
      </text>
    </comment>
    <comment ref="Q24" authorId="0" shapeId="0" xr:uid="{00000000-0006-0000-0C00-000013000000}">
      <text>
        <r>
          <rPr>
            <b/>
            <sz val="9"/>
            <color indexed="81"/>
            <rFont val="MS P ゴシック"/>
            <family val="3"/>
            <charset val="128"/>
          </rPr>
          <t>8/25新井翔
8/26新井翔</t>
        </r>
      </text>
    </comment>
    <comment ref="E29" authorId="0" shapeId="0" xr:uid="{00000000-0006-0000-0C00-000014000000}">
      <text>
        <r>
          <rPr>
            <b/>
            <sz val="9"/>
            <color indexed="81"/>
            <rFont val="MS P ゴシック"/>
            <family val="3"/>
            <charset val="128"/>
          </rPr>
          <t xml:space="preserve">浅見
</t>
        </r>
      </text>
    </comment>
    <comment ref="L29" authorId="0" shapeId="0" xr:uid="{00000000-0006-0000-0C00-000015000000}">
      <text>
        <r>
          <rPr>
            <b/>
            <sz val="9"/>
            <color indexed="81"/>
            <rFont val="MS P ゴシック"/>
            <family val="3"/>
            <charset val="128"/>
          </rPr>
          <t xml:space="preserve">浅見
</t>
        </r>
      </text>
    </comment>
  </commentList>
</comments>
</file>

<file path=xl/sharedStrings.xml><?xml version="1.0" encoding="utf-8"?>
<sst xmlns="http://schemas.openxmlformats.org/spreadsheetml/2006/main" count="16620" uniqueCount="1471">
  <si>
    <t>夜2</t>
    <rPh sb="0" eb="1">
      <t>ヨル</t>
    </rPh>
    <phoneticPr fontId="2"/>
  </si>
  <si>
    <t>夜3</t>
    <rPh sb="0" eb="1">
      <t>ヨル</t>
    </rPh>
    <phoneticPr fontId="2"/>
  </si>
  <si>
    <t>髙田</t>
    <rPh sb="0" eb="2">
      <t>タカダ</t>
    </rPh>
    <phoneticPr fontId="2"/>
  </si>
  <si>
    <t>12月</t>
    <rPh sb="2" eb="3">
      <t>ツキ</t>
    </rPh>
    <phoneticPr fontId="2"/>
  </si>
  <si>
    <t>1月</t>
    <rPh sb="1" eb="2">
      <t>ツキ</t>
    </rPh>
    <phoneticPr fontId="2"/>
  </si>
  <si>
    <t>2月</t>
    <rPh sb="1" eb="2">
      <t>ツキ</t>
    </rPh>
    <phoneticPr fontId="2"/>
  </si>
  <si>
    <t>小林</t>
    <rPh sb="0" eb="2">
      <t>コバヤシ</t>
    </rPh>
    <phoneticPr fontId="2"/>
  </si>
  <si>
    <t>今井</t>
    <rPh sb="0" eb="2">
      <t>イマイ</t>
    </rPh>
    <phoneticPr fontId="2"/>
  </si>
  <si>
    <t>石間戸</t>
    <rPh sb="0" eb="3">
      <t>イシマド</t>
    </rPh>
    <phoneticPr fontId="2"/>
  </si>
  <si>
    <t>浅見</t>
    <rPh sb="0" eb="2">
      <t>アサミ</t>
    </rPh>
    <phoneticPr fontId="2"/>
  </si>
  <si>
    <t>馬場</t>
    <rPh sb="0" eb="2">
      <t>ババ</t>
    </rPh>
    <phoneticPr fontId="2"/>
  </si>
  <si>
    <t>グスマン</t>
    <phoneticPr fontId="2"/>
  </si>
  <si>
    <t>倉林</t>
    <rPh sb="0" eb="2">
      <t>クラバヤシ</t>
    </rPh>
    <phoneticPr fontId="2"/>
  </si>
  <si>
    <t>→</t>
    <phoneticPr fontId="2"/>
  </si>
  <si>
    <t>勅使河原</t>
    <rPh sb="0" eb="4">
      <t>テシガワラ</t>
    </rPh>
    <phoneticPr fontId="2"/>
  </si>
  <si>
    <t>浅見・倉林</t>
    <rPh sb="0" eb="2">
      <t>アサミ</t>
    </rPh>
    <rPh sb="3" eb="5">
      <t>クラバヤシ</t>
    </rPh>
    <phoneticPr fontId="2"/>
  </si>
  <si>
    <t>西澤</t>
    <rPh sb="0" eb="2">
      <t>ニシザワ</t>
    </rPh>
    <phoneticPr fontId="2"/>
  </si>
  <si>
    <t>石島</t>
    <rPh sb="0" eb="2">
      <t>イシジマ</t>
    </rPh>
    <phoneticPr fontId="2"/>
  </si>
  <si>
    <t>1月</t>
    <rPh sb="1" eb="2">
      <t>ツキ</t>
    </rPh>
    <phoneticPr fontId="2"/>
  </si>
  <si>
    <t>2月</t>
    <rPh sb="1" eb="2">
      <t>ツキ</t>
    </rPh>
    <phoneticPr fontId="2"/>
  </si>
  <si>
    <t>夜1</t>
    <rPh sb="0" eb="1">
      <t>ヨル</t>
    </rPh>
    <phoneticPr fontId="2"/>
  </si>
  <si>
    <t>高橋良</t>
    <rPh sb="0" eb="2">
      <t>タカハシ</t>
    </rPh>
    <rPh sb="2" eb="3">
      <t>ヨ</t>
    </rPh>
    <phoneticPr fontId="2"/>
  </si>
  <si>
    <t>→</t>
    <phoneticPr fontId="2"/>
  </si>
  <si>
    <t>高橋剛</t>
    <rPh sb="0" eb="2">
      <t>タカハシ</t>
    </rPh>
    <rPh sb="2" eb="3">
      <t>ゴウ</t>
    </rPh>
    <phoneticPr fontId="2"/>
  </si>
  <si>
    <t>勅使河原</t>
    <rPh sb="0" eb="4">
      <t>テシガワラ</t>
    </rPh>
    <phoneticPr fontId="2"/>
  </si>
  <si>
    <t>楮本</t>
    <rPh sb="0" eb="2">
      <t>カズモト</t>
    </rPh>
    <phoneticPr fontId="2"/>
  </si>
  <si>
    <t>高橋拓</t>
    <rPh sb="0" eb="2">
      <t>タカハシ</t>
    </rPh>
    <rPh sb="2" eb="3">
      <t>タク</t>
    </rPh>
    <phoneticPr fontId="2"/>
  </si>
  <si>
    <t>新井翔</t>
    <rPh sb="0" eb="2">
      <t>アライ</t>
    </rPh>
    <rPh sb="2" eb="3">
      <t>ショウ</t>
    </rPh>
    <phoneticPr fontId="2"/>
  </si>
  <si>
    <t>加藤誠</t>
    <rPh sb="0" eb="2">
      <t>カトウ</t>
    </rPh>
    <rPh sb="2" eb="3">
      <t>マコト</t>
    </rPh>
    <phoneticPr fontId="2"/>
  </si>
  <si>
    <t>西澤</t>
    <rPh sb="0" eb="2">
      <t>ニシザワ</t>
    </rPh>
    <phoneticPr fontId="2"/>
  </si>
  <si>
    <t>浅見</t>
    <rPh sb="0" eb="2">
      <t>アサミ</t>
    </rPh>
    <phoneticPr fontId="2"/>
  </si>
  <si>
    <t>倉林</t>
    <rPh sb="0" eb="2">
      <t>クラバヤシ</t>
    </rPh>
    <phoneticPr fontId="2"/>
  </si>
  <si>
    <t>グスマン</t>
    <phoneticPr fontId="2"/>
  </si>
  <si>
    <t>馬場</t>
    <rPh sb="0" eb="2">
      <t>ババ</t>
    </rPh>
    <phoneticPr fontId="2"/>
  </si>
  <si>
    <t>深田</t>
    <rPh sb="0" eb="2">
      <t>フカタ</t>
    </rPh>
    <phoneticPr fontId="2"/>
  </si>
  <si>
    <t>高橋武</t>
    <rPh sb="0" eb="2">
      <t>タカハシ</t>
    </rPh>
    <rPh sb="2" eb="3">
      <t>タケ</t>
    </rPh>
    <phoneticPr fontId="2"/>
  </si>
  <si>
    <t>岩田</t>
    <rPh sb="0" eb="2">
      <t>イワタ</t>
    </rPh>
    <phoneticPr fontId="2"/>
  </si>
  <si>
    <t>大関</t>
    <rPh sb="0" eb="2">
      <t>オオゼキ</t>
    </rPh>
    <phoneticPr fontId="2"/>
  </si>
  <si>
    <t>新井秀</t>
    <rPh sb="0" eb="2">
      <t>アライ</t>
    </rPh>
    <rPh sb="2" eb="3">
      <t>シュウ</t>
    </rPh>
    <phoneticPr fontId="2"/>
  </si>
  <si>
    <t>高橋武</t>
    <rPh sb="0" eb="2">
      <t>タカハシ</t>
    </rPh>
    <rPh sb="2" eb="3">
      <t>タケ</t>
    </rPh>
    <phoneticPr fontId="2"/>
  </si>
  <si>
    <t>岩田</t>
    <rPh sb="0" eb="2">
      <t>イワタ</t>
    </rPh>
    <phoneticPr fontId="2"/>
  </si>
  <si>
    <t>石島</t>
    <rPh sb="0" eb="2">
      <t>イシジマ</t>
    </rPh>
    <phoneticPr fontId="2"/>
  </si>
  <si>
    <t>石間戸</t>
    <rPh sb="0" eb="3">
      <t>イシマド</t>
    </rPh>
    <phoneticPr fontId="2"/>
  </si>
  <si>
    <t>小林</t>
    <rPh sb="0" eb="2">
      <t>コバヤシ</t>
    </rPh>
    <phoneticPr fontId="2"/>
  </si>
  <si>
    <t>勅使河原</t>
    <rPh sb="0" eb="4">
      <t>テシガワラ</t>
    </rPh>
    <phoneticPr fontId="2"/>
  </si>
  <si>
    <t>斎藤</t>
    <rPh sb="0" eb="2">
      <t>サイトウ</t>
    </rPh>
    <phoneticPr fontId="2"/>
  </si>
  <si>
    <t>加隝</t>
    <rPh sb="0" eb="1">
      <t>カ</t>
    </rPh>
    <rPh sb="1" eb="2">
      <t>シマ</t>
    </rPh>
    <phoneticPr fontId="2"/>
  </si>
  <si>
    <t>小鹿原</t>
    <rPh sb="0" eb="3">
      <t>オガハラ</t>
    </rPh>
    <phoneticPr fontId="2"/>
  </si>
  <si>
    <t>×</t>
    <phoneticPr fontId="2"/>
  </si>
  <si>
    <t>加藤誠</t>
    <rPh sb="0" eb="2">
      <t>カトウ</t>
    </rPh>
    <rPh sb="2" eb="3">
      <t>マコト</t>
    </rPh>
    <phoneticPr fontId="2"/>
  </si>
  <si>
    <t>加藤</t>
    <rPh sb="0" eb="2">
      <t>カトウ</t>
    </rPh>
    <phoneticPr fontId="2"/>
  </si>
  <si>
    <t>西澤</t>
    <rPh sb="0" eb="2">
      <t>ニシザワ</t>
    </rPh>
    <phoneticPr fontId="2"/>
  </si>
  <si>
    <t>新井翔</t>
    <rPh sb="0" eb="2">
      <t>アライ</t>
    </rPh>
    <rPh sb="2" eb="3">
      <t>ショウ</t>
    </rPh>
    <phoneticPr fontId="2"/>
  </si>
  <si>
    <t>斎藤</t>
    <rPh sb="0" eb="2">
      <t>サイトウ</t>
    </rPh>
    <phoneticPr fontId="2"/>
  </si>
  <si>
    <t>楮本</t>
    <rPh sb="0" eb="2">
      <t>カズモト</t>
    </rPh>
    <phoneticPr fontId="2"/>
  </si>
  <si>
    <t>髙田</t>
    <rPh sb="0" eb="2">
      <t>タカダ</t>
    </rPh>
    <phoneticPr fontId="2"/>
  </si>
  <si>
    <t>加隝</t>
    <rPh sb="0" eb="1">
      <t>カ</t>
    </rPh>
    <rPh sb="1" eb="2">
      <t>シマ</t>
    </rPh>
    <phoneticPr fontId="2"/>
  </si>
  <si>
    <t>小林</t>
    <rPh sb="0" eb="2">
      <t>コバヤシ</t>
    </rPh>
    <phoneticPr fontId="2"/>
  </si>
  <si>
    <t>小鹿原</t>
    <rPh sb="0" eb="3">
      <t>オガハラ</t>
    </rPh>
    <phoneticPr fontId="2"/>
  </si>
  <si>
    <t>今井</t>
    <rPh sb="0" eb="2">
      <t>イマイ</t>
    </rPh>
    <phoneticPr fontId="2"/>
  </si>
  <si>
    <t>勅使河原</t>
    <rPh sb="0" eb="4">
      <t>テシガワラ</t>
    </rPh>
    <phoneticPr fontId="2"/>
  </si>
  <si>
    <t>高橋剛</t>
    <rPh sb="0" eb="2">
      <t>タカハシ</t>
    </rPh>
    <rPh sb="2" eb="3">
      <t>ゴウ</t>
    </rPh>
    <phoneticPr fontId="2"/>
  </si>
  <si>
    <t>高橋良</t>
    <rPh sb="0" eb="2">
      <t>タカハシ</t>
    </rPh>
    <rPh sb="2" eb="3">
      <t>ヨ</t>
    </rPh>
    <phoneticPr fontId="2"/>
  </si>
  <si>
    <t>GROOP1</t>
    <phoneticPr fontId="2"/>
  </si>
  <si>
    <t>GROOP2</t>
    <phoneticPr fontId="2"/>
  </si>
  <si>
    <t>GROOP3</t>
    <phoneticPr fontId="2"/>
  </si>
  <si>
    <t>高橋拓</t>
    <rPh sb="0" eb="2">
      <t>タカハシ</t>
    </rPh>
    <rPh sb="2" eb="3">
      <t>タク</t>
    </rPh>
    <phoneticPr fontId="2"/>
  </si>
  <si>
    <t>加藤誠</t>
    <rPh sb="0" eb="2">
      <t>カトウ</t>
    </rPh>
    <rPh sb="2" eb="3">
      <t>マコト</t>
    </rPh>
    <phoneticPr fontId="2"/>
  </si>
  <si>
    <t>深田</t>
    <rPh sb="0" eb="2">
      <t>フカタ</t>
    </rPh>
    <phoneticPr fontId="2"/>
  </si>
  <si>
    <t>高橋武</t>
    <rPh sb="0" eb="2">
      <t>タカハシ</t>
    </rPh>
    <rPh sb="2" eb="3">
      <t>タケ</t>
    </rPh>
    <phoneticPr fontId="2"/>
  </si>
  <si>
    <t>石間戸</t>
    <rPh sb="0" eb="3">
      <t>イシマド</t>
    </rPh>
    <phoneticPr fontId="2"/>
  </si>
  <si>
    <t>石島</t>
    <rPh sb="0" eb="2">
      <t>イシジマ</t>
    </rPh>
    <phoneticPr fontId="2"/>
  </si>
  <si>
    <t>新井秀</t>
    <rPh sb="0" eb="2">
      <t>アライ</t>
    </rPh>
    <rPh sb="2" eb="3">
      <t>シュウ</t>
    </rPh>
    <phoneticPr fontId="2"/>
  </si>
  <si>
    <t>岩田</t>
    <rPh sb="0" eb="2">
      <t>イワタ</t>
    </rPh>
    <phoneticPr fontId="2"/>
  </si>
  <si>
    <t>大関</t>
    <rPh sb="0" eb="2">
      <t>オオゼキ</t>
    </rPh>
    <phoneticPr fontId="2"/>
  </si>
  <si>
    <t>〇</t>
    <phoneticPr fontId="2"/>
  </si>
  <si>
    <t>石間戸</t>
    <rPh sb="0" eb="3">
      <t>イシマド</t>
    </rPh>
    <phoneticPr fontId="2"/>
  </si>
  <si>
    <t>小林</t>
    <rPh sb="0" eb="2">
      <t>コバヤシ</t>
    </rPh>
    <phoneticPr fontId="2"/>
  </si>
  <si>
    <t>11,12月</t>
    <rPh sb="5" eb="6">
      <t>ツキ</t>
    </rPh>
    <phoneticPr fontId="2"/>
  </si>
  <si>
    <t>1,2月</t>
    <rPh sb="3" eb="4">
      <t>ツキ</t>
    </rPh>
    <phoneticPr fontId="2"/>
  </si>
  <si>
    <t>9,10月</t>
    <rPh sb="4" eb="5">
      <t>ガツ</t>
    </rPh>
    <phoneticPr fontId="2"/>
  </si>
  <si>
    <t>西澤</t>
    <rPh sb="0" eb="2">
      <t>ニシザワ</t>
    </rPh>
    <phoneticPr fontId="2"/>
  </si>
  <si>
    <t>㈱新井精密</t>
    <rPh sb="1" eb="3">
      <t>アライ</t>
    </rPh>
    <rPh sb="3" eb="5">
      <t>セイミツ</t>
    </rPh>
    <phoneticPr fontId="2"/>
  </si>
  <si>
    <t>2018・1月、2月　休日夜勤当番表</t>
    <rPh sb="6" eb="7">
      <t>ツキ</t>
    </rPh>
    <rPh sb="9" eb="10">
      <t>ツキ</t>
    </rPh>
    <rPh sb="11" eb="13">
      <t>キュウジツ</t>
    </rPh>
    <rPh sb="13" eb="15">
      <t>ヤキン</t>
    </rPh>
    <rPh sb="15" eb="17">
      <t>トウバン</t>
    </rPh>
    <rPh sb="17" eb="18">
      <t>ヒョウ</t>
    </rPh>
    <phoneticPr fontId="2"/>
  </si>
  <si>
    <t>　　　　備考　・倉林　1月から20：30～24：15　　　・浅見　日曜のみ20：30～24：15</t>
    <rPh sb="4" eb="6">
      <t>ビコウ</t>
    </rPh>
    <rPh sb="8" eb="10">
      <t>クラバヤシ</t>
    </rPh>
    <rPh sb="12" eb="13">
      <t>ツキ</t>
    </rPh>
    <rPh sb="30" eb="32">
      <t>アサミ</t>
    </rPh>
    <rPh sb="33" eb="35">
      <t>ニチヨウ</t>
    </rPh>
    <phoneticPr fontId="2"/>
  </si>
  <si>
    <t>3,4月</t>
    <rPh sb="3" eb="4">
      <t>ツキ</t>
    </rPh>
    <phoneticPr fontId="2"/>
  </si>
  <si>
    <t>2月</t>
    <rPh sb="1" eb="2">
      <t>ガツ</t>
    </rPh>
    <phoneticPr fontId="2"/>
  </si>
  <si>
    <t>３月</t>
    <rPh sb="1" eb="2">
      <t>ツキ</t>
    </rPh>
    <phoneticPr fontId="2"/>
  </si>
  <si>
    <t>４月</t>
    <rPh sb="1" eb="2">
      <t>ツキ</t>
    </rPh>
    <phoneticPr fontId="2"/>
  </si>
  <si>
    <t>拓</t>
    <rPh sb="0" eb="1">
      <t>タク</t>
    </rPh>
    <phoneticPr fontId="2"/>
  </si>
  <si>
    <t>4/7(土)</t>
    <rPh sb="4" eb="5">
      <t>ツチ</t>
    </rPh>
    <phoneticPr fontId="2"/>
  </si>
  <si>
    <t>　　　　備考　・浅見　日曜のみ20：30～24：15</t>
    <rPh sb="4" eb="6">
      <t>ビコウ</t>
    </rPh>
    <rPh sb="8" eb="10">
      <t>アサミ</t>
    </rPh>
    <rPh sb="11" eb="13">
      <t>ニチヨウ</t>
    </rPh>
    <phoneticPr fontId="2"/>
  </si>
  <si>
    <t>2018・3月、4月　休日夜勤当番表</t>
    <rPh sb="6" eb="7">
      <t>ツキ</t>
    </rPh>
    <rPh sb="9" eb="10">
      <t>ツキ</t>
    </rPh>
    <rPh sb="11" eb="13">
      <t>キュウジツ</t>
    </rPh>
    <rPh sb="13" eb="15">
      <t>ヤキン</t>
    </rPh>
    <rPh sb="15" eb="17">
      <t>トウバン</t>
    </rPh>
    <rPh sb="17" eb="18">
      <t>ヒョウ</t>
    </rPh>
    <phoneticPr fontId="2"/>
  </si>
  <si>
    <t>斉藤</t>
    <rPh sb="0" eb="2">
      <t>サイトウ</t>
    </rPh>
    <phoneticPr fontId="2"/>
  </si>
  <si>
    <t>加藤誠</t>
    <rPh sb="0" eb="2">
      <t>カトウ</t>
    </rPh>
    <rPh sb="2" eb="3">
      <t>マコト</t>
    </rPh>
    <phoneticPr fontId="2"/>
  </si>
  <si>
    <t>〇</t>
    <phoneticPr fontId="2"/>
  </si>
  <si>
    <t>今井</t>
    <rPh sb="0" eb="2">
      <t>イマイ</t>
    </rPh>
    <phoneticPr fontId="2"/>
  </si>
  <si>
    <t>深田</t>
    <rPh sb="0" eb="2">
      <t>フカタ</t>
    </rPh>
    <phoneticPr fontId="2"/>
  </si>
  <si>
    <t>勅使河原</t>
    <rPh sb="0" eb="4">
      <t>テシガワラ</t>
    </rPh>
    <phoneticPr fontId="2"/>
  </si>
  <si>
    <t>深田</t>
    <rPh sb="0" eb="2">
      <t>フカタ</t>
    </rPh>
    <phoneticPr fontId="2"/>
  </si>
  <si>
    <t>石間戸</t>
    <rPh sb="0" eb="3">
      <t>イシマド</t>
    </rPh>
    <phoneticPr fontId="2"/>
  </si>
  <si>
    <t>大関</t>
    <rPh sb="0" eb="2">
      <t>オオゼキ</t>
    </rPh>
    <phoneticPr fontId="2"/>
  </si>
  <si>
    <t>新井秀</t>
    <rPh sb="0" eb="2">
      <t>アライ</t>
    </rPh>
    <rPh sb="2" eb="3">
      <t>シュウ</t>
    </rPh>
    <phoneticPr fontId="2"/>
  </si>
  <si>
    <t>石島</t>
    <rPh sb="0" eb="2">
      <t>イシジマ</t>
    </rPh>
    <phoneticPr fontId="2"/>
  </si>
  <si>
    <t>高橋武</t>
    <rPh sb="0" eb="2">
      <t>タカハシ</t>
    </rPh>
    <rPh sb="2" eb="3">
      <t>タケ</t>
    </rPh>
    <phoneticPr fontId="2"/>
  </si>
  <si>
    <t>岩田</t>
    <rPh sb="0" eb="2">
      <t>イワタ</t>
    </rPh>
    <phoneticPr fontId="2"/>
  </si>
  <si>
    <t>高橋拓</t>
    <rPh sb="0" eb="2">
      <t>タカハシ</t>
    </rPh>
    <rPh sb="2" eb="3">
      <t>タク</t>
    </rPh>
    <phoneticPr fontId="2"/>
  </si>
  <si>
    <t>新井翔</t>
    <rPh sb="0" eb="3">
      <t>アライショウ</t>
    </rPh>
    <phoneticPr fontId="2"/>
  </si>
  <si>
    <t>休み16</t>
    <rPh sb="0" eb="1">
      <t>ヤス</t>
    </rPh>
    <phoneticPr fontId="2"/>
  </si>
  <si>
    <t>高橋良</t>
    <rPh sb="0" eb="2">
      <t>タカハシ</t>
    </rPh>
    <rPh sb="2" eb="3">
      <t>ヨ</t>
    </rPh>
    <phoneticPr fontId="2"/>
  </si>
  <si>
    <t>馬場</t>
    <rPh sb="0" eb="2">
      <t>ババ</t>
    </rPh>
    <phoneticPr fontId="2"/>
  </si>
  <si>
    <t>・関口　日曜のみ1:00～5:30</t>
    <rPh sb="1" eb="3">
      <t>セキグチ</t>
    </rPh>
    <rPh sb="4" eb="6">
      <t>ニチヨウ</t>
    </rPh>
    <phoneticPr fontId="2"/>
  </si>
  <si>
    <t>丸山</t>
    <rPh sb="0" eb="2">
      <t>マルヤマ</t>
    </rPh>
    <phoneticPr fontId="2"/>
  </si>
  <si>
    <t>丸山</t>
    <rPh sb="0" eb="2">
      <t>マルヤマ</t>
    </rPh>
    <phoneticPr fontId="2"/>
  </si>
  <si>
    <t>浅見・関口</t>
    <rPh sb="0" eb="2">
      <t>アサミ</t>
    </rPh>
    <rPh sb="3" eb="5">
      <t>セキグチ</t>
    </rPh>
    <phoneticPr fontId="2"/>
  </si>
  <si>
    <t>関口</t>
    <rPh sb="0" eb="2">
      <t>セキグチ</t>
    </rPh>
    <phoneticPr fontId="2"/>
  </si>
  <si>
    <t>5,6月</t>
    <rPh sb="3" eb="4">
      <t>ガツ</t>
    </rPh>
    <phoneticPr fontId="2"/>
  </si>
  <si>
    <t>2018・5月、6月　休日夜勤当番表</t>
    <rPh sb="6" eb="7">
      <t>ツキ</t>
    </rPh>
    <rPh sb="9" eb="10">
      <t>ツキ</t>
    </rPh>
    <rPh sb="11" eb="13">
      <t>キュウジツ</t>
    </rPh>
    <rPh sb="13" eb="15">
      <t>ヤキン</t>
    </rPh>
    <rPh sb="15" eb="17">
      <t>トウバン</t>
    </rPh>
    <rPh sb="17" eb="18">
      <t>ヒョウ</t>
    </rPh>
    <phoneticPr fontId="2"/>
  </si>
  <si>
    <t>4月</t>
    <rPh sb="1" eb="2">
      <t>ガツ</t>
    </rPh>
    <phoneticPr fontId="2"/>
  </si>
  <si>
    <t>5月</t>
    <rPh sb="1" eb="2">
      <t>ツキ</t>
    </rPh>
    <phoneticPr fontId="2"/>
  </si>
  <si>
    <t>6月</t>
    <rPh sb="1" eb="2">
      <t>ツキ</t>
    </rPh>
    <phoneticPr fontId="2"/>
  </si>
  <si>
    <t>剛</t>
    <rPh sb="0" eb="1">
      <t>ゴウ</t>
    </rPh>
    <phoneticPr fontId="2"/>
  </si>
  <si>
    <t>浅見</t>
    <rPh sb="0" eb="2">
      <t>アサミ</t>
    </rPh>
    <phoneticPr fontId="2"/>
  </si>
  <si>
    <t>浅見・関口</t>
    <rPh sb="0" eb="2">
      <t>アサミ</t>
    </rPh>
    <rPh sb="3" eb="5">
      <t>セキグチ</t>
    </rPh>
    <phoneticPr fontId="2"/>
  </si>
  <si>
    <t>関口</t>
    <rPh sb="0" eb="2">
      <t>セキグチ</t>
    </rPh>
    <phoneticPr fontId="2"/>
  </si>
  <si>
    <t>→</t>
    <phoneticPr fontId="2"/>
  </si>
  <si>
    <t>→　</t>
    <phoneticPr fontId="2"/>
  </si>
  <si>
    <t>馬場</t>
    <rPh sb="0" eb="2">
      <t>ババ</t>
    </rPh>
    <phoneticPr fontId="2"/>
  </si>
  <si>
    <t>　　　　備考　・浅見　日曜のみ20：30～00：15</t>
    <rPh sb="4" eb="6">
      <t>ビコウ</t>
    </rPh>
    <rPh sb="8" eb="10">
      <t>アサミ</t>
    </rPh>
    <rPh sb="11" eb="13">
      <t>ニチヨウ</t>
    </rPh>
    <phoneticPr fontId="2"/>
  </si>
  <si>
    <t>翔</t>
    <rPh sb="0" eb="1">
      <t>ショウ</t>
    </rPh>
    <phoneticPr fontId="2"/>
  </si>
  <si>
    <t>誠</t>
    <rPh sb="0" eb="1">
      <t>マコト</t>
    </rPh>
    <phoneticPr fontId="2"/>
  </si>
  <si>
    <t>〇</t>
    <phoneticPr fontId="2"/>
  </si>
  <si>
    <t>夜勤6/25以降</t>
    <rPh sb="0" eb="2">
      <t>ヤキン</t>
    </rPh>
    <rPh sb="6" eb="8">
      <t>イコウ</t>
    </rPh>
    <phoneticPr fontId="2"/>
  </si>
  <si>
    <t>深田</t>
    <rPh sb="0" eb="2">
      <t>フカタ</t>
    </rPh>
    <phoneticPr fontId="2"/>
  </si>
  <si>
    <t>高橋武</t>
    <rPh sb="0" eb="2">
      <t>タカハシ</t>
    </rPh>
    <rPh sb="2" eb="3">
      <t>タケ</t>
    </rPh>
    <phoneticPr fontId="2"/>
  </si>
  <si>
    <t>石島</t>
    <rPh sb="0" eb="2">
      <t>イシジマ</t>
    </rPh>
    <phoneticPr fontId="2"/>
  </si>
  <si>
    <t>西澤</t>
    <rPh sb="0" eb="2">
      <t>ニシザワ</t>
    </rPh>
    <phoneticPr fontId="2"/>
  </si>
  <si>
    <t>楮本</t>
    <rPh sb="0" eb="2">
      <t>カズモト</t>
    </rPh>
    <phoneticPr fontId="2"/>
  </si>
  <si>
    <t>小林</t>
    <rPh sb="0" eb="2">
      <t>コバヤシ</t>
    </rPh>
    <phoneticPr fontId="2"/>
  </si>
  <si>
    <t>高橋良</t>
    <rPh sb="0" eb="2">
      <t>タカハシ</t>
    </rPh>
    <rPh sb="2" eb="3">
      <t>ヨ</t>
    </rPh>
    <phoneticPr fontId="2"/>
  </si>
  <si>
    <t>→</t>
    <phoneticPr fontId="2"/>
  </si>
  <si>
    <t>高橋剛</t>
    <rPh sb="0" eb="2">
      <t>タカハシ</t>
    </rPh>
    <rPh sb="2" eb="3">
      <t>ゴウ</t>
    </rPh>
    <phoneticPr fontId="2"/>
  </si>
  <si>
    <t>勅使河原</t>
    <rPh sb="0" eb="4">
      <t>テシガワラ</t>
    </rPh>
    <phoneticPr fontId="2"/>
  </si>
  <si>
    <t>高橋拓</t>
    <rPh sb="0" eb="2">
      <t>タカハシ</t>
    </rPh>
    <rPh sb="2" eb="3">
      <t>タク</t>
    </rPh>
    <phoneticPr fontId="2"/>
  </si>
  <si>
    <t>新井翔</t>
    <rPh sb="0" eb="2">
      <t>アライ</t>
    </rPh>
    <rPh sb="2" eb="3">
      <t>ショウ</t>
    </rPh>
    <phoneticPr fontId="2"/>
  </si>
  <si>
    <t>加藤誠</t>
    <rPh sb="0" eb="2">
      <t>カトウ</t>
    </rPh>
    <rPh sb="2" eb="3">
      <t>マコト</t>
    </rPh>
    <phoneticPr fontId="2"/>
  </si>
  <si>
    <t>髙田</t>
    <rPh sb="0" eb="2">
      <t>タカダ</t>
    </rPh>
    <phoneticPr fontId="2"/>
  </si>
  <si>
    <t>今井</t>
    <rPh sb="0" eb="2">
      <t>イマイ</t>
    </rPh>
    <phoneticPr fontId="2"/>
  </si>
  <si>
    <t>小鹿原</t>
    <rPh sb="0" eb="3">
      <t>オガハラ</t>
    </rPh>
    <phoneticPr fontId="2"/>
  </si>
  <si>
    <t>加隝</t>
    <rPh sb="0" eb="1">
      <t>カ</t>
    </rPh>
    <rPh sb="1" eb="2">
      <t>シマ</t>
    </rPh>
    <phoneticPr fontId="2"/>
  </si>
  <si>
    <t>良文</t>
    <rPh sb="0" eb="2">
      <t>ヨシフミ</t>
    </rPh>
    <phoneticPr fontId="2"/>
  </si>
  <si>
    <t>5/3～5/6</t>
    <phoneticPr fontId="2"/>
  </si>
  <si>
    <t>加藤貴</t>
    <rPh sb="0" eb="2">
      <t>カトウ</t>
    </rPh>
    <rPh sb="2" eb="3">
      <t>タカシ</t>
    </rPh>
    <phoneticPr fontId="2"/>
  </si>
  <si>
    <t>木村</t>
    <rPh sb="0" eb="2">
      <t>キムラ</t>
    </rPh>
    <phoneticPr fontId="2"/>
  </si>
  <si>
    <t>木村</t>
    <rPh sb="0" eb="2">
      <t>キムラ</t>
    </rPh>
    <phoneticPr fontId="2"/>
  </si>
  <si>
    <t>加藤貴</t>
    <rPh sb="0" eb="2">
      <t>カトウ</t>
    </rPh>
    <rPh sb="2" eb="3">
      <t>タカシ</t>
    </rPh>
    <phoneticPr fontId="2"/>
  </si>
  <si>
    <t>斉藤</t>
    <rPh sb="0" eb="2">
      <t>サイトウ</t>
    </rPh>
    <phoneticPr fontId="2"/>
  </si>
  <si>
    <t>西澤</t>
    <rPh sb="0" eb="2">
      <t>ニシザワ</t>
    </rPh>
    <phoneticPr fontId="2"/>
  </si>
  <si>
    <t>高橋剛</t>
    <rPh sb="0" eb="2">
      <t>タカハシ</t>
    </rPh>
    <rPh sb="2" eb="3">
      <t>ゴウ</t>
    </rPh>
    <phoneticPr fontId="2"/>
  </si>
  <si>
    <t>加隝</t>
    <rPh sb="0" eb="1">
      <t>カ</t>
    </rPh>
    <rPh sb="1" eb="2">
      <t>シマ</t>
    </rPh>
    <phoneticPr fontId="2"/>
  </si>
  <si>
    <t>丸山</t>
    <rPh sb="0" eb="2">
      <t>マルヤマ</t>
    </rPh>
    <phoneticPr fontId="2"/>
  </si>
  <si>
    <t>休み20</t>
    <rPh sb="0" eb="1">
      <t>ヤス</t>
    </rPh>
    <phoneticPr fontId="2"/>
  </si>
  <si>
    <t>小林</t>
    <rPh sb="0" eb="2">
      <t>コバヤシ</t>
    </rPh>
    <phoneticPr fontId="2"/>
  </si>
  <si>
    <t>7月</t>
    <rPh sb="1" eb="2">
      <t>ツキ</t>
    </rPh>
    <phoneticPr fontId="2"/>
  </si>
  <si>
    <t>8月</t>
    <rPh sb="1" eb="2">
      <t>ツキ</t>
    </rPh>
    <phoneticPr fontId="2"/>
  </si>
  <si>
    <t>6月</t>
    <rPh sb="1" eb="2">
      <t>ガツ</t>
    </rPh>
    <phoneticPr fontId="2"/>
  </si>
  <si>
    <t>吉田</t>
    <rPh sb="0" eb="2">
      <t>ヨシダ</t>
    </rPh>
    <phoneticPr fontId="2"/>
  </si>
  <si>
    <t>7,8月</t>
    <rPh sb="3" eb="4">
      <t>ガツ</t>
    </rPh>
    <phoneticPr fontId="2"/>
  </si>
  <si>
    <t>深田</t>
    <rPh sb="0" eb="2">
      <t>フカタ</t>
    </rPh>
    <phoneticPr fontId="2"/>
  </si>
  <si>
    <t>夜勤</t>
    <rPh sb="0" eb="2">
      <t>ヤキン</t>
    </rPh>
    <phoneticPr fontId="2"/>
  </si>
  <si>
    <t>西澤</t>
    <rPh sb="0" eb="2">
      <t>ニシザワ</t>
    </rPh>
    <phoneticPr fontId="2"/>
  </si>
  <si>
    <t>木村</t>
    <rPh sb="0" eb="2">
      <t>キムラ</t>
    </rPh>
    <phoneticPr fontId="2"/>
  </si>
  <si>
    <t>加藤貴</t>
    <rPh sb="0" eb="2">
      <t>カトウ</t>
    </rPh>
    <rPh sb="2" eb="3">
      <t>タカシ</t>
    </rPh>
    <phoneticPr fontId="2"/>
  </si>
  <si>
    <t>高橋剛</t>
    <rPh sb="0" eb="2">
      <t>タカハシ</t>
    </rPh>
    <rPh sb="2" eb="3">
      <t>ゴウ</t>
    </rPh>
    <phoneticPr fontId="2"/>
  </si>
  <si>
    <t>丸山</t>
    <rPh sb="0" eb="2">
      <t>マルヤマ</t>
    </rPh>
    <phoneticPr fontId="2"/>
  </si>
  <si>
    <t>楮本</t>
    <rPh sb="0" eb="2">
      <t>カズモト</t>
    </rPh>
    <phoneticPr fontId="2"/>
  </si>
  <si>
    <t>高橋拓</t>
    <rPh sb="0" eb="2">
      <t>タカハシ</t>
    </rPh>
    <rPh sb="2" eb="3">
      <t>タク</t>
    </rPh>
    <phoneticPr fontId="2"/>
  </si>
  <si>
    <t>馬場</t>
    <rPh sb="0" eb="2">
      <t>ババ</t>
    </rPh>
    <phoneticPr fontId="2"/>
  </si>
  <si>
    <t>髙田</t>
    <rPh sb="0" eb="2">
      <t>タカダ</t>
    </rPh>
    <phoneticPr fontId="2"/>
  </si>
  <si>
    <t>新井翔</t>
    <rPh sb="0" eb="2">
      <t>アライ</t>
    </rPh>
    <rPh sb="2" eb="3">
      <t>ショウ</t>
    </rPh>
    <phoneticPr fontId="2"/>
  </si>
  <si>
    <t>高橋良</t>
    <rPh sb="0" eb="2">
      <t>タカハシ</t>
    </rPh>
    <rPh sb="2" eb="3">
      <t>ヨ</t>
    </rPh>
    <phoneticPr fontId="2"/>
  </si>
  <si>
    <t>勅使河原</t>
    <rPh sb="0" eb="4">
      <t>テシガワラ</t>
    </rPh>
    <phoneticPr fontId="2"/>
  </si>
  <si>
    <t>小鹿原</t>
    <rPh sb="0" eb="3">
      <t>オガハラ</t>
    </rPh>
    <phoneticPr fontId="2"/>
  </si>
  <si>
    <t>高橋拓</t>
    <rPh sb="0" eb="2">
      <t>タカハシ</t>
    </rPh>
    <rPh sb="2" eb="3">
      <t>タク</t>
    </rPh>
    <phoneticPr fontId="2"/>
  </si>
  <si>
    <t>加藤誠</t>
    <rPh sb="0" eb="2">
      <t>カトウ</t>
    </rPh>
    <rPh sb="2" eb="3">
      <t>マコト</t>
    </rPh>
    <phoneticPr fontId="2"/>
  </si>
  <si>
    <t>今井</t>
    <rPh sb="0" eb="2">
      <t>イマイ</t>
    </rPh>
    <phoneticPr fontId="2"/>
  </si>
  <si>
    <t>大関</t>
    <rPh sb="0" eb="2">
      <t>オオゼキ</t>
    </rPh>
    <phoneticPr fontId="2"/>
  </si>
  <si>
    <t>高橋武</t>
    <rPh sb="0" eb="2">
      <t>タカハシ</t>
    </rPh>
    <rPh sb="2" eb="3">
      <t>タケ</t>
    </rPh>
    <phoneticPr fontId="2"/>
  </si>
  <si>
    <t>岩田</t>
    <rPh sb="0" eb="2">
      <t>イワタ</t>
    </rPh>
    <phoneticPr fontId="2"/>
  </si>
  <si>
    <t>石間戸</t>
    <rPh sb="0" eb="3">
      <t>イシマド</t>
    </rPh>
    <phoneticPr fontId="2"/>
  </si>
  <si>
    <t>新井秀</t>
    <rPh sb="0" eb="2">
      <t>アライ</t>
    </rPh>
    <rPh sb="2" eb="3">
      <t>シュウ</t>
    </rPh>
    <phoneticPr fontId="2"/>
  </si>
  <si>
    <t>石島</t>
    <rPh sb="0" eb="2">
      <t>イシジマ</t>
    </rPh>
    <phoneticPr fontId="2"/>
  </si>
  <si>
    <t>馬場</t>
    <rPh sb="0" eb="2">
      <t>ババ</t>
    </rPh>
    <phoneticPr fontId="2"/>
  </si>
  <si>
    <t>楮本</t>
    <rPh sb="0" eb="2">
      <t>カズモト</t>
    </rPh>
    <phoneticPr fontId="2"/>
  </si>
  <si>
    <t>丸山</t>
    <rPh sb="0" eb="2">
      <t>マルヤマ</t>
    </rPh>
    <phoneticPr fontId="2"/>
  </si>
  <si>
    <t>西澤</t>
    <rPh sb="0" eb="2">
      <t>ニシザワ</t>
    </rPh>
    <phoneticPr fontId="2"/>
  </si>
  <si>
    <t>加嶋</t>
    <rPh sb="0" eb="2">
      <t>カシマ</t>
    </rPh>
    <phoneticPr fontId="2"/>
  </si>
  <si>
    <t>斎藤</t>
    <rPh sb="0" eb="2">
      <t>サイトウ</t>
    </rPh>
    <phoneticPr fontId="2"/>
  </si>
  <si>
    <t>小林</t>
    <rPh sb="0" eb="2">
      <t>コバヤシ</t>
    </rPh>
    <phoneticPr fontId="2"/>
  </si>
  <si>
    <t>勅使河原</t>
    <rPh sb="0" eb="4">
      <t>テシガワラ</t>
    </rPh>
    <phoneticPr fontId="2"/>
  </si>
  <si>
    <t>今井</t>
    <rPh sb="0" eb="2">
      <t>イマイ</t>
    </rPh>
    <phoneticPr fontId="2"/>
  </si>
  <si>
    <t>木村</t>
    <rPh sb="0" eb="2">
      <t>キムラ</t>
    </rPh>
    <phoneticPr fontId="2"/>
  </si>
  <si>
    <t>加藤貴</t>
    <rPh sb="0" eb="2">
      <t>カトウ</t>
    </rPh>
    <rPh sb="2" eb="3">
      <t>タカシ</t>
    </rPh>
    <phoneticPr fontId="2"/>
  </si>
  <si>
    <t>楮本</t>
    <rPh sb="0" eb="2">
      <t>カズモト</t>
    </rPh>
    <phoneticPr fontId="2"/>
  </si>
  <si>
    <t>高橋剛</t>
    <rPh sb="0" eb="2">
      <t>タカハシ</t>
    </rPh>
    <rPh sb="2" eb="3">
      <t>ゴウ</t>
    </rPh>
    <phoneticPr fontId="2"/>
  </si>
  <si>
    <t>斎藤</t>
    <rPh sb="0" eb="2">
      <t>サイトウ</t>
    </rPh>
    <phoneticPr fontId="2"/>
  </si>
  <si>
    <t>加嶋</t>
    <rPh sb="0" eb="2">
      <t>カシマ</t>
    </rPh>
    <phoneticPr fontId="2"/>
  </si>
  <si>
    <t>休み21</t>
    <rPh sb="0" eb="1">
      <t>ヤス</t>
    </rPh>
    <phoneticPr fontId="2"/>
  </si>
  <si>
    <t>丸山</t>
    <rPh sb="0" eb="2">
      <t>マルヤマ</t>
    </rPh>
    <phoneticPr fontId="2"/>
  </si>
  <si>
    <t>西澤</t>
    <rPh sb="0" eb="2">
      <t>ニシザワ</t>
    </rPh>
    <phoneticPr fontId="2"/>
  </si>
  <si>
    <t>馬場</t>
    <rPh sb="0" eb="2">
      <t>ババ</t>
    </rPh>
    <phoneticPr fontId="2"/>
  </si>
  <si>
    <t>2018・7月、8月　休日夜勤当番表</t>
    <rPh sb="6" eb="7">
      <t>ツキ</t>
    </rPh>
    <rPh sb="9" eb="10">
      <t>ツキ</t>
    </rPh>
    <rPh sb="11" eb="13">
      <t>キュウジツ</t>
    </rPh>
    <rPh sb="13" eb="15">
      <t>ヤキン</t>
    </rPh>
    <rPh sb="15" eb="17">
      <t>トウバン</t>
    </rPh>
    <rPh sb="17" eb="18">
      <t>ヒョウ</t>
    </rPh>
    <phoneticPr fontId="2"/>
  </si>
  <si>
    <t>馬場</t>
    <rPh sb="0" eb="2">
      <t>ババ</t>
    </rPh>
    <phoneticPr fontId="2"/>
  </si>
  <si>
    <t>横田</t>
    <rPh sb="0" eb="2">
      <t>ヨコタ</t>
    </rPh>
    <phoneticPr fontId="2"/>
  </si>
  <si>
    <t>浅見</t>
    <rPh sb="0" eb="2">
      <t>アサミ</t>
    </rPh>
    <phoneticPr fontId="2"/>
  </si>
  <si>
    <t>横田</t>
    <rPh sb="0" eb="2">
      <t>ヨコタ</t>
    </rPh>
    <phoneticPr fontId="2"/>
  </si>
  <si>
    <t>8</t>
    <phoneticPr fontId="2"/>
  </si>
  <si>
    <t>9</t>
    <phoneticPr fontId="2"/>
  </si>
  <si>
    <t>10</t>
    <phoneticPr fontId="2"/>
  </si>
  <si>
    <t>2018・9月、10月　休日夜勤当番表</t>
    <rPh sb="6" eb="7">
      <t>ツキ</t>
    </rPh>
    <rPh sb="10" eb="11">
      <t>ツキ</t>
    </rPh>
    <rPh sb="12" eb="14">
      <t>キュウジツ</t>
    </rPh>
    <rPh sb="14" eb="16">
      <t>ヤキン</t>
    </rPh>
    <rPh sb="16" eb="18">
      <t>トウバン</t>
    </rPh>
    <rPh sb="18" eb="19">
      <t>ヒョウ</t>
    </rPh>
    <phoneticPr fontId="2"/>
  </si>
  <si>
    <t>今井</t>
    <rPh sb="0" eb="2">
      <t>イマイ</t>
    </rPh>
    <phoneticPr fontId="2"/>
  </si>
  <si>
    <t>髙田</t>
    <rPh sb="0" eb="2">
      <t>タカダ</t>
    </rPh>
    <phoneticPr fontId="2"/>
  </si>
  <si>
    <t>加藤誠</t>
    <rPh sb="0" eb="2">
      <t>カトウ</t>
    </rPh>
    <rPh sb="2" eb="3">
      <t>マコト</t>
    </rPh>
    <phoneticPr fontId="2"/>
  </si>
  <si>
    <t>小鹿原</t>
    <rPh sb="0" eb="3">
      <t>オガハラ</t>
    </rPh>
    <phoneticPr fontId="2"/>
  </si>
  <si>
    <t>高橋良</t>
    <rPh sb="0" eb="2">
      <t>タカハシ</t>
    </rPh>
    <rPh sb="2" eb="3">
      <t>ヨ</t>
    </rPh>
    <phoneticPr fontId="2"/>
  </si>
  <si>
    <t>新井翔</t>
    <rPh sb="0" eb="2">
      <t>アライ</t>
    </rPh>
    <rPh sb="2" eb="3">
      <t>ショウ</t>
    </rPh>
    <phoneticPr fontId="2"/>
  </si>
  <si>
    <t>勅使河原</t>
    <rPh sb="0" eb="4">
      <t>テシガワラ</t>
    </rPh>
    <phoneticPr fontId="2"/>
  </si>
  <si>
    <t>大関</t>
    <rPh sb="0" eb="2">
      <t>オオゼキ</t>
    </rPh>
    <phoneticPr fontId="2"/>
  </si>
  <si>
    <t>新井秀</t>
    <rPh sb="0" eb="2">
      <t>アライ</t>
    </rPh>
    <rPh sb="2" eb="3">
      <t>シュウ</t>
    </rPh>
    <phoneticPr fontId="2"/>
  </si>
  <si>
    <t>石島</t>
    <rPh sb="0" eb="2">
      <t>イシジマ</t>
    </rPh>
    <phoneticPr fontId="2"/>
  </si>
  <si>
    <t>石間戸</t>
    <rPh sb="0" eb="3">
      <t>イシマド</t>
    </rPh>
    <phoneticPr fontId="2"/>
  </si>
  <si>
    <t>高橋拓</t>
    <rPh sb="0" eb="2">
      <t>タカハシ</t>
    </rPh>
    <rPh sb="2" eb="3">
      <t>タク</t>
    </rPh>
    <phoneticPr fontId="2"/>
  </si>
  <si>
    <t>小林</t>
    <rPh sb="0" eb="2">
      <t>コバヤシ</t>
    </rPh>
    <phoneticPr fontId="2"/>
  </si>
  <si>
    <t>加隝</t>
    <rPh sb="0" eb="1">
      <t>カ</t>
    </rPh>
    <rPh sb="1" eb="2">
      <t>シマ</t>
    </rPh>
    <phoneticPr fontId="2"/>
  </si>
  <si>
    <t>加藤貴</t>
    <rPh sb="0" eb="2">
      <t>カトウ</t>
    </rPh>
    <rPh sb="2" eb="3">
      <t>タカシ</t>
    </rPh>
    <phoneticPr fontId="2"/>
  </si>
  <si>
    <t>西澤</t>
    <rPh sb="0" eb="2">
      <t>ニシザワ</t>
    </rPh>
    <phoneticPr fontId="2"/>
  </si>
  <si>
    <t>丸山</t>
    <rPh sb="0" eb="2">
      <t>マルヤマ</t>
    </rPh>
    <phoneticPr fontId="2"/>
  </si>
  <si>
    <t>休み17</t>
    <rPh sb="0" eb="1">
      <t>ヤス</t>
    </rPh>
    <phoneticPr fontId="2"/>
  </si>
  <si>
    <t>深田</t>
    <rPh sb="0" eb="2">
      <t>フカタ</t>
    </rPh>
    <phoneticPr fontId="2"/>
  </si>
  <si>
    <t>小林</t>
    <rPh sb="0" eb="2">
      <t>コバヤシ</t>
    </rPh>
    <phoneticPr fontId="2"/>
  </si>
  <si>
    <t>加隝</t>
    <rPh sb="0" eb="1">
      <t>カ</t>
    </rPh>
    <rPh sb="1" eb="2">
      <t>シマ</t>
    </rPh>
    <phoneticPr fontId="2"/>
  </si>
  <si>
    <t>斉藤</t>
    <rPh sb="0" eb="2">
      <t>サイトウ</t>
    </rPh>
    <phoneticPr fontId="2"/>
  </si>
  <si>
    <t>加藤貴</t>
    <rPh sb="0" eb="2">
      <t>カトウ</t>
    </rPh>
    <rPh sb="2" eb="3">
      <t>タカ</t>
    </rPh>
    <phoneticPr fontId="2"/>
  </si>
  <si>
    <t>11</t>
    <phoneticPr fontId="2"/>
  </si>
  <si>
    <t>12</t>
    <phoneticPr fontId="2"/>
  </si>
  <si>
    <t>吉田　</t>
    <rPh sb="0" eb="2">
      <t>ヨシダ</t>
    </rPh>
    <phoneticPr fontId="2"/>
  </si>
  <si>
    <t>2018・11月、12月　休日夜勤当番表</t>
    <rPh sb="7" eb="8">
      <t>ツキ</t>
    </rPh>
    <rPh sb="11" eb="12">
      <t>ツキ</t>
    </rPh>
    <rPh sb="13" eb="15">
      <t>キュウジツ</t>
    </rPh>
    <rPh sb="15" eb="17">
      <t>ヤキン</t>
    </rPh>
    <rPh sb="17" eb="19">
      <t>トウバン</t>
    </rPh>
    <rPh sb="19" eb="20">
      <t>ヒョウ</t>
    </rPh>
    <phoneticPr fontId="2"/>
  </si>
  <si>
    <t>深田</t>
    <rPh sb="0" eb="2">
      <t>フカタ</t>
    </rPh>
    <phoneticPr fontId="2"/>
  </si>
  <si>
    <t>休み18</t>
    <rPh sb="0" eb="1">
      <t>ヤス</t>
    </rPh>
    <phoneticPr fontId="2"/>
  </si>
  <si>
    <t>新井啓</t>
    <rPh sb="0" eb="2">
      <t>アライ</t>
    </rPh>
    <rPh sb="2" eb="3">
      <t>ケイ</t>
    </rPh>
    <phoneticPr fontId="2"/>
  </si>
  <si>
    <t>高橋武</t>
    <rPh sb="0" eb="2">
      <t>タカハシ</t>
    </rPh>
    <rPh sb="2" eb="3">
      <t>タケ</t>
    </rPh>
    <phoneticPr fontId="2"/>
  </si>
  <si>
    <t>石間戸</t>
    <rPh sb="0" eb="3">
      <t>イシマド</t>
    </rPh>
    <phoneticPr fontId="2"/>
  </si>
  <si>
    <t>岩田</t>
    <rPh sb="0" eb="2">
      <t>イワタ</t>
    </rPh>
    <phoneticPr fontId="2"/>
  </si>
  <si>
    <t>新井秀</t>
    <rPh sb="0" eb="2">
      <t>アライ</t>
    </rPh>
    <rPh sb="2" eb="3">
      <t>シュウ</t>
    </rPh>
    <phoneticPr fontId="2"/>
  </si>
  <si>
    <t>石島</t>
    <rPh sb="0" eb="2">
      <t>イシジマ</t>
    </rPh>
    <phoneticPr fontId="2"/>
  </si>
  <si>
    <t>高橋剛</t>
    <rPh sb="0" eb="2">
      <t>タカハシ</t>
    </rPh>
    <rPh sb="2" eb="3">
      <t>ゴウ</t>
    </rPh>
    <phoneticPr fontId="2"/>
  </si>
  <si>
    <t>新井翔</t>
    <rPh sb="0" eb="2">
      <t>アライ</t>
    </rPh>
    <rPh sb="2" eb="3">
      <t>ショウ</t>
    </rPh>
    <phoneticPr fontId="2"/>
  </si>
  <si>
    <t>加藤誠</t>
    <rPh sb="0" eb="2">
      <t>カトウ</t>
    </rPh>
    <rPh sb="2" eb="3">
      <t>マコト</t>
    </rPh>
    <phoneticPr fontId="2"/>
  </si>
  <si>
    <t>勅使河原</t>
    <rPh sb="0" eb="4">
      <t>テシガワラ</t>
    </rPh>
    <phoneticPr fontId="2"/>
  </si>
  <si>
    <t>高橋拓</t>
    <rPh sb="0" eb="2">
      <t>タカハシ</t>
    </rPh>
    <rPh sb="2" eb="3">
      <t>タク</t>
    </rPh>
    <phoneticPr fontId="2"/>
  </si>
  <si>
    <t>高橋良</t>
    <rPh sb="0" eb="2">
      <t>タカハシ</t>
    </rPh>
    <rPh sb="2" eb="3">
      <t>ヨ</t>
    </rPh>
    <phoneticPr fontId="2"/>
  </si>
  <si>
    <t>髙田</t>
    <rPh sb="0" eb="2">
      <t>タカダ</t>
    </rPh>
    <phoneticPr fontId="2"/>
  </si>
  <si>
    <t>今井</t>
    <rPh sb="0" eb="2">
      <t>イマイ</t>
    </rPh>
    <phoneticPr fontId="2"/>
  </si>
  <si>
    <t>丸山</t>
    <rPh sb="0" eb="2">
      <t>マルヤマ</t>
    </rPh>
    <phoneticPr fontId="2"/>
  </si>
  <si>
    <t>楮本</t>
    <rPh sb="0" eb="2">
      <t>カズモト</t>
    </rPh>
    <phoneticPr fontId="2"/>
  </si>
  <si>
    <t>加隝</t>
    <rPh sb="0" eb="1">
      <t>カ</t>
    </rPh>
    <rPh sb="1" eb="2">
      <t>シマ</t>
    </rPh>
    <phoneticPr fontId="2"/>
  </si>
  <si>
    <t>西澤</t>
    <rPh sb="0" eb="2">
      <t>ニシザワ</t>
    </rPh>
    <phoneticPr fontId="2"/>
  </si>
  <si>
    <t>小林</t>
    <rPh sb="0" eb="2">
      <t>コバヤシ</t>
    </rPh>
    <phoneticPr fontId="2"/>
  </si>
  <si>
    <t>斉藤</t>
    <rPh sb="0" eb="2">
      <t>サイトウ</t>
    </rPh>
    <phoneticPr fontId="2"/>
  </si>
  <si>
    <t>木村</t>
    <rPh sb="0" eb="2">
      <t>キムラ</t>
    </rPh>
    <phoneticPr fontId="2"/>
  </si>
  <si>
    <t>横田</t>
    <rPh sb="0" eb="2">
      <t>ヨコタ</t>
    </rPh>
    <phoneticPr fontId="2"/>
  </si>
  <si>
    <t>※　吉田、横田　日曜20:30~0:15　月～水いずれか休み、月～水or夜勤明け月曜の半日休み</t>
    <rPh sb="2" eb="4">
      <t>ヨシダ</t>
    </rPh>
    <rPh sb="5" eb="7">
      <t>ヨコタ</t>
    </rPh>
    <rPh sb="8" eb="10">
      <t>ニチヨウ</t>
    </rPh>
    <rPh sb="21" eb="22">
      <t>ゲツ</t>
    </rPh>
    <rPh sb="23" eb="24">
      <t>スイ</t>
    </rPh>
    <rPh sb="28" eb="29">
      <t>ヤス</t>
    </rPh>
    <rPh sb="31" eb="32">
      <t>ゲツ</t>
    </rPh>
    <rPh sb="33" eb="34">
      <t>スイ</t>
    </rPh>
    <rPh sb="36" eb="39">
      <t>ヤキンア</t>
    </rPh>
    <rPh sb="40" eb="42">
      <t>ゲツヨウ</t>
    </rPh>
    <rPh sb="43" eb="45">
      <t>ハンニチ</t>
    </rPh>
    <rPh sb="45" eb="46">
      <t>ヤス</t>
    </rPh>
    <phoneticPr fontId="2"/>
  </si>
  <si>
    <t>※</t>
    <phoneticPr fontId="2"/>
  </si>
  <si>
    <t>吉田※</t>
    <rPh sb="0" eb="2">
      <t>ヨシダ</t>
    </rPh>
    <phoneticPr fontId="2"/>
  </si>
  <si>
    <t>※関口　日曜のみ1:00～5:30</t>
    <phoneticPr fontId="2"/>
  </si>
  <si>
    <t>関口※</t>
    <rPh sb="0" eb="2">
      <t>セキグチ</t>
    </rPh>
    <phoneticPr fontId="2"/>
  </si>
  <si>
    <t>横田※</t>
    <rPh sb="0" eb="2">
      <t>ヨコタ</t>
    </rPh>
    <phoneticPr fontId="2"/>
  </si>
  <si>
    <t>※　吉田、横田　日曜20:30~0:15、月～水いずれか休み、月～水or夜勤明け月曜の半日休み</t>
    <rPh sb="2" eb="4">
      <t>ヨシダ</t>
    </rPh>
    <rPh sb="5" eb="7">
      <t>ヨコタ</t>
    </rPh>
    <rPh sb="8" eb="10">
      <t>ニチヨウ</t>
    </rPh>
    <rPh sb="21" eb="22">
      <t>ゲツ</t>
    </rPh>
    <rPh sb="23" eb="24">
      <t>スイ</t>
    </rPh>
    <rPh sb="28" eb="29">
      <t>ヤス</t>
    </rPh>
    <rPh sb="31" eb="32">
      <t>ゲツ</t>
    </rPh>
    <rPh sb="33" eb="34">
      <t>スイ</t>
    </rPh>
    <rPh sb="36" eb="39">
      <t>ヤキンア</t>
    </rPh>
    <rPh sb="40" eb="42">
      <t>ゲツヨウ</t>
    </rPh>
    <rPh sb="43" eb="45">
      <t>ハンニチ</t>
    </rPh>
    <rPh sb="45" eb="46">
      <t>ヤス</t>
    </rPh>
    <phoneticPr fontId="2"/>
  </si>
  <si>
    <t>1</t>
    <phoneticPr fontId="2"/>
  </si>
  <si>
    <t>2</t>
    <phoneticPr fontId="2"/>
  </si>
  <si>
    <t>2019・1月、2月　休日夜勤当番表</t>
    <rPh sb="6" eb="7">
      <t>ツキ</t>
    </rPh>
    <rPh sb="9" eb="10">
      <t>ツキ</t>
    </rPh>
    <rPh sb="11" eb="13">
      <t>キュウジツ</t>
    </rPh>
    <rPh sb="13" eb="15">
      <t>ヤキン</t>
    </rPh>
    <rPh sb="15" eb="17">
      <t>トウバン</t>
    </rPh>
    <rPh sb="17" eb="18">
      <t>ヒョウ</t>
    </rPh>
    <phoneticPr fontId="2"/>
  </si>
  <si>
    <t>石間戸</t>
    <rPh sb="0" eb="3">
      <t>イシマド</t>
    </rPh>
    <phoneticPr fontId="2"/>
  </si>
  <si>
    <t>西澤</t>
    <rPh sb="0" eb="2">
      <t>ニシザワ</t>
    </rPh>
    <phoneticPr fontId="2"/>
  </si>
  <si>
    <t>加藤誠</t>
    <rPh sb="0" eb="2">
      <t>カトウ</t>
    </rPh>
    <rPh sb="2" eb="3">
      <t>マコト</t>
    </rPh>
    <phoneticPr fontId="2"/>
  </si>
  <si>
    <t>高橋剛</t>
    <rPh sb="0" eb="2">
      <t>タカハシ</t>
    </rPh>
    <rPh sb="2" eb="3">
      <t>ゴウ</t>
    </rPh>
    <phoneticPr fontId="2"/>
  </si>
  <si>
    <t>新井翔</t>
    <rPh sb="0" eb="2">
      <t>アライ</t>
    </rPh>
    <rPh sb="2" eb="3">
      <t>ショウ</t>
    </rPh>
    <phoneticPr fontId="2"/>
  </si>
  <si>
    <t>高橋良</t>
    <rPh sb="0" eb="2">
      <t>タカハシ</t>
    </rPh>
    <rPh sb="2" eb="3">
      <t>ヨ</t>
    </rPh>
    <phoneticPr fontId="2"/>
  </si>
  <si>
    <t>石間戸</t>
    <rPh sb="0" eb="3">
      <t>イシマド</t>
    </rPh>
    <phoneticPr fontId="2"/>
  </si>
  <si>
    <t>岩田</t>
    <rPh sb="0" eb="2">
      <t>イワタ</t>
    </rPh>
    <phoneticPr fontId="2"/>
  </si>
  <si>
    <t>大関</t>
    <rPh sb="0" eb="2">
      <t>オオゼキ</t>
    </rPh>
    <phoneticPr fontId="2"/>
  </si>
  <si>
    <t>新井啓</t>
    <rPh sb="0" eb="2">
      <t>アライ</t>
    </rPh>
    <rPh sb="2" eb="3">
      <t>ケイ</t>
    </rPh>
    <phoneticPr fontId="2"/>
  </si>
  <si>
    <t>新井秀</t>
    <rPh sb="0" eb="2">
      <t>アライ</t>
    </rPh>
    <rPh sb="2" eb="3">
      <t>シュウ</t>
    </rPh>
    <phoneticPr fontId="2"/>
  </si>
  <si>
    <t>石島</t>
    <rPh sb="0" eb="2">
      <t>イシジマ</t>
    </rPh>
    <phoneticPr fontId="2"/>
  </si>
  <si>
    <t>高橋武</t>
    <rPh sb="0" eb="2">
      <t>タカハシ</t>
    </rPh>
    <rPh sb="2" eb="3">
      <t>タケ</t>
    </rPh>
    <phoneticPr fontId="2"/>
  </si>
  <si>
    <t>加隝</t>
    <rPh sb="0" eb="1">
      <t>カ</t>
    </rPh>
    <rPh sb="1" eb="2">
      <t>シマ</t>
    </rPh>
    <phoneticPr fontId="2"/>
  </si>
  <si>
    <t>加藤貴</t>
    <rPh sb="0" eb="2">
      <t>カトウ</t>
    </rPh>
    <rPh sb="2" eb="3">
      <t>タカシ</t>
    </rPh>
    <phoneticPr fontId="2"/>
  </si>
  <si>
    <t>楮本</t>
    <rPh sb="0" eb="2">
      <t>カズモト</t>
    </rPh>
    <phoneticPr fontId="2"/>
  </si>
  <si>
    <t>新井翔</t>
    <rPh sb="0" eb="2">
      <t>アライ</t>
    </rPh>
    <rPh sb="2" eb="3">
      <t>ショウ</t>
    </rPh>
    <phoneticPr fontId="2"/>
  </si>
  <si>
    <t>今井</t>
    <rPh sb="0" eb="2">
      <t>イマイ</t>
    </rPh>
    <phoneticPr fontId="2"/>
  </si>
  <si>
    <t>高橋良</t>
    <rPh sb="0" eb="2">
      <t>タカハシ</t>
    </rPh>
    <rPh sb="2" eb="3">
      <t>ヨ</t>
    </rPh>
    <phoneticPr fontId="2"/>
  </si>
  <si>
    <t>木村</t>
    <rPh sb="0" eb="2">
      <t>キムラ</t>
    </rPh>
    <phoneticPr fontId="2"/>
  </si>
  <si>
    <t>斉藤</t>
    <rPh sb="0" eb="2">
      <t>サイトウ</t>
    </rPh>
    <phoneticPr fontId="2"/>
  </si>
  <si>
    <t>勅使河原</t>
    <rPh sb="0" eb="4">
      <t>テシガワラ</t>
    </rPh>
    <phoneticPr fontId="2"/>
  </si>
  <si>
    <t>高橋拓</t>
    <rPh sb="0" eb="2">
      <t>タカハシ</t>
    </rPh>
    <rPh sb="2" eb="3">
      <t>タク</t>
    </rPh>
    <phoneticPr fontId="2"/>
  </si>
  <si>
    <t>休み19</t>
    <rPh sb="0" eb="1">
      <t>ヤス</t>
    </rPh>
    <phoneticPr fontId="2"/>
  </si>
  <si>
    <t>高橋剛</t>
    <rPh sb="0" eb="2">
      <t>タカハシ</t>
    </rPh>
    <rPh sb="2" eb="3">
      <t>ゴウ</t>
    </rPh>
    <phoneticPr fontId="2"/>
  </si>
  <si>
    <t>今井</t>
    <rPh sb="0" eb="2">
      <t>イマイ</t>
    </rPh>
    <phoneticPr fontId="2"/>
  </si>
  <si>
    <t>加嶋</t>
    <rPh sb="0" eb="2">
      <t>カシマ</t>
    </rPh>
    <phoneticPr fontId="2"/>
  </si>
  <si>
    <t>髙田</t>
    <rPh sb="0" eb="2">
      <t>タカダ</t>
    </rPh>
    <phoneticPr fontId="2"/>
  </si>
  <si>
    <t>斉藤</t>
    <rPh sb="0" eb="2">
      <t>サイトウ</t>
    </rPh>
    <phoneticPr fontId="2"/>
  </si>
  <si>
    <t>勅使河原</t>
    <rPh sb="0" eb="4">
      <t>テシガワラ</t>
    </rPh>
    <phoneticPr fontId="2"/>
  </si>
  <si>
    <t>新井翔</t>
    <rPh sb="0" eb="3">
      <t>アライショウ</t>
    </rPh>
    <phoneticPr fontId="2"/>
  </si>
  <si>
    <t>高橋拓</t>
    <rPh sb="0" eb="3">
      <t>タカハシタク</t>
    </rPh>
    <phoneticPr fontId="2"/>
  </si>
  <si>
    <t>加藤誠</t>
    <rPh sb="0" eb="3">
      <t>カトウマコト</t>
    </rPh>
    <phoneticPr fontId="2"/>
  </si>
  <si>
    <t>加藤貴</t>
    <rPh sb="0" eb="3">
      <t>カトウタカシ</t>
    </rPh>
    <phoneticPr fontId="2"/>
  </si>
  <si>
    <t>高橋良</t>
    <rPh sb="0" eb="3">
      <t>タカハシヨシ</t>
    </rPh>
    <phoneticPr fontId="2"/>
  </si>
  <si>
    <t>丸山</t>
    <rPh sb="0" eb="2">
      <t>マルヤマ</t>
    </rPh>
    <phoneticPr fontId="2"/>
  </si>
  <si>
    <t>木村</t>
    <rPh sb="0" eb="2">
      <t>キムラ</t>
    </rPh>
    <phoneticPr fontId="2"/>
  </si>
  <si>
    <t>加藤貴</t>
    <rPh sb="0" eb="2">
      <t>カトウ</t>
    </rPh>
    <rPh sb="2" eb="3">
      <t>タカシ</t>
    </rPh>
    <phoneticPr fontId="2"/>
  </si>
  <si>
    <t>夜勤なし</t>
    <rPh sb="0" eb="2">
      <t>ヤキン</t>
    </rPh>
    <phoneticPr fontId="2"/>
  </si>
  <si>
    <t>　　　　備考　・関口　日曜のみ1:00～5:30</t>
    <rPh sb="4" eb="6">
      <t>ビコウ</t>
    </rPh>
    <rPh sb="8" eb="10">
      <t>セキグチ</t>
    </rPh>
    <rPh sb="11" eb="13">
      <t>ニチヨウ</t>
    </rPh>
    <phoneticPr fontId="2"/>
  </si>
  <si>
    <t>浅見</t>
    <rPh sb="0" eb="2">
      <t>アサミ</t>
    </rPh>
    <phoneticPr fontId="2"/>
  </si>
  <si>
    <t>当番不可</t>
    <rPh sb="0" eb="2">
      <t>トウバン</t>
    </rPh>
    <rPh sb="2" eb="4">
      <t>フカ</t>
    </rPh>
    <phoneticPr fontId="2"/>
  </si>
  <si>
    <t>2019・3月、4月　休日夜勤当番表</t>
    <rPh sb="6" eb="7">
      <t>ツキ</t>
    </rPh>
    <rPh sb="9" eb="10">
      <t>ツキ</t>
    </rPh>
    <rPh sb="11" eb="13">
      <t>キュウジツ</t>
    </rPh>
    <rPh sb="13" eb="15">
      <t>ヤキン</t>
    </rPh>
    <rPh sb="15" eb="17">
      <t>トウバン</t>
    </rPh>
    <rPh sb="17" eb="18">
      <t>ヒョウ</t>
    </rPh>
    <phoneticPr fontId="2"/>
  </si>
  <si>
    <t>3</t>
    <phoneticPr fontId="2"/>
  </si>
  <si>
    <t>4</t>
    <phoneticPr fontId="2"/>
  </si>
  <si>
    <t>3.4月</t>
    <rPh sb="3" eb="4">
      <t>ツキ</t>
    </rPh>
    <phoneticPr fontId="2"/>
  </si>
  <si>
    <t>新井洋</t>
    <rPh sb="0" eb="2">
      <t>アライ</t>
    </rPh>
    <rPh sb="2" eb="3">
      <t>ヨウ</t>
    </rPh>
    <phoneticPr fontId="2"/>
  </si>
  <si>
    <t>横田</t>
    <rPh sb="0" eb="2">
      <t>ヨコタ</t>
    </rPh>
    <phoneticPr fontId="2"/>
  </si>
  <si>
    <t>吉田</t>
    <rPh sb="0" eb="2">
      <t>ヨシダ</t>
    </rPh>
    <phoneticPr fontId="2"/>
  </si>
  <si>
    <t>→</t>
    <phoneticPr fontId="2"/>
  </si>
  <si>
    <t>浅見</t>
    <rPh sb="0" eb="2">
      <t>アサミ</t>
    </rPh>
    <phoneticPr fontId="2"/>
  </si>
  <si>
    <t>関口</t>
    <rPh sb="0" eb="2">
      <t>セキグチ</t>
    </rPh>
    <phoneticPr fontId="2"/>
  </si>
  <si>
    <t>今井</t>
    <rPh sb="0" eb="2">
      <t>イマイ</t>
    </rPh>
    <phoneticPr fontId="2"/>
  </si>
  <si>
    <t>新井洋</t>
    <rPh sb="0" eb="2">
      <t>アライ</t>
    </rPh>
    <rPh sb="2" eb="3">
      <t>ヨウ</t>
    </rPh>
    <phoneticPr fontId="2"/>
  </si>
  <si>
    <t>3/4～3/10</t>
    <phoneticPr fontId="2"/>
  </si>
  <si>
    <t>3/18～3/24</t>
    <phoneticPr fontId="2"/>
  </si>
  <si>
    <t>勅使河原</t>
    <rPh sb="0" eb="4">
      <t>テシガワラ</t>
    </rPh>
    <phoneticPr fontId="2"/>
  </si>
  <si>
    <t>加藤誠</t>
    <rPh sb="0" eb="3">
      <t>カトウマコト</t>
    </rPh>
    <phoneticPr fontId="2"/>
  </si>
  <si>
    <t>斉藤</t>
    <rPh sb="0" eb="2">
      <t>サイトウ</t>
    </rPh>
    <phoneticPr fontId="2"/>
  </si>
  <si>
    <t>小林</t>
    <rPh sb="0" eb="2">
      <t>コバヤシ</t>
    </rPh>
    <phoneticPr fontId="2"/>
  </si>
  <si>
    <t>木村</t>
    <rPh sb="0" eb="2">
      <t>キムラ</t>
    </rPh>
    <phoneticPr fontId="2"/>
  </si>
  <si>
    <t>石間戸</t>
    <rPh sb="0" eb="2">
      <t>イシマ</t>
    </rPh>
    <rPh sb="2" eb="3">
      <t>ト</t>
    </rPh>
    <phoneticPr fontId="2"/>
  </si>
  <si>
    <t>丸山</t>
    <rPh sb="0" eb="2">
      <t>マルヤマ</t>
    </rPh>
    <phoneticPr fontId="2"/>
  </si>
  <si>
    <t>新井秀</t>
    <rPh sb="0" eb="3">
      <t>アライシュウ</t>
    </rPh>
    <phoneticPr fontId="2"/>
  </si>
  <si>
    <t>新井啓</t>
    <rPh sb="0" eb="2">
      <t>アライ</t>
    </rPh>
    <rPh sb="2" eb="3">
      <t>ケイ</t>
    </rPh>
    <phoneticPr fontId="2"/>
  </si>
  <si>
    <t>石間戸</t>
    <rPh sb="0" eb="3">
      <t>イシマド</t>
    </rPh>
    <phoneticPr fontId="2"/>
  </si>
  <si>
    <t>岩田</t>
    <rPh sb="0" eb="2">
      <t>イワタ</t>
    </rPh>
    <phoneticPr fontId="2"/>
  </si>
  <si>
    <t>石島</t>
    <rPh sb="0" eb="2">
      <t>イシジマ</t>
    </rPh>
    <phoneticPr fontId="2"/>
  </si>
  <si>
    <t>高橋武</t>
    <rPh sb="0" eb="3">
      <t>タカハシタケ</t>
    </rPh>
    <phoneticPr fontId="2"/>
  </si>
  <si>
    <t>高橋良</t>
    <rPh sb="0" eb="2">
      <t>タカハシ</t>
    </rPh>
    <rPh sb="2" eb="3">
      <t>ヨ</t>
    </rPh>
    <phoneticPr fontId="2"/>
  </si>
  <si>
    <t>楮本</t>
    <rPh sb="0" eb="2">
      <t>カズモト</t>
    </rPh>
    <phoneticPr fontId="2"/>
  </si>
  <si>
    <t>当番可</t>
    <rPh sb="0" eb="2">
      <t>トウバン</t>
    </rPh>
    <rPh sb="2" eb="3">
      <t>カ</t>
    </rPh>
    <phoneticPr fontId="2"/>
  </si>
  <si>
    <t>深田</t>
    <rPh sb="0" eb="2">
      <t>フカタ</t>
    </rPh>
    <phoneticPr fontId="2"/>
  </si>
  <si>
    <t>5</t>
    <phoneticPr fontId="2"/>
  </si>
  <si>
    <t>6</t>
    <phoneticPr fontId="2"/>
  </si>
  <si>
    <t>松田</t>
    <rPh sb="0" eb="2">
      <t>マツダ</t>
    </rPh>
    <phoneticPr fontId="2"/>
  </si>
  <si>
    <t>2019・5月、6月　休日夜勤当番表</t>
    <rPh sb="6" eb="7">
      <t>ツキ</t>
    </rPh>
    <rPh sb="9" eb="10">
      <t>ツキ</t>
    </rPh>
    <rPh sb="11" eb="13">
      <t>キュウジツ</t>
    </rPh>
    <rPh sb="13" eb="15">
      <t>ヤキン</t>
    </rPh>
    <rPh sb="15" eb="17">
      <t>トウバン</t>
    </rPh>
    <rPh sb="17" eb="18">
      <t>ヒョウ</t>
    </rPh>
    <phoneticPr fontId="2"/>
  </si>
  <si>
    <t>5.6月</t>
    <rPh sb="3" eb="4">
      <t>ツキ</t>
    </rPh>
    <phoneticPr fontId="2"/>
  </si>
  <si>
    <t>5/13～5/19</t>
    <phoneticPr fontId="2"/>
  </si>
  <si>
    <t>月一回程度</t>
    <rPh sb="0" eb="1">
      <t>ツキ</t>
    </rPh>
    <rPh sb="1" eb="3">
      <t>イッカイ</t>
    </rPh>
    <rPh sb="3" eb="5">
      <t>テイド</t>
    </rPh>
    <phoneticPr fontId="2"/>
  </si>
  <si>
    <t>休み15</t>
    <rPh sb="0" eb="1">
      <t>ヤス</t>
    </rPh>
    <phoneticPr fontId="2"/>
  </si>
  <si>
    <t>新井秀</t>
    <rPh sb="0" eb="2">
      <t>アライ</t>
    </rPh>
    <rPh sb="2" eb="3">
      <t>シュウ</t>
    </rPh>
    <phoneticPr fontId="2"/>
  </si>
  <si>
    <t>高橋武</t>
    <rPh sb="0" eb="2">
      <t>タカハシ</t>
    </rPh>
    <rPh sb="2" eb="3">
      <t>タケ</t>
    </rPh>
    <phoneticPr fontId="2"/>
  </si>
  <si>
    <t>新井啓</t>
    <rPh sb="0" eb="2">
      <t>アライ</t>
    </rPh>
    <rPh sb="2" eb="3">
      <t>ケイ</t>
    </rPh>
    <phoneticPr fontId="2"/>
  </si>
  <si>
    <t>松田</t>
    <rPh sb="0" eb="2">
      <t>マツダ</t>
    </rPh>
    <phoneticPr fontId="2"/>
  </si>
  <si>
    <t>夜4</t>
    <rPh sb="0" eb="1">
      <t>ヨル</t>
    </rPh>
    <phoneticPr fontId="2"/>
  </si>
  <si>
    <t>夜4</t>
    <rPh sb="0" eb="1">
      <t>ヨル</t>
    </rPh>
    <phoneticPr fontId="2"/>
  </si>
  <si>
    <t>7</t>
    <phoneticPr fontId="2"/>
  </si>
  <si>
    <t>2019・7月、8月　休日夜勤当番表</t>
    <rPh sb="6" eb="7">
      <t>ツキ</t>
    </rPh>
    <rPh sb="9" eb="10">
      <t>ツキ</t>
    </rPh>
    <rPh sb="11" eb="13">
      <t>キュウジツ</t>
    </rPh>
    <rPh sb="13" eb="15">
      <t>ヤキン</t>
    </rPh>
    <rPh sb="15" eb="17">
      <t>トウバン</t>
    </rPh>
    <rPh sb="17" eb="18">
      <t>ヒョウ</t>
    </rPh>
    <phoneticPr fontId="2"/>
  </si>
  <si>
    <t>小林</t>
    <rPh sb="0" eb="2">
      <t>コバヤシ</t>
    </rPh>
    <phoneticPr fontId="2"/>
  </si>
  <si>
    <t>夜勤不可</t>
    <rPh sb="0" eb="2">
      <t>ヤキン</t>
    </rPh>
    <rPh sb="2" eb="4">
      <t>フカ</t>
    </rPh>
    <phoneticPr fontId="2"/>
  </si>
  <si>
    <t>7/1～</t>
    <phoneticPr fontId="2"/>
  </si>
  <si>
    <t>7.8月</t>
    <rPh sb="3" eb="4">
      <t>ツキ</t>
    </rPh>
    <phoneticPr fontId="2"/>
  </si>
  <si>
    <t>→</t>
    <phoneticPr fontId="2"/>
  </si>
  <si>
    <t>吉田</t>
    <rPh sb="0" eb="2">
      <t>ヨシダ</t>
    </rPh>
    <phoneticPr fontId="2"/>
  </si>
  <si>
    <t>横田</t>
    <rPh sb="0" eb="2">
      <t>ヨコタ</t>
    </rPh>
    <phoneticPr fontId="2"/>
  </si>
  <si>
    <t>浅見</t>
    <rPh sb="0" eb="2">
      <t>アサミ</t>
    </rPh>
    <phoneticPr fontId="2"/>
  </si>
  <si>
    <t>関口</t>
    <rPh sb="0" eb="2">
      <t>セキグチ</t>
    </rPh>
    <phoneticPr fontId="2"/>
  </si>
  <si>
    <t>丸山　</t>
    <rPh sb="0" eb="2">
      <t>マルヤマ</t>
    </rPh>
    <phoneticPr fontId="2"/>
  </si>
  <si>
    <t>7/中～</t>
    <rPh sb="2" eb="3">
      <t>チュウ</t>
    </rPh>
    <phoneticPr fontId="2"/>
  </si>
  <si>
    <t>今井</t>
    <rPh sb="0" eb="2">
      <t>イマイ</t>
    </rPh>
    <phoneticPr fontId="2"/>
  </si>
  <si>
    <t>高橋武</t>
    <rPh sb="0" eb="2">
      <t>タカハシ</t>
    </rPh>
    <rPh sb="2" eb="3">
      <t>タケ</t>
    </rPh>
    <phoneticPr fontId="2"/>
  </si>
  <si>
    <t>高橋良</t>
    <rPh sb="0" eb="2">
      <t>タカハシ</t>
    </rPh>
    <rPh sb="2" eb="3">
      <t>ヨ</t>
    </rPh>
    <phoneticPr fontId="2"/>
  </si>
  <si>
    <t>新井翔</t>
    <rPh sb="0" eb="2">
      <t>アライ</t>
    </rPh>
    <rPh sb="2" eb="3">
      <t>ショウ</t>
    </rPh>
    <phoneticPr fontId="2"/>
  </si>
  <si>
    <t>加藤貴</t>
    <rPh sb="0" eb="2">
      <t>カトウ</t>
    </rPh>
    <rPh sb="2" eb="3">
      <t>タカシ</t>
    </rPh>
    <phoneticPr fontId="2"/>
  </si>
  <si>
    <t>髙田</t>
    <rPh sb="0" eb="2">
      <t>タカダ</t>
    </rPh>
    <phoneticPr fontId="2"/>
  </si>
  <si>
    <t>OK</t>
    <phoneticPr fontId="2"/>
  </si>
  <si>
    <t>加藤誠</t>
    <rPh sb="0" eb="2">
      <t>カトウ</t>
    </rPh>
    <rPh sb="2" eb="3">
      <t>マコト</t>
    </rPh>
    <phoneticPr fontId="2"/>
  </si>
  <si>
    <t>木村</t>
    <rPh sb="0" eb="2">
      <t>キムラ</t>
    </rPh>
    <phoneticPr fontId="2"/>
  </si>
  <si>
    <t>新井洋</t>
    <rPh sb="0" eb="2">
      <t>アライ</t>
    </rPh>
    <rPh sb="2" eb="3">
      <t>ヨウ</t>
    </rPh>
    <phoneticPr fontId="2"/>
  </si>
  <si>
    <t>8/26～</t>
    <phoneticPr fontId="2"/>
  </si>
  <si>
    <t>勅使河原</t>
    <rPh sb="0" eb="4">
      <t>テシガワラ</t>
    </rPh>
    <phoneticPr fontId="2"/>
  </si>
  <si>
    <t>木村</t>
    <rPh sb="0" eb="2">
      <t>キムラ</t>
    </rPh>
    <phoneticPr fontId="2"/>
  </si>
  <si>
    <t>小林</t>
    <rPh sb="0" eb="2">
      <t>コバヤシ</t>
    </rPh>
    <phoneticPr fontId="2"/>
  </si>
  <si>
    <t>丸山</t>
    <rPh sb="0" eb="2">
      <t>マルヤマ</t>
    </rPh>
    <phoneticPr fontId="2"/>
  </si>
  <si>
    <t>高橋剛</t>
    <rPh sb="0" eb="2">
      <t>タカハシ</t>
    </rPh>
    <rPh sb="2" eb="3">
      <t>ゴウ</t>
    </rPh>
    <phoneticPr fontId="2"/>
  </si>
  <si>
    <t>加藤貴</t>
    <rPh sb="0" eb="2">
      <t>カトウ</t>
    </rPh>
    <rPh sb="2" eb="3">
      <t>タカシ</t>
    </rPh>
    <phoneticPr fontId="2"/>
  </si>
  <si>
    <t>楮本</t>
    <rPh sb="0" eb="2">
      <t>カズモト</t>
    </rPh>
    <phoneticPr fontId="2"/>
  </si>
  <si>
    <t>西澤</t>
    <rPh sb="0" eb="2">
      <t>ニシザワ</t>
    </rPh>
    <phoneticPr fontId="2"/>
  </si>
  <si>
    <t>新井洋</t>
    <rPh sb="0" eb="2">
      <t>アライ</t>
    </rPh>
    <rPh sb="2" eb="3">
      <t>ヨウ</t>
    </rPh>
    <phoneticPr fontId="2"/>
  </si>
  <si>
    <t>深田</t>
    <rPh sb="0" eb="2">
      <t>フカタ</t>
    </rPh>
    <phoneticPr fontId="2"/>
  </si>
  <si>
    <t>高橋武</t>
    <rPh sb="0" eb="2">
      <t>タカハシ</t>
    </rPh>
    <rPh sb="2" eb="3">
      <t>タケ</t>
    </rPh>
    <phoneticPr fontId="2"/>
  </si>
  <si>
    <t>石間戸</t>
    <rPh sb="0" eb="3">
      <t>イシマド</t>
    </rPh>
    <phoneticPr fontId="2"/>
  </si>
  <si>
    <t>新井秀</t>
    <rPh sb="0" eb="2">
      <t>アライ</t>
    </rPh>
    <rPh sb="2" eb="3">
      <t>シュウ</t>
    </rPh>
    <phoneticPr fontId="2"/>
  </si>
  <si>
    <t>今井</t>
    <rPh sb="0" eb="2">
      <t>イマイ</t>
    </rPh>
    <phoneticPr fontId="2"/>
  </si>
  <si>
    <t>楮本</t>
    <rPh sb="0" eb="2">
      <t>カズモト</t>
    </rPh>
    <phoneticPr fontId="2"/>
  </si>
  <si>
    <t>高橋拓</t>
    <rPh sb="0" eb="2">
      <t>タカハシ</t>
    </rPh>
    <rPh sb="2" eb="3">
      <t>タク</t>
    </rPh>
    <phoneticPr fontId="2"/>
  </si>
  <si>
    <t>斉藤</t>
    <rPh sb="0" eb="2">
      <t>サイトウ</t>
    </rPh>
    <phoneticPr fontId="2"/>
  </si>
  <si>
    <t>加隝</t>
    <rPh sb="0" eb="1">
      <t>カ</t>
    </rPh>
    <rPh sb="1" eb="2">
      <t>シマ</t>
    </rPh>
    <phoneticPr fontId="2"/>
  </si>
  <si>
    <t>楮本</t>
    <rPh sb="0" eb="2">
      <t>カズモト</t>
    </rPh>
    <phoneticPr fontId="2"/>
  </si>
  <si>
    <t>加藤誠</t>
    <rPh sb="0" eb="2">
      <t>カトウ</t>
    </rPh>
    <rPh sb="2" eb="3">
      <t>マコト</t>
    </rPh>
    <phoneticPr fontId="2"/>
  </si>
  <si>
    <t>丸山</t>
    <rPh sb="0" eb="2">
      <t>マルヤマ</t>
    </rPh>
    <phoneticPr fontId="2"/>
  </si>
  <si>
    <t>小林</t>
    <rPh sb="0" eb="2">
      <t>コバヤシ</t>
    </rPh>
    <phoneticPr fontId="2"/>
  </si>
  <si>
    <t>岩田</t>
    <rPh sb="0" eb="2">
      <t>イワタ</t>
    </rPh>
    <phoneticPr fontId="2"/>
  </si>
  <si>
    <t>木村</t>
    <rPh sb="0" eb="2">
      <t>キムラ</t>
    </rPh>
    <phoneticPr fontId="2"/>
  </si>
  <si>
    <t>加隝</t>
    <rPh sb="0" eb="1">
      <t>カ</t>
    </rPh>
    <rPh sb="1" eb="2">
      <t>シマ</t>
    </rPh>
    <phoneticPr fontId="2"/>
  </si>
  <si>
    <t>新井洋</t>
    <rPh sb="0" eb="2">
      <t>アライ</t>
    </rPh>
    <rPh sb="2" eb="3">
      <t>ヨウ</t>
    </rPh>
    <phoneticPr fontId="2"/>
  </si>
  <si>
    <t>石間戸</t>
    <rPh sb="0" eb="3">
      <t>イシマド</t>
    </rPh>
    <phoneticPr fontId="2"/>
  </si>
  <si>
    <t>新井秀</t>
    <rPh sb="0" eb="2">
      <t>アライ</t>
    </rPh>
    <rPh sb="2" eb="3">
      <t>シュウ</t>
    </rPh>
    <phoneticPr fontId="2"/>
  </si>
  <si>
    <t>新井啓</t>
    <rPh sb="0" eb="2">
      <t>アライ</t>
    </rPh>
    <rPh sb="2" eb="3">
      <t>ケイ</t>
    </rPh>
    <phoneticPr fontId="2"/>
  </si>
  <si>
    <t>斉藤</t>
    <rPh sb="0" eb="2">
      <t>サイトウ</t>
    </rPh>
    <phoneticPr fontId="2"/>
  </si>
  <si>
    <t>高橋剛</t>
    <rPh sb="0" eb="2">
      <t>タカハシ</t>
    </rPh>
    <rPh sb="2" eb="3">
      <t>ゴウ</t>
    </rPh>
    <phoneticPr fontId="2"/>
  </si>
  <si>
    <t>深田</t>
    <rPh sb="0" eb="2">
      <t>フカタ</t>
    </rPh>
    <phoneticPr fontId="2"/>
  </si>
  <si>
    <t>楮本</t>
    <rPh sb="0" eb="2">
      <t>カズモト</t>
    </rPh>
    <phoneticPr fontId="2"/>
  </si>
  <si>
    <t>2019・9月、10月　休日夜勤当番表</t>
    <rPh sb="6" eb="7">
      <t>ツキ</t>
    </rPh>
    <rPh sb="10" eb="11">
      <t>ツキ</t>
    </rPh>
    <rPh sb="12" eb="14">
      <t>キュウジツ</t>
    </rPh>
    <rPh sb="14" eb="16">
      <t>ヤキン</t>
    </rPh>
    <rPh sb="16" eb="18">
      <t>トウバン</t>
    </rPh>
    <rPh sb="18" eb="19">
      <t>ヒョウ</t>
    </rPh>
    <phoneticPr fontId="2"/>
  </si>
  <si>
    <t>9.10月</t>
    <rPh sb="4" eb="5">
      <t>ツキ</t>
    </rPh>
    <phoneticPr fontId="2"/>
  </si>
  <si>
    <t>新井翔</t>
    <rPh sb="0" eb="2">
      <t>アライ</t>
    </rPh>
    <rPh sb="2" eb="3">
      <t>ショウ</t>
    </rPh>
    <phoneticPr fontId="2"/>
  </si>
  <si>
    <t>新井啓</t>
    <rPh sb="0" eb="2">
      <t>アライ</t>
    </rPh>
    <rPh sb="2" eb="3">
      <t>ケイ</t>
    </rPh>
    <phoneticPr fontId="2"/>
  </si>
  <si>
    <t>深田</t>
    <rPh sb="0" eb="2">
      <t>フカタ</t>
    </rPh>
    <phoneticPr fontId="2"/>
  </si>
  <si>
    <t>OK</t>
    <phoneticPr fontId="2"/>
  </si>
  <si>
    <t>高橋武</t>
    <rPh sb="0" eb="2">
      <t>タカハシ</t>
    </rPh>
    <rPh sb="2" eb="3">
      <t>タケ</t>
    </rPh>
    <phoneticPr fontId="2"/>
  </si>
  <si>
    <t>石間戸</t>
    <rPh sb="0" eb="3">
      <t>イシマド</t>
    </rPh>
    <phoneticPr fontId="2"/>
  </si>
  <si>
    <t>新井秀</t>
    <rPh sb="0" eb="2">
      <t>アライ</t>
    </rPh>
    <rPh sb="2" eb="3">
      <t>シュウ</t>
    </rPh>
    <phoneticPr fontId="2"/>
  </si>
  <si>
    <t>大関</t>
    <rPh sb="0" eb="2">
      <t>オオゼキ</t>
    </rPh>
    <phoneticPr fontId="2"/>
  </si>
  <si>
    <t>岩田</t>
    <rPh sb="0" eb="2">
      <t>イワタ</t>
    </rPh>
    <phoneticPr fontId="2"/>
  </si>
  <si>
    <t>木村</t>
    <rPh sb="0" eb="2">
      <t>キムラ</t>
    </rPh>
    <phoneticPr fontId="2"/>
  </si>
  <si>
    <t>石間戸</t>
    <rPh sb="0" eb="3">
      <t>イシマド</t>
    </rPh>
    <phoneticPr fontId="2"/>
  </si>
  <si>
    <t>高橋拓</t>
    <rPh sb="0" eb="2">
      <t>タカハシ</t>
    </rPh>
    <rPh sb="2" eb="3">
      <t>タク</t>
    </rPh>
    <phoneticPr fontId="2"/>
  </si>
  <si>
    <t>勅使河原</t>
    <rPh sb="0" eb="4">
      <t>テシガワラ</t>
    </rPh>
    <phoneticPr fontId="2"/>
  </si>
  <si>
    <t>新井洋</t>
    <rPh sb="0" eb="2">
      <t>アライ</t>
    </rPh>
    <rPh sb="2" eb="3">
      <t>ヨウ</t>
    </rPh>
    <phoneticPr fontId="2"/>
  </si>
  <si>
    <t>加藤貴</t>
    <rPh sb="0" eb="2">
      <t>カトウ</t>
    </rPh>
    <rPh sb="2" eb="3">
      <t>タカシ</t>
    </rPh>
    <phoneticPr fontId="2"/>
  </si>
  <si>
    <t>9/23夜勤</t>
    <rPh sb="4" eb="6">
      <t>ヤキン</t>
    </rPh>
    <phoneticPr fontId="2"/>
  </si>
  <si>
    <t>楮本</t>
    <rPh sb="0" eb="2">
      <t>カズモト</t>
    </rPh>
    <phoneticPr fontId="2"/>
  </si>
  <si>
    <t>石間戸</t>
    <rPh sb="0" eb="3">
      <t>イシマド</t>
    </rPh>
    <phoneticPr fontId="2"/>
  </si>
  <si>
    <t>岩田</t>
    <rPh sb="0" eb="2">
      <t>イワタ</t>
    </rPh>
    <phoneticPr fontId="2"/>
  </si>
  <si>
    <t>髙田</t>
    <rPh sb="0" eb="2">
      <t>タカダ</t>
    </rPh>
    <phoneticPr fontId="2"/>
  </si>
  <si>
    <t>加藤貴</t>
    <rPh sb="0" eb="2">
      <t>カトウ</t>
    </rPh>
    <rPh sb="2" eb="3">
      <t>タカシ</t>
    </rPh>
    <phoneticPr fontId="2"/>
  </si>
  <si>
    <t>高橋拓</t>
    <rPh sb="0" eb="2">
      <t>タカハシ</t>
    </rPh>
    <rPh sb="2" eb="3">
      <t>タク</t>
    </rPh>
    <phoneticPr fontId="2"/>
  </si>
  <si>
    <t>楮本</t>
    <rPh sb="0" eb="2">
      <t>カズモト</t>
    </rPh>
    <phoneticPr fontId="2"/>
  </si>
  <si>
    <t>勅使河原</t>
    <rPh sb="0" eb="4">
      <t>テシガワラ</t>
    </rPh>
    <phoneticPr fontId="2"/>
  </si>
  <si>
    <t>髙田</t>
    <rPh sb="0" eb="2">
      <t>タカダ</t>
    </rPh>
    <phoneticPr fontId="2"/>
  </si>
  <si>
    <t>高橋良</t>
    <rPh sb="0" eb="2">
      <t>タカハシ</t>
    </rPh>
    <rPh sb="2" eb="3">
      <t>ヨ</t>
    </rPh>
    <phoneticPr fontId="2"/>
  </si>
  <si>
    <t>今井</t>
    <rPh sb="0" eb="2">
      <t>イマイ</t>
    </rPh>
    <phoneticPr fontId="2"/>
  </si>
  <si>
    <t>新井翔</t>
    <rPh sb="0" eb="2">
      <t>アライ</t>
    </rPh>
    <rPh sb="2" eb="3">
      <t>ショウ</t>
    </rPh>
    <phoneticPr fontId="2"/>
  </si>
  <si>
    <t>小林</t>
    <rPh sb="0" eb="2">
      <t>コバヤシ</t>
    </rPh>
    <phoneticPr fontId="2"/>
  </si>
  <si>
    <t>加藤誠</t>
    <rPh sb="0" eb="2">
      <t>カトウ</t>
    </rPh>
    <rPh sb="2" eb="3">
      <t>マコト</t>
    </rPh>
    <phoneticPr fontId="2"/>
  </si>
  <si>
    <t>木村</t>
    <rPh sb="0" eb="2">
      <t>キムラ</t>
    </rPh>
    <phoneticPr fontId="2"/>
  </si>
  <si>
    <t>加隝</t>
    <rPh sb="0" eb="1">
      <t>カ</t>
    </rPh>
    <rPh sb="1" eb="2">
      <t>シマ</t>
    </rPh>
    <phoneticPr fontId="2"/>
  </si>
  <si>
    <t>高橋剛</t>
    <rPh sb="0" eb="2">
      <t>タカハシ</t>
    </rPh>
    <rPh sb="2" eb="3">
      <t>ゴウ</t>
    </rPh>
    <phoneticPr fontId="2"/>
  </si>
  <si>
    <t>斉藤</t>
    <rPh sb="0" eb="2">
      <t>サイトウ</t>
    </rPh>
    <phoneticPr fontId="2"/>
  </si>
  <si>
    <t>新井洋</t>
    <rPh sb="0" eb="2">
      <t>アライ</t>
    </rPh>
    <rPh sb="2" eb="3">
      <t>ヨウ</t>
    </rPh>
    <phoneticPr fontId="2"/>
  </si>
  <si>
    <t>新井秀</t>
    <rPh sb="0" eb="2">
      <t>アライ</t>
    </rPh>
    <rPh sb="2" eb="3">
      <t>シュウ</t>
    </rPh>
    <phoneticPr fontId="2"/>
  </si>
  <si>
    <t>大関</t>
    <rPh sb="0" eb="2">
      <t>オオゼキ</t>
    </rPh>
    <phoneticPr fontId="2"/>
  </si>
  <si>
    <t>2019・11月、12月　休日夜勤当番表</t>
    <rPh sb="7" eb="8">
      <t>ツキ</t>
    </rPh>
    <rPh sb="11" eb="12">
      <t>ツキ</t>
    </rPh>
    <rPh sb="13" eb="15">
      <t>キュウジツ</t>
    </rPh>
    <rPh sb="15" eb="17">
      <t>ヤキン</t>
    </rPh>
    <rPh sb="17" eb="19">
      <t>トウバン</t>
    </rPh>
    <rPh sb="19" eb="20">
      <t>ヒョウ</t>
    </rPh>
    <phoneticPr fontId="2"/>
  </si>
  <si>
    <t>11.12月</t>
    <rPh sb="5" eb="6">
      <t>ツキ</t>
    </rPh>
    <phoneticPr fontId="2"/>
  </si>
  <si>
    <t>横田</t>
    <rPh sb="0" eb="2">
      <t>ヨコタ</t>
    </rPh>
    <phoneticPr fontId="2"/>
  </si>
  <si>
    <t>→</t>
    <phoneticPr fontId="2"/>
  </si>
  <si>
    <t>吉田</t>
    <rPh sb="0" eb="2">
      <t>ヨシダ</t>
    </rPh>
    <phoneticPr fontId="2"/>
  </si>
  <si>
    <t>浅見</t>
    <rPh sb="0" eb="2">
      <t>アサミ</t>
    </rPh>
    <phoneticPr fontId="2"/>
  </si>
  <si>
    <t>青瀬</t>
    <rPh sb="0" eb="2">
      <t>アオセ</t>
    </rPh>
    <phoneticPr fontId="2"/>
  </si>
  <si>
    <t>木村</t>
    <rPh sb="0" eb="2">
      <t>キムラ</t>
    </rPh>
    <phoneticPr fontId="2"/>
  </si>
  <si>
    <t>加藤貴</t>
    <rPh sb="0" eb="2">
      <t>カトウ</t>
    </rPh>
    <rPh sb="2" eb="3">
      <t>タカシ</t>
    </rPh>
    <phoneticPr fontId="2"/>
  </si>
  <si>
    <t>小林</t>
    <rPh sb="0" eb="2">
      <t>コバヤシ</t>
    </rPh>
    <phoneticPr fontId="2"/>
  </si>
  <si>
    <t>高橋剛</t>
    <rPh sb="0" eb="2">
      <t>タカハシ</t>
    </rPh>
    <rPh sb="2" eb="3">
      <t>ゴウ</t>
    </rPh>
    <phoneticPr fontId="2"/>
  </si>
  <si>
    <t>楮本</t>
    <rPh sb="0" eb="2">
      <t>カズモト</t>
    </rPh>
    <phoneticPr fontId="2"/>
  </si>
  <si>
    <t>新井啓</t>
    <rPh sb="0" eb="2">
      <t>アライ</t>
    </rPh>
    <rPh sb="2" eb="3">
      <t>ケイ</t>
    </rPh>
    <phoneticPr fontId="2"/>
  </si>
  <si>
    <t>12/2～夜勤</t>
    <rPh sb="5" eb="7">
      <t>ヤキン</t>
    </rPh>
    <phoneticPr fontId="2"/>
  </si>
  <si>
    <t>12/16夜勤不可</t>
    <rPh sb="5" eb="7">
      <t>ヤキン</t>
    </rPh>
    <rPh sb="7" eb="9">
      <t>フカ</t>
    </rPh>
    <phoneticPr fontId="2"/>
  </si>
  <si>
    <t>楮本</t>
    <rPh sb="0" eb="2">
      <t>カズモト</t>
    </rPh>
    <phoneticPr fontId="2"/>
  </si>
  <si>
    <t>新井翔</t>
    <rPh sb="0" eb="2">
      <t>アライ</t>
    </rPh>
    <rPh sb="2" eb="3">
      <t>ショウ</t>
    </rPh>
    <phoneticPr fontId="2"/>
  </si>
  <si>
    <t>勅使河原</t>
    <rPh sb="0" eb="4">
      <t>テシガワラ</t>
    </rPh>
    <phoneticPr fontId="2"/>
  </si>
  <si>
    <t>髙田</t>
    <rPh sb="0" eb="2">
      <t>タカダ</t>
    </rPh>
    <phoneticPr fontId="2"/>
  </si>
  <si>
    <t>高橋拓</t>
    <rPh sb="0" eb="2">
      <t>タカハシ</t>
    </rPh>
    <rPh sb="2" eb="3">
      <t>タク</t>
    </rPh>
    <phoneticPr fontId="2"/>
  </si>
  <si>
    <t>小林</t>
    <rPh sb="0" eb="2">
      <t>コバヤシ</t>
    </rPh>
    <phoneticPr fontId="2"/>
  </si>
  <si>
    <t>加隝</t>
    <rPh sb="0" eb="1">
      <t>カ</t>
    </rPh>
    <rPh sb="1" eb="2">
      <t>シマ</t>
    </rPh>
    <phoneticPr fontId="2"/>
  </si>
  <si>
    <t>新井洋</t>
    <rPh sb="0" eb="2">
      <t>アライ</t>
    </rPh>
    <rPh sb="2" eb="3">
      <t>ヨウ</t>
    </rPh>
    <phoneticPr fontId="2"/>
  </si>
  <si>
    <t>斉藤</t>
    <rPh sb="0" eb="2">
      <t>サイトウ</t>
    </rPh>
    <phoneticPr fontId="2"/>
  </si>
  <si>
    <t>高橋剛</t>
    <rPh sb="0" eb="2">
      <t>タカハシ</t>
    </rPh>
    <rPh sb="2" eb="3">
      <t>ゴウ</t>
    </rPh>
    <phoneticPr fontId="2"/>
  </si>
  <si>
    <t>新井啓</t>
    <rPh sb="0" eb="2">
      <t>アライ</t>
    </rPh>
    <rPh sb="2" eb="3">
      <t>ケイ</t>
    </rPh>
    <phoneticPr fontId="2"/>
  </si>
  <si>
    <t>高橋良</t>
    <rPh sb="0" eb="2">
      <t>タカハシ</t>
    </rPh>
    <rPh sb="2" eb="3">
      <t>ヨ</t>
    </rPh>
    <phoneticPr fontId="2"/>
  </si>
  <si>
    <t>今井</t>
    <rPh sb="0" eb="2">
      <t>イマイ</t>
    </rPh>
    <phoneticPr fontId="2"/>
  </si>
  <si>
    <t>加藤誠</t>
    <rPh sb="0" eb="2">
      <t>カトウ</t>
    </rPh>
    <rPh sb="2" eb="3">
      <t>マコト</t>
    </rPh>
    <phoneticPr fontId="2"/>
  </si>
  <si>
    <t>木村</t>
    <rPh sb="0" eb="2">
      <t>キムラ</t>
    </rPh>
    <phoneticPr fontId="2"/>
  </si>
  <si>
    <t>加藤貴</t>
    <rPh sb="0" eb="2">
      <t>カトウ</t>
    </rPh>
    <rPh sb="2" eb="3">
      <t>タカシ</t>
    </rPh>
    <phoneticPr fontId="2"/>
  </si>
  <si>
    <t>1,2月</t>
    <rPh sb="3" eb="4">
      <t>ガツ</t>
    </rPh>
    <phoneticPr fontId="2"/>
  </si>
  <si>
    <t>2020・1月、2月　休日夜勤当番表</t>
    <rPh sb="6" eb="7">
      <t>ツキ</t>
    </rPh>
    <rPh sb="9" eb="10">
      <t>ツキ</t>
    </rPh>
    <rPh sb="11" eb="13">
      <t>キュウジツ</t>
    </rPh>
    <rPh sb="13" eb="15">
      <t>ヤキン</t>
    </rPh>
    <rPh sb="15" eb="17">
      <t>トウバン</t>
    </rPh>
    <rPh sb="17" eb="18">
      <t>ヒョウ</t>
    </rPh>
    <phoneticPr fontId="2"/>
  </si>
  <si>
    <t>木村</t>
    <rPh sb="0" eb="2">
      <t>キムラ</t>
    </rPh>
    <phoneticPr fontId="2"/>
  </si>
  <si>
    <t>加藤貴</t>
    <rPh sb="0" eb="2">
      <t>カトウ</t>
    </rPh>
    <rPh sb="2" eb="3">
      <t>タカ</t>
    </rPh>
    <phoneticPr fontId="2"/>
  </si>
  <si>
    <t>夜勤不可</t>
    <rPh sb="0" eb="2">
      <t>ヤキン</t>
    </rPh>
    <rPh sb="2" eb="4">
      <t>フカ</t>
    </rPh>
    <phoneticPr fontId="2"/>
  </si>
  <si>
    <t>2019/1/20~</t>
    <phoneticPr fontId="2"/>
  </si>
  <si>
    <t>加藤誠</t>
    <rPh sb="0" eb="2">
      <t>カトウ</t>
    </rPh>
    <rPh sb="2" eb="3">
      <t>マコト</t>
    </rPh>
    <phoneticPr fontId="2"/>
  </si>
  <si>
    <t>勅使河原</t>
    <rPh sb="0" eb="4">
      <t>テシガワラ</t>
    </rPh>
    <phoneticPr fontId="2"/>
  </si>
  <si>
    <t>高橋拓</t>
    <rPh sb="0" eb="2">
      <t>タカハシ</t>
    </rPh>
    <rPh sb="2" eb="3">
      <t>タク</t>
    </rPh>
    <phoneticPr fontId="2"/>
  </si>
  <si>
    <t>吉田</t>
    <rPh sb="0" eb="2">
      <t>ヨシダ</t>
    </rPh>
    <phoneticPr fontId="2"/>
  </si>
  <si>
    <t>→</t>
    <phoneticPr fontId="2"/>
  </si>
  <si>
    <t>斉藤</t>
    <rPh sb="0" eb="2">
      <t>サイトウ</t>
    </rPh>
    <phoneticPr fontId="2"/>
  </si>
  <si>
    <t>吉田</t>
    <rPh sb="0" eb="2">
      <t>ヨシダ</t>
    </rPh>
    <phoneticPr fontId="2"/>
  </si>
  <si>
    <t>→</t>
    <phoneticPr fontId="2"/>
  </si>
  <si>
    <t>横田</t>
    <rPh sb="0" eb="2">
      <t>ヨコタ</t>
    </rPh>
    <phoneticPr fontId="2"/>
  </si>
  <si>
    <t>浅見</t>
    <rPh sb="0" eb="2">
      <t>アサミ</t>
    </rPh>
    <phoneticPr fontId="2"/>
  </si>
  <si>
    <t>髙田</t>
    <rPh sb="0" eb="2">
      <t>タカダ</t>
    </rPh>
    <phoneticPr fontId="2"/>
  </si>
  <si>
    <t>新井洋</t>
    <rPh sb="0" eb="2">
      <t>アライ</t>
    </rPh>
    <rPh sb="2" eb="3">
      <t>ヨウ</t>
    </rPh>
    <phoneticPr fontId="2"/>
  </si>
  <si>
    <t>小林</t>
    <rPh sb="0" eb="2">
      <t>コバヤシ</t>
    </rPh>
    <phoneticPr fontId="2"/>
  </si>
  <si>
    <t>高橋剛</t>
    <rPh sb="0" eb="2">
      <t>タカハシ</t>
    </rPh>
    <rPh sb="2" eb="3">
      <t>ゴウ</t>
    </rPh>
    <phoneticPr fontId="2"/>
  </si>
  <si>
    <t>楮本</t>
    <rPh sb="0" eb="2">
      <t>カズモト</t>
    </rPh>
    <phoneticPr fontId="2"/>
  </si>
  <si>
    <t>矢野</t>
    <rPh sb="0" eb="2">
      <t>ヤノ</t>
    </rPh>
    <phoneticPr fontId="2"/>
  </si>
  <si>
    <t>高橋拓</t>
    <rPh sb="0" eb="2">
      <t>タカハシ</t>
    </rPh>
    <rPh sb="2" eb="3">
      <t>タク</t>
    </rPh>
    <phoneticPr fontId="2"/>
  </si>
  <si>
    <t>新井翔</t>
    <rPh sb="0" eb="2">
      <t>アライ</t>
    </rPh>
    <rPh sb="2" eb="3">
      <t>ショウ</t>
    </rPh>
    <phoneticPr fontId="2"/>
  </si>
  <si>
    <t>小林</t>
    <rPh sb="0" eb="2">
      <t>コバヤシ</t>
    </rPh>
    <phoneticPr fontId="2"/>
  </si>
  <si>
    <t>加藤誠</t>
    <rPh sb="0" eb="2">
      <t>カトウ</t>
    </rPh>
    <rPh sb="2" eb="3">
      <t>マコト</t>
    </rPh>
    <phoneticPr fontId="2"/>
  </si>
  <si>
    <t>勅使河原</t>
    <rPh sb="0" eb="4">
      <t>テシガワラ</t>
    </rPh>
    <phoneticPr fontId="2"/>
  </si>
  <si>
    <t>高橋拓</t>
    <rPh sb="0" eb="2">
      <t>タカハシ</t>
    </rPh>
    <rPh sb="2" eb="3">
      <t>タク</t>
    </rPh>
    <phoneticPr fontId="2"/>
  </si>
  <si>
    <t>高橋良</t>
    <rPh sb="0" eb="2">
      <t>タカハシ</t>
    </rPh>
    <rPh sb="2" eb="3">
      <t>ヨ</t>
    </rPh>
    <phoneticPr fontId="2"/>
  </si>
  <si>
    <t>楮本</t>
    <rPh sb="0" eb="2">
      <t>カズモト</t>
    </rPh>
    <phoneticPr fontId="2"/>
  </si>
  <si>
    <t>髙田</t>
    <rPh sb="0" eb="2">
      <t>タカダ</t>
    </rPh>
    <phoneticPr fontId="2"/>
  </si>
  <si>
    <t>今井</t>
    <rPh sb="0" eb="2">
      <t>イマイ</t>
    </rPh>
    <phoneticPr fontId="2"/>
  </si>
  <si>
    <t>青瀬</t>
    <rPh sb="0" eb="2">
      <t>アオセ</t>
    </rPh>
    <phoneticPr fontId="2"/>
  </si>
  <si>
    <t>新井啓</t>
    <rPh sb="0" eb="2">
      <t>アライ</t>
    </rPh>
    <rPh sb="2" eb="3">
      <t>ケイ</t>
    </rPh>
    <phoneticPr fontId="2"/>
  </si>
  <si>
    <t>斉藤</t>
    <rPh sb="0" eb="2">
      <t>サイトウ</t>
    </rPh>
    <phoneticPr fontId="2"/>
  </si>
  <si>
    <t>高橋剛</t>
    <rPh sb="0" eb="2">
      <t>タカハシ</t>
    </rPh>
    <rPh sb="2" eb="3">
      <t>ゴウ</t>
    </rPh>
    <phoneticPr fontId="2"/>
  </si>
  <si>
    <t>髙田</t>
    <rPh sb="0" eb="2">
      <t>タカダ</t>
    </rPh>
    <phoneticPr fontId="2"/>
  </si>
  <si>
    <t>今井</t>
    <rPh sb="0" eb="2">
      <t>イマイ</t>
    </rPh>
    <phoneticPr fontId="2"/>
  </si>
  <si>
    <t>浅賀</t>
    <rPh sb="0" eb="2">
      <t>アサカ</t>
    </rPh>
    <phoneticPr fontId="2"/>
  </si>
  <si>
    <t>木村</t>
    <rPh sb="0" eb="2">
      <t>キムラ</t>
    </rPh>
    <phoneticPr fontId="2"/>
  </si>
  <si>
    <t>小林</t>
    <rPh sb="0" eb="2">
      <t>コバヤシ</t>
    </rPh>
    <phoneticPr fontId="2"/>
  </si>
  <si>
    <t>高橋剛</t>
    <rPh sb="0" eb="2">
      <t>タカハシ</t>
    </rPh>
    <rPh sb="2" eb="3">
      <t>ゴウ</t>
    </rPh>
    <phoneticPr fontId="2"/>
  </si>
  <si>
    <t>加隝</t>
    <rPh sb="0" eb="1">
      <t>カ</t>
    </rPh>
    <rPh sb="1" eb="2">
      <t>シマ</t>
    </rPh>
    <phoneticPr fontId="2"/>
  </si>
  <si>
    <t>浅賀</t>
    <rPh sb="0" eb="2">
      <t>アサカ</t>
    </rPh>
    <phoneticPr fontId="2"/>
  </si>
  <si>
    <t>小林</t>
    <rPh sb="0" eb="2">
      <t>コバヤシ</t>
    </rPh>
    <phoneticPr fontId="2"/>
  </si>
  <si>
    <t>矢野</t>
    <rPh sb="0" eb="2">
      <t>ヤノ</t>
    </rPh>
    <phoneticPr fontId="2"/>
  </si>
  <si>
    <t>2020・3月、4月　休日夜勤当番表</t>
    <rPh sb="6" eb="7">
      <t>ツキ</t>
    </rPh>
    <rPh sb="9" eb="10">
      <t>ツキ</t>
    </rPh>
    <rPh sb="11" eb="13">
      <t>キュウジツ</t>
    </rPh>
    <rPh sb="13" eb="15">
      <t>ヤキン</t>
    </rPh>
    <rPh sb="15" eb="17">
      <t>トウバン</t>
    </rPh>
    <rPh sb="17" eb="18">
      <t>ヒョウ</t>
    </rPh>
    <phoneticPr fontId="2"/>
  </si>
  <si>
    <t>井上、星田</t>
    <rPh sb="0" eb="2">
      <t>イノウエ</t>
    </rPh>
    <rPh sb="3" eb="5">
      <t>ホシダ</t>
    </rPh>
    <phoneticPr fontId="2"/>
  </si>
  <si>
    <t>高橋拓</t>
    <rPh sb="0" eb="2">
      <t>タカハシ</t>
    </rPh>
    <rPh sb="2" eb="3">
      <t>タク</t>
    </rPh>
    <phoneticPr fontId="2"/>
  </si>
  <si>
    <t>新井洋</t>
    <rPh sb="0" eb="2">
      <t>アライ</t>
    </rPh>
    <rPh sb="2" eb="3">
      <t>ヨウ</t>
    </rPh>
    <phoneticPr fontId="2"/>
  </si>
  <si>
    <t>新井啓</t>
    <rPh sb="0" eb="2">
      <t>アライ</t>
    </rPh>
    <rPh sb="2" eb="3">
      <t>ケイ</t>
    </rPh>
    <phoneticPr fontId="2"/>
  </si>
  <si>
    <t>勅使河原</t>
    <rPh sb="0" eb="4">
      <t>テシガワラ</t>
    </rPh>
    <phoneticPr fontId="2"/>
  </si>
  <si>
    <t>加藤貴</t>
    <rPh sb="0" eb="2">
      <t>カトウ</t>
    </rPh>
    <rPh sb="2" eb="3">
      <t>タカシ</t>
    </rPh>
    <phoneticPr fontId="2"/>
  </si>
  <si>
    <t>小林</t>
    <rPh sb="0" eb="2">
      <t>コバヤシ</t>
    </rPh>
    <phoneticPr fontId="2"/>
  </si>
  <si>
    <t>木村</t>
    <rPh sb="0" eb="2">
      <t>キムラ</t>
    </rPh>
    <phoneticPr fontId="2"/>
  </si>
  <si>
    <t>2/24～</t>
    <phoneticPr fontId="2"/>
  </si>
  <si>
    <t>夜勤不可</t>
    <rPh sb="0" eb="2">
      <t>ヤキン</t>
    </rPh>
    <rPh sb="2" eb="4">
      <t>フカ</t>
    </rPh>
    <phoneticPr fontId="2"/>
  </si>
  <si>
    <t>加藤誠</t>
    <rPh sb="0" eb="2">
      <t>カトウ</t>
    </rPh>
    <rPh sb="2" eb="3">
      <t>マコト</t>
    </rPh>
    <phoneticPr fontId="2"/>
  </si>
  <si>
    <t>小林</t>
    <rPh sb="0" eb="2">
      <t>コバヤシ</t>
    </rPh>
    <phoneticPr fontId="2"/>
  </si>
  <si>
    <t>高橋剛</t>
    <rPh sb="0" eb="2">
      <t>タカハシ</t>
    </rPh>
    <rPh sb="2" eb="3">
      <t>ゴウ</t>
    </rPh>
    <phoneticPr fontId="2"/>
  </si>
  <si>
    <t>斉藤</t>
    <rPh sb="0" eb="2">
      <t>サイトウ</t>
    </rPh>
    <phoneticPr fontId="2"/>
  </si>
  <si>
    <t>矢野</t>
    <rPh sb="0" eb="2">
      <t>ヤノ</t>
    </rPh>
    <phoneticPr fontId="2"/>
  </si>
  <si>
    <t>勅使河原</t>
    <rPh sb="0" eb="4">
      <t>テシガワラ</t>
    </rPh>
    <phoneticPr fontId="2"/>
  </si>
  <si>
    <t>新井翔</t>
    <rPh sb="0" eb="2">
      <t>アライ</t>
    </rPh>
    <rPh sb="2" eb="3">
      <t>ショウ</t>
    </rPh>
    <phoneticPr fontId="2"/>
  </si>
  <si>
    <t>高橋良</t>
    <rPh sb="0" eb="2">
      <t>タカハシ</t>
    </rPh>
    <rPh sb="2" eb="3">
      <t>ヨ</t>
    </rPh>
    <phoneticPr fontId="2"/>
  </si>
  <si>
    <t>今井</t>
    <rPh sb="0" eb="2">
      <t>イマイ</t>
    </rPh>
    <phoneticPr fontId="2"/>
  </si>
  <si>
    <t>髙田</t>
    <rPh sb="0" eb="2">
      <t>タカダ</t>
    </rPh>
    <phoneticPr fontId="2"/>
  </si>
  <si>
    <t>高橋拓</t>
    <rPh sb="0" eb="2">
      <t>タカハシ</t>
    </rPh>
    <rPh sb="2" eb="3">
      <t>タク</t>
    </rPh>
    <phoneticPr fontId="2"/>
  </si>
  <si>
    <t>楮本</t>
    <rPh sb="0" eb="2">
      <t>カズモト</t>
    </rPh>
    <phoneticPr fontId="2"/>
  </si>
  <si>
    <t>浅賀</t>
    <rPh sb="0" eb="2">
      <t>アサカ</t>
    </rPh>
    <phoneticPr fontId="2"/>
  </si>
  <si>
    <t>木村</t>
    <rPh sb="0" eb="2">
      <t>キムラ</t>
    </rPh>
    <phoneticPr fontId="2"/>
  </si>
  <si>
    <t>髙田</t>
    <rPh sb="0" eb="2">
      <t>タカダ</t>
    </rPh>
    <phoneticPr fontId="2"/>
  </si>
  <si>
    <t>休18</t>
    <rPh sb="0" eb="1">
      <t>ヤス</t>
    </rPh>
    <phoneticPr fontId="2"/>
  </si>
  <si>
    <t>矢野</t>
    <rPh sb="0" eb="2">
      <t>ヤノ</t>
    </rPh>
    <phoneticPr fontId="2"/>
  </si>
  <si>
    <t>矢野</t>
    <rPh sb="0" eb="2">
      <t>ヤノ</t>
    </rPh>
    <phoneticPr fontId="2"/>
  </si>
  <si>
    <t>2020・5月、6月　休日夜勤当番表</t>
    <rPh sb="6" eb="7">
      <t>ツキ</t>
    </rPh>
    <rPh sb="9" eb="10">
      <t>ツキ</t>
    </rPh>
    <rPh sb="11" eb="13">
      <t>キュウジツ</t>
    </rPh>
    <rPh sb="13" eb="15">
      <t>ヤキン</t>
    </rPh>
    <rPh sb="15" eb="17">
      <t>トウバン</t>
    </rPh>
    <rPh sb="17" eb="18">
      <t>ヒョウ</t>
    </rPh>
    <phoneticPr fontId="2"/>
  </si>
  <si>
    <t>5,6月</t>
    <rPh sb="3" eb="4">
      <t>ツキ</t>
    </rPh>
    <phoneticPr fontId="2"/>
  </si>
  <si>
    <t>横田</t>
    <rPh sb="0" eb="2">
      <t>ヨコタ</t>
    </rPh>
    <phoneticPr fontId="2"/>
  </si>
  <si>
    <t>→</t>
    <phoneticPr fontId="2"/>
  </si>
  <si>
    <t>吉田</t>
    <rPh sb="0" eb="2">
      <t>ヨシダ</t>
    </rPh>
    <phoneticPr fontId="2"/>
  </si>
  <si>
    <t>浅見</t>
    <rPh sb="0" eb="2">
      <t>アサミ</t>
    </rPh>
    <phoneticPr fontId="2"/>
  </si>
  <si>
    <t>木村</t>
    <rPh sb="0" eb="2">
      <t>キムラ</t>
    </rPh>
    <phoneticPr fontId="2"/>
  </si>
  <si>
    <t>小林</t>
    <rPh sb="0" eb="2">
      <t>コバヤシ</t>
    </rPh>
    <phoneticPr fontId="2"/>
  </si>
  <si>
    <t>加藤貴</t>
    <rPh sb="0" eb="2">
      <t>カトウ</t>
    </rPh>
    <rPh sb="2" eb="3">
      <t>タカシ</t>
    </rPh>
    <phoneticPr fontId="2"/>
  </si>
  <si>
    <t>高橋剛</t>
    <rPh sb="0" eb="2">
      <t>タカハシ</t>
    </rPh>
    <rPh sb="2" eb="3">
      <t>ゴウ</t>
    </rPh>
    <phoneticPr fontId="2"/>
  </si>
  <si>
    <t>楮本</t>
    <rPh sb="0" eb="2">
      <t>カズモト</t>
    </rPh>
    <phoneticPr fontId="2"/>
  </si>
  <si>
    <t>新井洋</t>
    <rPh sb="0" eb="2">
      <t>アライ</t>
    </rPh>
    <rPh sb="2" eb="3">
      <t>ヨウ</t>
    </rPh>
    <phoneticPr fontId="2"/>
  </si>
  <si>
    <t>矢野</t>
    <rPh sb="0" eb="2">
      <t>ヤノ</t>
    </rPh>
    <phoneticPr fontId="2"/>
  </si>
  <si>
    <t>→</t>
    <phoneticPr fontId="2"/>
  </si>
  <si>
    <t>新井洋</t>
    <rPh sb="0" eb="2">
      <t>アライ</t>
    </rPh>
    <rPh sb="2" eb="3">
      <t>ヨウ</t>
    </rPh>
    <phoneticPr fontId="2"/>
  </si>
  <si>
    <t>加藤誠</t>
    <rPh sb="0" eb="2">
      <t>カトウ</t>
    </rPh>
    <rPh sb="2" eb="3">
      <t>マコト</t>
    </rPh>
    <phoneticPr fontId="2"/>
  </si>
  <si>
    <t>加隝</t>
    <rPh sb="0" eb="1">
      <t>カ</t>
    </rPh>
    <rPh sb="1" eb="2">
      <t>シマ</t>
    </rPh>
    <phoneticPr fontId="2"/>
  </si>
  <si>
    <t>新井啓</t>
    <rPh sb="0" eb="2">
      <t>アライ</t>
    </rPh>
    <rPh sb="2" eb="3">
      <t>ケイ</t>
    </rPh>
    <phoneticPr fontId="2"/>
  </si>
  <si>
    <t>木村</t>
    <rPh sb="0" eb="2">
      <t>キムラ</t>
    </rPh>
    <phoneticPr fontId="2"/>
  </si>
  <si>
    <t>加藤貴</t>
    <rPh sb="0" eb="2">
      <t>カトウ</t>
    </rPh>
    <rPh sb="2" eb="3">
      <t>タカシ</t>
    </rPh>
    <phoneticPr fontId="2"/>
  </si>
  <si>
    <t>矢野</t>
    <rPh sb="0" eb="2">
      <t>ヤノ</t>
    </rPh>
    <phoneticPr fontId="2"/>
  </si>
  <si>
    <t>小林</t>
    <rPh sb="0" eb="2">
      <t>コバヤシ</t>
    </rPh>
    <phoneticPr fontId="2"/>
  </si>
  <si>
    <t>斉藤</t>
    <rPh sb="0" eb="2">
      <t>サイトウ</t>
    </rPh>
    <phoneticPr fontId="2"/>
  </si>
  <si>
    <t>高橋剛</t>
    <rPh sb="0" eb="2">
      <t>タカハシ</t>
    </rPh>
    <rPh sb="2" eb="3">
      <t>ゴウ</t>
    </rPh>
    <phoneticPr fontId="2"/>
  </si>
  <si>
    <t>勅使河原</t>
    <rPh sb="0" eb="4">
      <t>テシガワラ</t>
    </rPh>
    <phoneticPr fontId="2"/>
  </si>
  <si>
    <t>今井</t>
    <rPh sb="0" eb="2">
      <t>イマイ</t>
    </rPh>
    <phoneticPr fontId="2"/>
  </si>
  <si>
    <t>髙田</t>
    <rPh sb="0" eb="2">
      <t>タカダ</t>
    </rPh>
    <phoneticPr fontId="2"/>
  </si>
  <si>
    <t>高橋良</t>
    <rPh sb="0" eb="2">
      <t>タカハシ</t>
    </rPh>
    <rPh sb="2" eb="3">
      <t>ヨ</t>
    </rPh>
    <phoneticPr fontId="2"/>
  </si>
  <si>
    <t>楮本</t>
    <rPh sb="0" eb="2">
      <t>カズモト</t>
    </rPh>
    <phoneticPr fontId="2"/>
  </si>
  <si>
    <t>高橋拓</t>
    <rPh sb="0" eb="2">
      <t>タカハシ</t>
    </rPh>
    <rPh sb="2" eb="3">
      <t>タク</t>
    </rPh>
    <phoneticPr fontId="2"/>
  </si>
  <si>
    <t>浅賀</t>
    <rPh sb="0" eb="2">
      <t>アサカ</t>
    </rPh>
    <phoneticPr fontId="2"/>
  </si>
  <si>
    <t>新井翔</t>
    <rPh sb="0" eb="2">
      <t>アライ</t>
    </rPh>
    <rPh sb="2" eb="3">
      <t>ショウ</t>
    </rPh>
    <phoneticPr fontId="2"/>
  </si>
  <si>
    <t>休15</t>
    <rPh sb="0" eb="1">
      <t>ヤス</t>
    </rPh>
    <phoneticPr fontId="2"/>
  </si>
  <si>
    <t>2020・7月、8月　休日夜勤当番表</t>
    <rPh sb="6" eb="7">
      <t>ツキ</t>
    </rPh>
    <rPh sb="9" eb="10">
      <t>ツキ</t>
    </rPh>
    <rPh sb="11" eb="13">
      <t>キュウジツ</t>
    </rPh>
    <rPh sb="13" eb="15">
      <t>ヤキン</t>
    </rPh>
    <rPh sb="15" eb="17">
      <t>トウバン</t>
    </rPh>
    <rPh sb="17" eb="18">
      <t>ヒョウ</t>
    </rPh>
    <phoneticPr fontId="2"/>
  </si>
  <si>
    <t>横田</t>
    <rPh sb="0" eb="2">
      <t>ヨコタ</t>
    </rPh>
    <phoneticPr fontId="2"/>
  </si>
  <si>
    <t>→</t>
    <phoneticPr fontId="2"/>
  </si>
  <si>
    <t>吉田</t>
    <rPh sb="0" eb="2">
      <t>ヨシダ</t>
    </rPh>
    <phoneticPr fontId="2"/>
  </si>
  <si>
    <t>浅見</t>
    <rPh sb="0" eb="2">
      <t>アサミ</t>
    </rPh>
    <phoneticPr fontId="2"/>
  </si>
  <si>
    <t>高橋拓</t>
    <rPh sb="0" eb="2">
      <t>タカハシ</t>
    </rPh>
    <rPh sb="2" eb="3">
      <t>タク</t>
    </rPh>
    <phoneticPr fontId="2"/>
  </si>
  <si>
    <t>井上・五月女</t>
    <rPh sb="0" eb="2">
      <t>イノウエ</t>
    </rPh>
    <rPh sb="3" eb="6">
      <t>ソウトメ</t>
    </rPh>
    <phoneticPr fontId="2"/>
  </si>
  <si>
    <t>加藤貴</t>
    <rPh sb="0" eb="2">
      <t>カトウ</t>
    </rPh>
    <rPh sb="2" eb="3">
      <t>タカシ</t>
    </rPh>
    <phoneticPr fontId="2"/>
  </si>
  <si>
    <t>小林</t>
    <rPh sb="0" eb="2">
      <t>コバヤシ</t>
    </rPh>
    <phoneticPr fontId="2"/>
  </si>
  <si>
    <t>高橋剛</t>
    <rPh sb="0" eb="2">
      <t>タカハシ</t>
    </rPh>
    <rPh sb="2" eb="3">
      <t>ゴウ</t>
    </rPh>
    <phoneticPr fontId="2"/>
  </si>
  <si>
    <t>楮本</t>
    <rPh sb="0" eb="2">
      <t>カズモト</t>
    </rPh>
    <phoneticPr fontId="2"/>
  </si>
  <si>
    <t>新井洋</t>
    <rPh sb="0" eb="2">
      <t>アライ</t>
    </rPh>
    <rPh sb="2" eb="3">
      <t>ヨウ</t>
    </rPh>
    <phoneticPr fontId="2"/>
  </si>
  <si>
    <t>矢野</t>
    <rPh sb="0" eb="2">
      <t>ヤノ</t>
    </rPh>
    <phoneticPr fontId="2"/>
  </si>
  <si>
    <t>木村</t>
    <rPh sb="0" eb="2">
      <t>キムラ</t>
    </rPh>
    <phoneticPr fontId="2"/>
  </si>
  <si>
    <t>新井翔</t>
    <rPh sb="0" eb="2">
      <t>アライ</t>
    </rPh>
    <rPh sb="2" eb="3">
      <t>ショウ</t>
    </rPh>
    <phoneticPr fontId="2"/>
  </si>
  <si>
    <t>髙田</t>
    <rPh sb="0" eb="2">
      <t>タカダ</t>
    </rPh>
    <phoneticPr fontId="2"/>
  </si>
  <si>
    <t>今井</t>
    <rPh sb="0" eb="2">
      <t>イマイ</t>
    </rPh>
    <phoneticPr fontId="2"/>
  </si>
  <si>
    <t>高橋剛</t>
    <rPh sb="0" eb="2">
      <t>タカハシ</t>
    </rPh>
    <rPh sb="2" eb="3">
      <t>ゴウ</t>
    </rPh>
    <phoneticPr fontId="2"/>
  </si>
  <si>
    <t>斉藤</t>
    <rPh sb="0" eb="2">
      <t>サイトウ</t>
    </rPh>
    <phoneticPr fontId="2"/>
  </si>
  <si>
    <t>高橋拓</t>
    <rPh sb="0" eb="2">
      <t>タカハシ</t>
    </rPh>
    <rPh sb="2" eb="3">
      <t>タク</t>
    </rPh>
    <phoneticPr fontId="2"/>
  </si>
  <si>
    <t>勅使河原</t>
    <rPh sb="0" eb="4">
      <t>テシガワラ</t>
    </rPh>
    <phoneticPr fontId="2"/>
  </si>
  <si>
    <t>高橋良</t>
    <rPh sb="0" eb="2">
      <t>タカハシ</t>
    </rPh>
    <rPh sb="2" eb="3">
      <t>ヨ</t>
    </rPh>
    <phoneticPr fontId="2"/>
  </si>
  <si>
    <t>矢野</t>
    <rPh sb="0" eb="2">
      <t>ヤノ</t>
    </rPh>
    <phoneticPr fontId="2"/>
  </si>
  <si>
    <t>新井翔</t>
    <rPh sb="0" eb="2">
      <t>アライ</t>
    </rPh>
    <rPh sb="2" eb="3">
      <t>ショウ</t>
    </rPh>
    <phoneticPr fontId="2"/>
  </si>
  <si>
    <t>浅賀</t>
    <rPh sb="0" eb="2">
      <t>アサカ</t>
    </rPh>
    <phoneticPr fontId="2"/>
  </si>
  <si>
    <t>今井</t>
    <rPh sb="0" eb="2">
      <t>イマイ</t>
    </rPh>
    <phoneticPr fontId="2"/>
  </si>
  <si>
    <t>髙田</t>
    <rPh sb="0" eb="2">
      <t>タカダ</t>
    </rPh>
    <phoneticPr fontId="2"/>
  </si>
  <si>
    <t>楮本</t>
    <rPh sb="0" eb="2">
      <t>カズモト</t>
    </rPh>
    <phoneticPr fontId="2"/>
  </si>
  <si>
    <t>新井啓</t>
    <rPh sb="0" eb="2">
      <t>アライ</t>
    </rPh>
    <rPh sb="2" eb="3">
      <t>ケイ</t>
    </rPh>
    <phoneticPr fontId="2"/>
  </si>
  <si>
    <t>加隝</t>
    <rPh sb="0" eb="1">
      <t>カ</t>
    </rPh>
    <rPh sb="1" eb="2">
      <t>シマ</t>
    </rPh>
    <phoneticPr fontId="2"/>
  </si>
  <si>
    <t>新井洋</t>
    <rPh sb="0" eb="2">
      <t>アライ</t>
    </rPh>
    <rPh sb="2" eb="3">
      <t>ヨウ</t>
    </rPh>
    <phoneticPr fontId="2"/>
  </si>
  <si>
    <t>木村</t>
    <rPh sb="0" eb="2">
      <t>キムラ</t>
    </rPh>
    <phoneticPr fontId="2"/>
  </si>
  <si>
    <t>加藤貴</t>
    <rPh sb="0" eb="2">
      <t>カトウ</t>
    </rPh>
    <rPh sb="2" eb="3">
      <t>タカシ</t>
    </rPh>
    <phoneticPr fontId="2"/>
  </si>
  <si>
    <t>斉藤</t>
    <rPh sb="0" eb="2">
      <t>サイトウ</t>
    </rPh>
    <phoneticPr fontId="2"/>
  </si>
  <si>
    <t>新井洋</t>
    <rPh sb="0" eb="2">
      <t>アライ</t>
    </rPh>
    <rPh sb="2" eb="3">
      <t>ヨウ</t>
    </rPh>
    <phoneticPr fontId="2"/>
  </si>
  <si>
    <t>矢野</t>
    <rPh sb="0" eb="2">
      <t>ヤノ</t>
    </rPh>
    <phoneticPr fontId="2"/>
  </si>
  <si>
    <t>加藤貴</t>
    <rPh sb="0" eb="2">
      <t>カトウ</t>
    </rPh>
    <rPh sb="2" eb="3">
      <t>タカシ</t>
    </rPh>
    <phoneticPr fontId="2"/>
  </si>
  <si>
    <t>2020・9月、10月　休日夜勤当番表</t>
    <rPh sb="6" eb="7">
      <t>ツキ</t>
    </rPh>
    <rPh sb="10" eb="11">
      <t>ツキ</t>
    </rPh>
    <rPh sb="12" eb="14">
      <t>キュウジツ</t>
    </rPh>
    <rPh sb="14" eb="16">
      <t>ヤキン</t>
    </rPh>
    <rPh sb="16" eb="18">
      <t>トウバン</t>
    </rPh>
    <rPh sb="18" eb="19">
      <t>ヒョウ</t>
    </rPh>
    <phoneticPr fontId="2"/>
  </si>
  <si>
    <t>高橋拓</t>
    <rPh sb="0" eb="2">
      <t>タカハシ</t>
    </rPh>
    <rPh sb="2" eb="3">
      <t>タク</t>
    </rPh>
    <phoneticPr fontId="2"/>
  </si>
  <si>
    <t>加藤誠</t>
    <rPh sb="0" eb="2">
      <t>カトウ</t>
    </rPh>
    <rPh sb="2" eb="3">
      <t>マコト</t>
    </rPh>
    <phoneticPr fontId="2"/>
  </si>
  <si>
    <t>加藤貴</t>
    <rPh sb="0" eb="2">
      <t>カトウ</t>
    </rPh>
    <rPh sb="2" eb="3">
      <t>タカシ</t>
    </rPh>
    <phoneticPr fontId="2"/>
  </si>
  <si>
    <t>→</t>
    <phoneticPr fontId="2"/>
  </si>
  <si>
    <t>浅見</t>
    <rPh sb="0" eb="2">
      <t>アサミ</t>
    </rPh>
    <phoneticPr fontId="2"/>
  </si>
  <si>
    <t>横田</t>
    <rPh sb="0" eb="2">
      <t>ヨコタ</t>
    </rPh>
    <phoneticPr fontId="2"/>
  </si>
  <si>
    <t>吉田</t>
    <rPh sb="0" eb="2">
      <t>ヨシダ</t>
    </rPh>
    <phoneticPr fontId="2"/>
  </si>
  <si>
    <t>小林</t>
    <rPh sb="0" eb="2">
      <t>コバヤシ</t>
    </rPh>
    <phoneticPr fontId="2"/>
  </si>
  <si>
    <t>高橋剛</t>
    <rPh sb="0" eb="2">
      <t>タカハシ</t>
    </rPh>
    <rPh sb="2" eb="3">
      <t>ゴウ</t>
    </rPh>
    <phoneticPr fontId="2"/>
  </si>
  <si>
    <t>楮本</t>
    <rPh sb="0" eb="2">
      <t>カズモト</t>
    </rPh>
    <phoneticPr fontId="2"/>
  </si>
  <si>
    <t>新井洋</t>
    <rPh sb="0" eb="2">
      <t>アライ</t>
    </rPh>
    <rPh sb="2" eb="3">
      <t>ヨウ</t>
    </rPh>
    <phoneticPr fontId="2"/>
  </si>
  <si>
    <t>矢野</t>
    <rPh sb="0" eb="2">
      <t>ヤノ</t>
    </rPh>
    <phoneticPr fontId="2"/>
  </si>
  <si>
    <t>高橋拓</t>
    <rPh sb="0" eb="2">
      <t>タカハシ</t>
    </rPh>
    <rPh sb="2" eb="3">
      <t>タク</t>
    </rPh>
    <phoneticPr fontId="2"/>
  </si>
  <si>
    <t>木村</t>
    <rPh sb="0" eb="2">
      <t>キムラ</t>
    </rPh>
    <phoneticPr fontId="2"/>
  </si>
  <si>
    <t>加藤誠</t>
    <rPh sb="0" eb="2">
      <t>カトウ</t>
    </rPh>
    <rPh sb="2" eb="3">
      <t>マコト</t>
    </rPh>
    <phoneticPr fontId="2"/>
  </si>
  <si>
    <t>斉藤</t>
    <rPh sb="0" eb="2">
      <t>サイトウ</t>
    </rPh>
    <phoneticPr fontId="2"/>
  </si>
  <si>
    <t>加隝</t>
    <rPh sb="0" eb="1">
      <t>カ</t>
    </rPh>
    <rPh sb="1" eb="2">
      <t>シマ</t>
    </rPh>
    <phoneticPr fontId="2"/>
  </si>
  <si>
    <t>新井翔</t>
    <rPh sb="0" eb="2">
      <t>アライ</t>
    </rPh>
    <rPh sb="2" eb="3">
      <t>ショウ</t>
    </rPh>
    <phoneticPr fontId="2"/>
  </si>
  <si>
    <t>髙田</t>
    <rPh sb="0" eb="2">
      <t>タカダ</t>
    </rPh>
    <phoneticPr fontId="2"/>
  </si>
  <si>
    <t>浅賀</t>
    <rPh sb="0" eb="2">
      <t>アサカ</t>
    </rPh>
    <phoneticPr fontId="2"/>
  </si>
  <si>
    <t>今井</t>
    <rPh sb="0" eb="2">
      <t>イマイ</t>
    </rPh>
    <phoneticPr fontId="2"/>
  </si>
  <si>
    <t>高橋良</t>
    <rPh sb="0" eb="2">
      <t>タカハシ</t>
    </rPh>
    <rPh sb="2" eb="3">
      <t>ヨ</t>
    </rPh>
    <phoneticPr fontId="2"/>
  </si>
  <si>
    <t>勅使河原</t>
    <rPh sb="0" eb="4">
      <t>テシガワラ</t>
    </rPh>
    <phoneticPr fontId="2"/>
  </si>
  <si>
    <t>木村</t>
    <rPh sb="0" eb="2">
      <t>キムラ</t>
    </rPh>
    <phoneticPr fontId="2"/>
  </si>
  <si>
    <t>夜勤希望</t>
    <rPh sb="0" eb="2">
      <t>ヤキン</t>
    </rPh>
    <rPh sb="2" eb="4">
      <t>キボウ</t>
    </rPh>
    <phoneticPr fontId="2"/>
  </si>
  <si>
    <t>高橋剛</t>
    <rPh sb="0" eb="2">
      <t>タカハシ</t>
    </rPh>
    <rPh sb="2" eb="3">
      <t>ゴウ</t>
    </rPh>
    <phoneticPr fontId="2"/>
  </si>
  <si>
    <t>9/7～</t>
    <phoneticPr fontId="2"/>
  </si>
  <si>
    <t>2020・11月、12月　休日夜勤当番表</t>
    <rPh sb="7" eb="8">
      <t>ツキ</t>
    </rPh>
    <rPh sb="11" eb="12">
      <t>ツキ</t>
    </rPh>
    <rPh sb="13" eb="15">
      <t>キュウジツ</t>
    </rPh>
    <rPh sb="15" eb="17">
      <t>ヤキン</t>
    </rPh>
    <rPh sb="17" eb="19">
      <t>トウバン</t>
    </rPh>
    <rPh sb="19" eb="20">
      <t>ヒョウ</t>
    </rPh>
    <phoneticPr fontId="2"/>
  </si>
  <si>
    <t>11,12月</t>
    <rPh sb="5" eb="6">
      <t>ガツ</t>
    </rPh>
    <phoneticPr fontId="2"/>
  </si>
  <si>
    <t>吉田</t>
    <rPh sb="0" eb="2">
      <t>ヨシダ</t>
    </rPh>
    <phoneticPr fontId="2"/>
  </si>
  <si>
    <t>→</t>
    <phoneticPr fontId="2"/>
  </si>
  <si>
    <t>小林</t>
    <rPh sb="0" eb="2">
      <t>コバヤシ</t>
    </rPh>
    <phoneticPr fontId="2"/>
  </si>
  <si>
    <t>浅見</t>
    <rPh sb="0" eb="2">
      <t>アサミ</t>
    </rPh>
    <phoneticPr fontId="2"/>
  </si>
  <si>
    <t>横田</t>
    <rPh sb="0" eb="2">
      <t>ヨコタ</t>
    </rPh>
    <phoneticPr fontId="2"/>
  </si>
  <si>
    <t>楮本</t>
    <rPh sb="0" eb="2">
      <t>カズモト</t>
    </rPh>
    <phoneticPr fontId="2"/>
  </si>
  <si>
    <t>高橋剛</t>
    <rPh sb="0" eb="2">
      <t>タカハシ</t>
    </rPh>
    <rPh sb="2" eb="3">
      <t>ゴウ</t>
    </rPh>
    <phoneticPr fontId="2"/>
  </si>
  <si>
    <t>→</t>
    <phoneticPr fontId="2"/>
  </si>
  <si>
    <t>新井翔</t>
    <rPh sb="0" eb="2">
      <t>アライ</t>
    </rPh>
    <rPh sb="2" eb="3">
      <t>ショウ</t>
    </rPh>
    <phoneticPr fontId="2"/>
  </si>
  <si>
    <t>矢野</t>
    <rPh sb="0" eb="2">
      <t>ヤノ</t>
    </rPh>
    <phoneticPr fontId="2"/>
  </si>
  <si>
    <t>斉藤</t>
    <rPh sb="0" eb="2">
      <t>サイトウ</t>
    </rPh>
    <phoneticPr fontId="2"/>
  </si>
  <si>
    <t>木村</t>
    <rPh sb="0" eb="2">
      <t>キムラ</t>
    </rPh>
    <phoneticPr fontId="2"/>
  </si>
  <si>
    <t>高橋拓</t>
    <rPh sb="0" eb="2">
      <t>タカハシ</t>
    </rPh>
    <rPh sb="2" eb="3">
      <t>タク</t>
    </rPh>
    <phoneticPr fontId="2"/>
  </si>
  <si>
    <t>勅使河原</t>
    <rPh sb="0" eb="4">
      <t>テシガワラ</t>
    </rPh>
    <phoneticPr fontId="2"/>
  </si>
  <si>
    <t>井上・五月女</t>
    <rPh sb="0" eb="2">
      <t>イノウエ</t>
    </rPh>
    <rPh sb="3" eb="6">
      <t>ソウトメ</t>
    </rPh>
    <phoneticPr fontId="2"/>
  </si>
  <si>
    <t>新井啓</t>
    <rPh sb="0" eb="2">
      <t>アライ</t>
    </rPh>
    <rPh sb="2" eb="3">
      <t>ケイ</t>
    </rPh>
    <phoneticPr fontId="2"/>
  </si>
  <si>
    <t>加藤貴</t>
    <rPh sb="0" eb="2">
      <t>カトウ</t>
    </rPh>
    <rPh sb="2" eb="3">
      <t>タカシ</t>
    </rPh>
    <phoneticPr fontId="2"/>
  </si>
  <si>
    <t>新井洋</t>
    <rPh sb="0" eb="2">
      <t>アライ</t>
    </rPh>
    <rPh sb="2" eb="3">
      <t>ヨウ</t>
    </rPh>
    <phoneticPr fontId="2"/>
  </si>
  <si>
    <t>小林</t>
    <rPh sb="0" eb="2">
      <t>コバヤシ</t>
    </rPh>
    <phoneticPr fontId="2"/>
  </si>
  <si>
    <t>加藤誠</t>
    <rPh sb="0" eb="2">
      <t>カトウ</t>
    </rPh>
    <rPh sb="2" eb="3">
      <t>マコト</t>
    </rPh>
    <phoneticPr fontId="2"/>
  </si>
  <si>
    <t>川井</t>
    <rPh sb="0" eb="2">
      <t>カワイ</t>
    </rPh>
    <phoneticPr fontId="2"/>
  </si>
  <si>
    <t>今井</t>
    <rPh sb="0" eb="2">
      <t>イマイ</t>
    </rPh>
    <phoneticPr fontId="2"/>
  </si>
  <si>
    <t>高橋良</t>
    <rPh sb="0" eb="2">
      <t>タカハシ</t>
    </rPh>
    <rPh sb="2" eb="3">
      <t>ヨ</t>
    </rPh>
    <phoneticPr fontId="2"/>
  </si>
  <si>
    <t>浅賀</t>
    <rPh sb="0" eb="2">
      <t>アサカ</t>
    </rPh>
    <phoneticPr fontId="2"/>
  </si>
  <si>
    <t>髙田</t>
    <rPh sb="0" eb="2">
      <t>タカダ</t>
    </rPh>
    <phoneticPr fontId="2"/>
  </si>
  <si>
    <t>高橋拓</t>
    <rPh sb="0" eb="2">
      <t>タカハシ</t>
    </rPh>
    <rPh sb="2" eb="3">
      <t>タク</t>
    </rPh>
    <phoneticPr fontId="2"/>
  </si>
  <si>
    <t>休16</t>
    <rPh sb="0" eb="1">
      <t>ヤス</t>
    </rPh>
    <phoneticPr fontId="2"/>
  </si>
  <si>
    <t>新井啓</t>
    <rPh sb="0" eb="2">
      <t>アライ</t>
    </rPh>
    <rPh sb="2" eb="3">
      <t>ケイ</t>
    </rPh>
    <phoneticPr fontId="2"/>
  </si>
  <si>
    <t>勅使河原</t>
    <rPh sb="0" eb="4">
      <t>テシガワラ</t>
    </rPh>
    <phoneticPr fontId="2"/>
  </si>
  <si>
    <t>小林</t>
    <rPh sb="0" eb="2">
      <t>コバヤシ</t>
    </rPh>
    <phoneticPr fontId="2"/>
  </si>
  <si>
    <t>新井洋</t>
    <rPh sb="0" eb="2">
      <t>アライ</t>
    </rPh>
    <rPh sb="2" eb="3">
      <t>ヨウ</t>
    </rPh>
    <phoneticPr fontId="2"/>
  </si>
  <si>
    <t>川井</t>
    <rPh sb="0" eb="2">
      <t>カワイ</t>
    </rPh>
    <phoneticPr fontId="2"/>
  </si>
  <si>
    <t>加藤誠</t>
    <rPh sb="0" eb="3">
      <t>カトウマコト</t>
    </rPh>
    <phoneticPr fontId="2"/>
  </si>
  <si>
    <t>斉藤</t>
    <rPh sb="0" eb="2">
      <t>サイトウ</t>
    </rPh>
    <phoneticPr fontId="2"/>
  </si>
  <si>
    <t>出勤不可日</t>
    <rPh sb="0" eb="2">
      <t>シュッキン</t>
    </rPh>
    <rPh sb="2" eb="4">
      <t>フカ</t>
    </rPh>
    <rPh sb="4" eb="5">
      <t>ビ</t>
    </rPh>
    <phoneticPr fontId="2"/>
  </si>
  <si>
    <t>作業内容</t>
    <rPh sb="0" eb="2">
      <t>サギョウ</t>
    </rPh>
    <rPh sb="2" eb="4">
      <t>ナイヨウ</t>
    </rPh>
    <phoneticPr fontId="2"/>
  </si>
  <si>
    <t>加藤賢さんが土日は丸1日出勤します</t>
    <rPh sb="0" eb="2">
      <t>カトウ</t>
    </rPh>
    <rPh sb="2" eb="3">
      <t>ケン</t>
    </rPh>
    <rPh sb="6" eb="8">
      <t>ドニチ</t>
    </rPh>
    <rPh sb="9" eb="10">
      <t>マル</t>
    </rPh>
    <rPh sb="11" eb="12">
      <t>ニチ</t>
    </rPh>
    <rPh sb="12" eb="14">
      <t>シュッキン</t>
    </rPh>
    <phoneticPr fontId="2"/>
  </si>
  <si>
    <t>午前中のみの出勤で加藤賢さんと協力して切粉処理をメインに行ってください</t>
    <rPh sb="0" eb="3">
      <t>ゴゼンチュウ</t>
    </rPh>
    <rPh sb="6" eb="8">
      <t>シュッキン</t>
    </rPh>
    <rPh sb="9" eb="11">
      <t>カトウ</t>
    </rPh>
    <rPh sb="11" eb="12">
      <t>ケン</t>
    </rPh>
    <rPh sb="15" eb="17">
      <t>キョウリョク</t>
    </rPh>
    <rPh sb="19" eb="21">
      <t>キリコ</t>
    </rPh>
    <rPh sb="21" eb="23">
      <t>ショリ</t>
    </rPh>
    <rPh sb="28" eb="29">
      <t>オコナ</t>
    </rPh>
    <phoneticPr fontId="2"/>
  </si>
  <si>
    <t>細かい作業に関しては出勤しているオペレーターとも相談してください</t>
    <rPh sb="0" eb="1">
      <t>コマ</t>
    </rPh>
    <rPh sb="3" eb="5">
      <t>サギョウ</t>
    </rPh>
    <rPh sb="6" eb="7">
      <t>カン</t>
    </rPh>
    <rPh sb="10" eb="12">
      <t>シュッキン</t>
    </rPh>
    <rPh sb="24" eb="26">
      <t>ソウダン</t>
    </rPh>
    <phoneticPr fontId="2"/>
  </si>
  <si>
    <t>休日出勤予定メンバー</t>
    <rPh sb="0" eb="2">
      <t>キュウジツ</t>
    </rPh>
    <rPh sb="2" eb="4">
      <t>シュッキン</t>
    </rPh>
    <rPh sb="4" eb="6">
      <t>ヨテイ</t>
    </rPh>
    <phoneticPr fontId="2"/>
  </si>
  <si>
    <t>深田　</t>
    <rPh sb="0" eb="2">
      <t>フカタ</t>
    </rPh>
    <phoneticPr fontId="2"/>
  </si>
  <si>
    <t>新井秀</t>
    <rPh sb="0" eb="2">
      <t>アライ</t>
    </rPh>
    <rPh sb="2" eb="3">
      <t>シュウ</t>
    </rPh>
    <phoneticPr fontId="2"/>
  </si>
  <si>
    <t>深田</t>
    <rPh sb="0" eb="2">
      <t>フカタ</t>
    </rPh>
    <phoneticPr fontId="2"/>
  </si>
  <si>
    <t>新井啓</t>
    <rPh sb="0" eb="2">
      <t>アライ</t>
    </rPh>
    <rPh sb="2" eb="3">
      <t>ケイ</t>
    </rPh>
    <phoneticPr fontId="2"/>
  </si>
  <si>
    <t>馬場</t>
    <rPh sb="0" eb="2">
      <t>ババ</t>
    </rPh>
    <phoneticPr fontId="2"/>
  </si>
  <si>
    <t>大関</t>
    <rPh sb="0" eb="2">
      <t>オオゼキ</t>
    </rPh>
    <phoneticPr fontId="2"/>
  </si>
  <si>
    <t>加藤賢・馬場</t>
    <rPh sb="0" eb="2">
      <t>カトウ</t>
    </rPh>
    <rPh sb="2" eb="3">
      <t>ケン</t>
    </rPh>
    <rPh sb="4" eb="6">
      <t>ババ</t>
    </rPh>
    <phoneticPr fontId="2"/>
  </si>
  <si>
    <t>加藤賢・新井秀</t>
    <rPh sb="0" eb="2">
      <t>カトウ</t>
    </rPh>
    <rPh sb="2" eb="3">
      <t>ケン</t>
    </rPh>
    <rPh sb="4" eb="6">
      <t>アライ</t>
    </rPh>
    <rPh sb="6" eb="7">
      <t>シュウ</t>
    </rPh>
    <phoneticPr fontId="2"/>
  </si>
  <si>
    <t>加藤賢・岩田</t>
    <rPh sb="0" eb="2">
      <t>カトウ</t>
    </rPh>
    <rPh sb="2" eb="3">
      <t>ケン</t>
    </rPh>
    <rPh sb="4" eb="6">
      <t>イワタ</t>
    </rPh>
    <phoneticPr fontId="2"/>
  </si>
  <si>
    <t>加藤賢・深田</t>
    <rPh sb="0" eb="2">
      <t>カトウ</t>
    </rPh>
    <rPh sb="2" eb="3">
      <t>ケン</t>
    </rPh>
    <rPh sb="4" eb="6">
      <t>フカタ</t>
    </rPh>
    <phoneticPr fontId="2"/>
  </si>
  <si>
    <t>加藤賢・大関</t>
    <rPh sb="0" eb="2">
      <t>カトウ</t>
    </rPh>
    <rPh sb="2" eb="3">
      <t>ケン</t>
    </rPh>
    <rPh sb="4" eb="6">
      <t>オオゼキ</t>
    </rPh>
    <phoneticPr fontId="2"/>
  </si>
  <si>
    <t>加藤賢・新井啓</t>
    <rPh sb="0" eb="2">
      <t>カトウ</t>
    </rPh>
    <rPh sb="2" eb="3">
      <t>ケン</t>
    </rPh>
    <rPh sb="4" eb="6">
      <t>アライ</t>
    </rPh>
    <rPh sb="6" eb="7">
      <t>ケイ</t>
    </rPh>
    <phoneticPr fontId="2"/>
  </si>
  <si>
    <t>2021・1月、2月　休日夜勤当番表</t>
    <rPh sb="6" eb="7">
      <t>ツキ</t>
    </rPh>
    <rPh sb="9" eb="10">
      <t>ツキ</t>
    </rPh>
    <rPh sb="11" eb="13">
      <t>キュウジツ</t>
    </rPh>
    <rPh sb="13" eb="15">
      <t>ヤキン</t>
    </rPh>
    <rPh sb="15" eb="17">
      <t>トウバン</t>
    </rPh>
    <rPh sb="17" eb="18">
      <t>ヒョウ</t>
    </rPh>
    <phoneticPr fontId="2"/>
  </si>
  <si>
    <t>横田</t>
    <rPh sb="0" eb="2">
      <t>ヨコタ</t>
    </rPh>
    <phoneticPr fontId="2"/>
  </si>
  <si>
    <t>→</t>
    <phoneticPr fontId="2"/>
  </si>
  <si>
    <t>吉田</t>
    <rPh sb="0" eb="2">
      <t>ヨシダ</t>
    </rPh>
    <phoneticPr fontId="2"/>
  </si>
  <si>
    <t>浅見</t>
    <rPh sb="0" eb="2">
      <t>アサミ</t>
    </rPh>
    <phoneticPr fontId="2"/>
  </si>
  <si>
    <t>当番OK</t>
    <rPh sb="0" eb="2">
      <t>トウバン</t>
    </rPh>
    <phoneticPr fontId="2"/>
  </si>
  <si>
    <t>楮本</t>
    <rPh sb="0" eb="2">
      <t>カズモト</t>
    </rPh>
    <phoneticPr fontId="2"/>
  </si>
  <si>
    <t>高橋剛</t>
    <rPh sb="0" eb="2">
      <t>タカハシ</t>
    </rPh>
    <rPh sb="2" eb="3">
      <t>ゴウ</t>
    </rPh>
    <phoneticPr fontId="2"/>
  </si>
  <si>
    <t>高橋拓</t>
    <rPh sb="0" eb="2">
      <t>タカハシ</t>
    </rPh>
    <rPh sb="2" eb="3">
      <t>タク</t>
    </rPh>
    <phoneticPr fontId="2"/>
  </si>
  <si>
    <t>新井洋</t>
    <rPh sb="0" eb="2">
      <t>アライ</t>
    </rPh>
    <rPh sb="2" eb="3">
      <t>ヨウ</t>
    </rPh>
    <phoneticPr fontId="2"/>
  </si>
  <si>
    <t>木村</t>
    <rPh sb="0" eb="2">
      <t>キムラ</t>
    </rPh>
    <phoneticPr fontId="2"/>
  </si>
  <si>
    <t>矢野</t>
    <rPh sb="0" eb="2">
      <t>ヤノ</t>
    </rPh>
    <phoneticPr fontId="2"/>
  </si>
  <si>
    <t>→</t>
    <phoneticPr fontId="2"/>
  </si>
  <si>
    <t>加藤貴</t>
    <rPh sb="0" eb="2">
      <t>カトウ</t>
    </rPh>
    <rPh sb="2" eb="3">
      <t>タカシ</t>
    </rPh>
    <phoneticPr fontId="2"/>
  </si>
  <si>
    <t>小林</t>
    <rPh sb="0" eb="2">
      <t>コバヤシ</t>
    </rPh>
    <phoneticPr fontId="2"/>
  </si>
  <si>
    <t>髙田</t>
    <rPh sb="0" eb="2">
      <t>タカダ</t>
    </rPh>
    <phoneticPr fontId="2"/>
  </si>
  <si>
    <t>新井翔</t>
    <rPh sb="0" eb="2">
      <t>アライ</t>
    </rPh>
    <rPh sb="2" eb="3">
      <t>ショウ</t>
    </rPh>
    <phoneticPr fontId="2"/>
  </si>
  <si>
    <t>髙田</t>
    <rPh sb="0" eb="2">
      <t>タカダ</t>
    </rPh>
    <phoneticPr fontId="2"/>
  </si>
  <si>
    <t>木村</t>
    <rPh sb="0" eb="2">
      <t>キムラ</t>
    </rPh>
    <phoneticPr fontId="2"/>
  </si>
  <si>
    <t>加藤貴</t>
    <rPh sb="0" eb="2">
      <t>カトウ</t>
    </rPh>
    <rPh sb="2" eb="3">
      <t>タカシ</t>
    </rPh>
    <phoneticPr fontId="2"/>
  </si>
  <si>
    <t>斉藤</t>
    <rPh sb="0" eb="2">
      <t>サイトウ</t>
    </rPh>
    <phoneticPr fontId="2"/>
  </si>
  <si>
    <t>小林</t>
    <rPh sb="0" eb="2">
      <t>コバヤシ</t>
    </rPh>
    <phoneticPr fontId="2"/>
  </si>
  <si>
    <t>加藤誠</t>
    <rPh sb="0" eb="2">
      <t>カトウ</t>
    </rPh>
    <rPh sb="2" eb="3">
      <t>マコト</t>
    </rPh>
    <phoneticPr fontId="2"/>
  </si>
  <si>
    <t>高橋剛</t>
    <rPh sb="0" eb="2">
      <t>タカハシ</t>
    </rPh>
    <rPh sb="2" eb="3">
      <t>ゴウ</t>
    </rPh>
    <phoneticPr fontId="2"/>
  </si>
  <si>
    <t>川井</t>
    <rPh sb="0" eb="2">
      <t>カワイ</t>
    </rPh>
    <phoneticPr fontId="2"/>
  </si>
  <si>
    <t>新井洋</t>
    <rPh sb="0" eb="2">
      <t>アライ</t>
    </rPh>
    <rPh sb="2" eb="3">
      <t>ヨウ</t>
    </rPh>
    <phoneticPr fontId="2"/>
  </si>
  <si>
    <t>楮本</t>
    <rPh sb="0" eb="2">
      <t>カズモト</t>
    </rPh>
    <phoneticPr fontId="2"/>
  </si>
  <si>
    <t>浅賀</t>
    <rPh sb="0" eb="2">
      <t>アサカ</t>
    </rPh>
    <phoneticPr fontId="2"/>
  </si>
  <si>
    <t>高橋拓</t>
    <rPh sb="0" eb="2">
      <t>タカハシ</t>
    </rPh>
    <rPh sb="2" eb="3">
      <t>タク</t>
    </rPh>
    <phoneticPr fontId="2"/>
  </si>
  <si>
    <t>矢野</t>
    <rPh sb="0" eb="2">
      <t>ヤノ</t>
    </rPh>
    <phoneticPr fontId="2"/>
  </si>
  <si>
    <t>今井</t>
    <rPh sb="0" eb="2">
      <t>イマイ</t>
    </rPh>
    <phoneticPr fontId="2"/>
  </si>
  <si>
    <t>勅使河原</t>
    <rPh sb="0" eb="4">
      <t>テシガワラ</t>
    </rPh>
    <phoneticPr fontId="2"/>
  </si>
  <si>
    <t>高橋良</t>
    <rPh sb="0" eb="2">
      <t>タカハシ</t>
    </rPh>
    <rPh sb="2" eb="3">
      <t>ヨ</t>
    </rPh>
    <phoneticPr fontId="2"/>
  </si>
  <si>
    <t>新井翔</t>
    <rPh sb="0" eb="2">
      <t>アライ</t>
    </rPh>
    <rPh sb="2" eb="3">
      <t>ショウ</t>
    </rPh>
    <phoneticPr fontId="2"/>
  </si>
  <si>
    <t>加藤賢・深田</t>
    <rPh sb="0" eb="2">
      <t>カトウ</t>
    </rPh>
    <rPh sb="2" eb="3">
      <t>ケン</t>
    </rPh>
    <rPh sb="4" eb="6">
      <t>フカタ</t>
    </rPh>
    <phoneticPr fontId="2"/>
  </si>
  <si>
    <t>加藤賢・大関</t>
    <rPh sb="0" eb="2">
      <t>カトウ</t>
    </rPh>
    <rPh sb="2" eb="3">
      <t>ケン</t>
    </rPh>
    <rPh sb="4" eb="6">
      <t>オオゼキ</t>
    </rPh>
    <phoneticPr fontId="2"/>
  </si>
  <si>
    <t>加藤賢・岩田</t>
    <rPh sb="0" eb="2">
      <t>カトウ</t>
    </rPh>
    <rPh sb="2" eb="3">
      <t>ケン</t>
    </rPh>
    <rPh sb="4" eb="6">
      <t>イワタ</t>
    </rPh>
    <phoneticPr fontId="2"/>
  </si>
  <si>
    <t>加藤賢・新井啓</t>
    <rPh sb="0" eb="2">
      <t>カトウ</t>
    </rPh>
    <rPh sb="2" eb="3">
      <t>ケン</t>
    </rPh>
    <rPh sb="4" eb="6">
      <t>アライ</t>
    </rPh>
    <rPh sb="6" eb="7">
      <t>ケイ</t>
    </rPh>
    <phoneticPr fontId="2"/>
  </si>
  <si>
    <t>加藤賢・新井秀</t>
    <rPh sb="0" eb="2">
      <t>カトウ</t>
    </rPh>
    <rPh sb="2" eb="3">
      <t>ケン</t>
    </rPh>
    <rPh sb="4" eb="6">
      <t>アライ</t>
    </rPh>
    <rPh sb="6" eb="7">
      <t>シュウ</t>
    </rPh>
    <phoneticPr fontId="2"/>
  </si>
  <si>
    <t>馬場</t>
    <rPh sb="0" eb="2">
      <t>ババ</t>
    </rPh>
    <phoneticPr fontId="2"/>
  </si>
  <si>
    <t>日曜×</t>
    <rPh sb="0" eb="2">
      <t>ニチヨウ</t>
    </rPh>
    <phoneticPr fontId="2"/>
  </si>
  <si>
    <t>加藤賢・馬場</t>
    <rPh sb="0" eb="2">
      <t>カトウ</t>
    </rPh>
    <rPh sb="2" eb="3">
      <t>ケン</t>
    </rPh>
    <rPh sb="4" eb="6">
      <t>ババ</t>
    </rPh>
    <phoneticPr fontId="2"/>
  </si>
  <si>
    <t>勅使河原</t>
    <rPh sb="0" eb="4">
      <t>テシガワラ</t>
    </rPh>
    <phoneticPr fontId="2"/>
  </si>
  <si>
    <t>2021・3月、4月　休日夜勤当番表</t>
    <rPh sb="6" eb="7">
      <t>ツキ</t>
    </rPh>
    <rPh sb="9" eb="10">
      <t>ツキ</t>
    </rPh>
    <rPh sb="11" eb="13">
      <t>キュウジツ</t>
    </rPh>
    <rPh sb="13" eb="15">
      <t>ヤキン</t>
    </rPh>
    <rPh sb="15" eb="17">
      <t>トウバン</t>
    </rPh>
    <rPh sb="17" eb="18">
      <t>ヒョウ</t>
    </rPh>
    <phoneticPr fontId="2"/>
  </si>
  <si>
    <t>浅見</t>
    <rPh sb="0" eb="2">
      <t>アサミ</t>
    </rPh>
    <phoneticPr fontId="2"/>
  </si>
  <si>
    <t>→</t>
    <phoneticPr fontId="2"/>
  </si>
  <si>
    <t>加藤賢・近藤</t>
    <rPh sb="0" eb="3">
      <t>カトウケン</t>
    </rPh>
    <rPh sb="4" eb="6">
      <t>コンドウ</t>
    </rPh>
    <phoneticPr fontId="2"/>
  </si>
  <si>
    <t>高橋剛</t>
    <rPh sb="0" eb="3">
      <t>タカハシゴウ</t>
    </rPh>
    <phoneticPr fontId="2"/>
  </si>
  <si>
    <t>楮本</t>
    <rPh sb="0" eb="2">
      <t>カズモト</t>
    </rPh>
    <phoneticPr fontId="2"/>
  </si>
  <si>
    <t>高橋剛</t>
    <rPh sb="0" eb="3">
      <t>タカハシゴウ</t>
    </rPh>
    <phoneticPr fontId="2"/>
  </si>
  <si>
    <t>→</t>
    <phoneticPr fontId="2"/>
  </si>
  <si>
    <t>高橋拓</t>
    <rPh sb="0" eb="3">
      <t>タカハシタク</t>
    </rPh>
    <phoneticPr fontId="2"/>
  </si>
  <si>
    <t>新井洋</t>
    <rPh sb="0" eb="3">
      <t>アライヨウ</t>
    </rPh>
    <phoneticPr fontId="2"/>
  </si>
  <si>
    <t>木村</t>
    <rPh sb="0" eb="2">
      <t>キムラ</t>
    </rPh>
    <phoneticPr fontId="2"/>
  </si>
  <si>
    <t>矢野</t>
    <rPh sb="0" eb="2">
      <t>ヤノ</t>
    </rPh>
    <phoneticPr fontId="2"/>
  </si>
  <si>
    <t>加藤貴</t>
    <rPh sb="0" eb="3">
      <t>カトウタカシ</t>
    </rPh>
    <phoneticPr fontId="2"/>
  </si>
  <si>
    <t>小林</t>
    <rPh sb="0" eb="2">
      <t>コバヤシ</t>
    </rPh>
    <phoneticPr fontId="2"/>
  </si>
  <si>
    <t>3,4月</t>
    <rPh sb="3" eb="4">
      <t>ガツ</t>
    </rPh>
    <phoneticPr fontId="2"/>
  </si>
  <si>
    <t>休17</t>
    <rPh sb="0" eb="1">
      <t>ヤス</t>
    </rPh>
    <phoneticPr fontId="2"/>
  </si>
  <si>
    <t>高橋剛</t>
    <rPh sb="0" eb="3">
      <t>タカハシゴウ</t>
    </rPh>
    <phoneticPr fontId="2"/>
  </si>
  <si>
    <t>加藤貴</t>
    <rPh sb="0" eb="3">
      <t>カトウタカシ</t>
    </rPh>
    <phoneticPr fontId="2"/>
  </si>
  <si>
    <t>斉藤</t>
    <rPh sb="0" eb="2">
      <t>サイトウ</t>
    </rPh>
    <phoneticPr fontId="2"/>
  </si>
  <si>
    <t>新井洋</t>
    <rPh sb="0" eb="3">
      <t>アライヨウ</t>
    </rPh>
    <phoneticPr fontId="2"/>
  </si>
  <si>
    <t>今井</t>
    <rPh sb="0" eb="2">
      <t>イマイ</t>
    </rPh>
    <phoneticPr fontId="2"/>
  </si>
  <si>
    <t>高橋拓</t>
    <rPh sb="0" eb="3">
      <t>タカハシタク</t>
    </rPh>
    <phoneticPr fontId="2"/>
  </si>
  <si>
    <t>矢野</t>
    <rPh sb="0" eb="2">
      <t>ヤノ</t>
    </rPh>
    <phoneticPr fontId="2"/>
  </si>
  <si>
    <t>髙田</t>
    <rPh sb="0" eb="2">
      <t>タカダ</t>
    </rPh>
    <phoneticPr fontId="2"/>
  </si>
  <si>
    <t>勅使河原</t>
    <rPh sb="0" eb="4">
      <t>テシガワラ</t>
    </rPh>
    <phoneticPr fontId="2"/>
  </si>
  <si>
    <t>新井翔</t>
    <rPh sb="0" eb="3">
      <t>アライショウ</t>
    </rPh>
    <phoneticPr fontId="2"/>
  </si>
  <si>
    <t>楮本</t>
    <rPh sb="0" eb="2">
      <t>カズモト</t>
    </rPh>
    <phoneticPr fontId="2"/>
  </si>
  <si>
    <t>高橋良</t>
    <rPh sb="0" eb="3">
      <t>タカハシヨ</t>
    </rPh>
    <phoneticPr fontId="2"/>
  </si>
  <si>
    <t>浅賀</t>
    <rPh sb="0" eb="2">
      <t>アサカ</t>
    </rPh>
    <phoneticPr fontId="2"/>
  </si>
  <si>
    <t>小林</t>
    <rPh sb="0" eb="2">
      <t>コバヤシ</t>
    </rPh>
    <phoneticPr fontId="2"/>
  </si>
  <si>
    <t>木村</t>
    <rPh sb="0" eb="2">
      <t>キムラ</t>
    </rPh>
    <phoneticPr fontId="2"/>
  </si>
  <si>
    <t>加隝</t>
    <rPh sb="0" eb="2">
      <t>カシマ</t>
    </rPh>
    <phoneticPr fontId="2"/>
  </si>
  <si>
    <t>加隝</t>
    <rPh sb="0" eb="2">
      <t>カシマ</t>
    </rPh>
    <phoneticPr fontId="2"/>
  </si>
  <si>
    <t>2021・5月、6月　休日夜勤当番表</t>
    <rPh sb="6" eb="7">
      <t>ツキ</t>
    </rPh>
    <rPh sb="9" eb="10">
      <t>ツキ</t>
    </rPh>
    <rPh sb="11" eb="13">
      <t>キュウジツ</t>
    </rPh>
    <rPh sb="13" eb="15">
      <t>ヤキン</t>
    </rPh>
    <rPh sb="15" eb="17">
      <t>トウバン</t>
    </rPh>
    <rPh sb="17" eb="18">
      <t>ヒョウ</t>
    </rPh>
    <phoneticPr fontId="2"/>
  </si>
  <si>
    <t>楮本</t>
    <rPh sb="0" eb="2">
      <t>カズモト</t>
    </rPh>
    <phoneticPr fontId="2"/>
  </si>
  <si>
    <t>→</t>
    <phoneticPr fontId="2"/>
  </si>
  <si>
    <t>高橋剛</t>
    <rPh sb="0" eb="3">
      <t>タカハシゴウ</t>
    </rPh>
    <phoneticPr fontId="2"/>
  </si>
  <si>
    <t>高橋拓</t>
    <rPh sb="0" eb="3">
      <t>タカハシタク</t>
    </rPh>
    <phoneticPr fontId="2"/>
  </si>
  <si>
    <t>新井洋</t>
    <rPh sb="0" eb="3">
      <t>アライヨウ</t>
    </rPh>
    <phoneticPr fontId="2"/>
  </si>
  <si>
    <t>4/26夜</t>
    <rPh sb="4" eb="5">
      <t>ヨル</t>
    </rPh>
    <phoneticPr fontId="2"/>
  </si>
  <si>
    <t>木村</t>
    <rPh sb="0" eb="2">
      <t>キムラ</t>
    </rPh>
    <phoneticPr fontId="2"/>
  </si>
  <si>
    <t>→</t>
    <phoneticPr fontId="2"/>
  </si>
  <si>
    <t>矢野</t>
    <rPh sb="0" eb="2">
      <t>ヤノ</t>
    </rPh>
    <phoneticPr fontId="2"/>
  </si>
  <si>
    <t>加藤貴</t>
    <rPh sb="0" eb="3">
      <t>カトウタカシ</t>
    </rPh>
    <phoneticPr fontId="2"/>
  </si>
  <si>
    <t>浅見</t>
    <rPh sb="0" eb="2">
      <t>アサミ</t>
    </rPh>
    <phoneticPr fontId="2"/>
  </si>
  <si>
    <t>吉田</t>
    <rPh sb="0" eb="2">
      <t>ヨシダ</t>
    </rPh>
    <phoneticPr fontId="2"/>
  </si>
  <si>
    <t>横田</t>
    <rPh sb="0" eb="2">
      <t>ヨコタ</t>
    </rPh>
    <phoneticPr fontId="2"/>
  </si>
  <si>
    <t>→</t>
    <phoneticPr fontId="2"/>
  </si>
  <si>
    <t>髙田</t>
    <rPh sb="0" eb="2">
      <t>タカダ</t>
    </rPh>
    <phoneticPr fontId="2"/>
  </si>
  <si>
    <t>加藤貴</t>
    <rPh sb="0" eb="3">
      <t>カトウタカ</t>
    </rPh>
    <phoneticPr fontId="2"/>
  </si>
  <si>
    <t>矢野</t>
    <rPh sb="0" eb="2">
      <t>ヤノ</t>
    </rPh>
    <phoneticPr fontId="2"/>
  </si>
  <si>
    <t>高橋拓</t>
    <rPh sb="0" eb="3">
      <t>タカハシタク</t>
    </rPh>
    <phoneticPr fontId="2"/>
  </si>
  <si>
    <t>今井</t>
    <rPh sb="0" eb="2">
      <t>イマイ</t>
    </rPh>
    <phoneticPr fontId="2"/>
  </si>
  <si>
    <t>齋藤</t>
    <rPh sb="0" eb="2">
      <t>サイトウ</t>
    </rPh>
    <phoneticPr fontId="2"/>
  </si>
  <si>
    <t>木村</t>
    <rPh sb="0" eb="2">
      <t>キムラ</t>
    </rPh>
    <phoneticPr fontId="2"/>
  </si>
  <si>
    <t>新井洋</t>
    <rPh sb="0" eb="3">
      <t>アライヨウ</t>
    </rPh>
    <phoneticPr fontId="2"/>
  </si>
  <si>
    <t>加藤貴</t>
    <rPh sb="0" eb="3">
      <t>カトウタカシ</t>
    </rPh>
    <phoneticPr fontId="2"/>
  </si>
  <si>
    <t>斉藤</t>
    <rPh sb="0" eb="2">
      <t>サイトウ</t>
    </rPh>
    <phoneticPr fontId="2"/>
  </si>
  <si>
    <t>小林</t>
    <rPh sb="0" eb="2">
      <t>コバヤシ</t>
    </rPh>
    <phoneticPr fontId="2"/>
  </si>
  <si>
    <t>加藤誠</t>
    <rPh sb="0" eb="3">
      <t>カトウマコト</t>
    </rPh>
    <phoneticPr fontId="2"/>
  </si>
  <si>
    <t>勅使河原</t>
    <rPh sb="0" eb="4">
      <t>テシガワラ</t>
    </rPh>
    <phoneticPr fontId="2"/>
  </si>
  <si>
    <t>高橋剛</t>
    <rPh sb="0" eb="3">
      <t>タカハシゴウ</t>
    </rPh>
    <phoneticPr fontId="2"/>
  </si>
  <si>
    <t>加隝</t>
    <rPh sb="0" eb="2">
      <t>カシマ</t>
    </rPh>
    <phoneticPr fontId="2"/>
  </si>
  <si>
    <t>木村</t>
    <rPh sb="0" eb="2">
      <t>キムラ</t>
    </rPh>
    <phoneticPr fontId="2"/>
  </si>
  <si>
    <t>今井</t>
    <rPh sb="0" eb="2">
      <t>イマイ</t>
    </rPh>
    <phoneticPr fontId="2"/>
  </si>
  <si>
    <t>新井翔</t>
    <rPh sb="0" eb="3">
      <t>アライショウ</t>
    </rPh>
    <phoneticPr fontId="2"/>
  </si>
  <si>
    <t>高橋拓</t>
    <rPh sb="0" eb="3">
      <t>タカハシタク</t>
    </rPh>
    <phoneticPr fontId="2"/>
  </si>
  <si>
    <t>髙田</t>
    <rPh sb="0" eb="2">
      <t>タカダ</t>
    </rPh>
    <phoneticPr fontId="2"/>
  </si>
  <si>
    <t>高橋良</t>
    <rPh sb="0" eb="3">
      <t>タカハシヨ</t>
    </rPh>
    <phoneticPr fontId="2"/>
  </si>
  <si>
    <t>楮本</t>
    <rPh sb="0" eb="2">
      <t>カズモト</t>
    </rPh>
    <phoneticPr fontId="2"/>
  </si>
  <si>
    <t>矢野</t>
    <rPh sb="0" eb="2">
      <t>ヤノ</t>
    </rPh>
    <phoneticPr fontId="2"/>
  </si>
  <si>
    <t>浅賀</t>
    <rPh sb="0" eb="2">
      <t>アサカ</t>
    </rPh>
    <phoneticPr fontId="2"/>
  </si>
  <si>
    <t>1，8</t>
    <phoneticPr fontId="2"/>
  </si>
  <si>
    <t>2021・7月、8月　休日夜勤当番表</t>
    <rPh sb="6" eb="7">
      <t>ツキ</t>
    </rPh>
    <rPh sb="9" eb="10">
      <t>ツキ</t>
    </rPh>
    <rPh sb="11" eb="13">
      <t>キュウジツ</t>
    </rPh>
    <rPh sb="13" eb="15">
      <t>ヤキン</t>
    </rPh>
    <rPh sb="15" eb="17">
      <t>トウバン</t>
    </rPh>
    <rPh sb="17" eb="18">
      <t>ヒョウ</t>
    </rPh>
    <phoneticPr fontId="2"/>
  </si>
  <si>
    <t>小田切</t>
    <rPh sb="0" eb="3">
      <t>オダギリ</t>
    </rPh>
    <phoneticPr fontId="2"/>
  </si>
  <si>
    <t>近藤・斉藤邦</t>
    <rPh sb="0" eb="2">
      <t>コンドウ</t>
    </rPh>
    <rPh sb="3" eb="5">
      <t>サイトウ</t>
    </rPh>
    <rPh sb="5" eb="6">
      <t>クニ</t>
    </rPh>
    <phoneticPr fontId="2"/>
  </si>
  <si>
    <t>休14</t>
    <rPh sb="0" eb="1">
      <t>ヤス</t>
    </rPh>
    <phoneticPr fontId="2"/>
  </si>
  <si>
    <t>2021・9月、10月　休日夜勤当番表</t>
    <rPh sb="6" eb="7">
      <t>ツキ</t>
    </rPh>
    <rPh sb="10" eb="11">
      <t>ツキ</t>
    </rPh>
    <rPh sb="12" eb="14">
      <t>キュウジツ</t>
    </rPh>
    <rPh sb="14" eb="16">
      <t>ヤキン</t>
    </rPh>
    <rPh sb="16" eb="18">
      <t>トウバン</t>
    </rPh>
    <rPh sb="18" eb="19">
      <t>ヒョウ</t>
    </rPh>
    <phoneticPr fontId="2"/>
  </si>
  <si>
    <t>斉藤邦</t>
    <rPh sb="0" eb="3">
      <t>サイトウクニ</t>
    </rPh>
    <phoneticPr fontId="2"/>
  </si>
  <si>
    <t>1,7</t>
    <phoneticPr fontId="2"/>
  </si>
  <si>
    <t>3,8</t>
    <phoneticPr fontId="2"/>
  </si>
  <si>
    <t>2,9</t>
    <phoneticPr fontId="2"/>
  </si>
  <si>
    <t>休日不可</t>
    <rPh sb="0" eb="2">
      <t>キュウジツ</t>
    </rPh>
    <rPh sb="2" eb="4">
      <t>フカ</t>
    </rPh>
    <phoneticPr fontId="2"/>
  </si>
  <si>
    <t>夜勤不可</t>
    <rPh sb="0" eb="4">
      <t>ヤキンフカ</t>
    </rPh>
    <phoneticPr fontId="2"/>
  </si>
  <si>
    <t>2021・11月、12月　休日夜勤当番表</t>
    <rPh sb="7" eb="8">
      <t>ツキ</t>
    </rPh>
    <rPh sb="11" eb="12">
      <t>ツキ</t>
    </rPh>
    <rPh sb="13" eb="15">
      <t>キュウジツ</t>
    </rPh>
    <rPh sb="15" eb="17">
      <t>ヤキン</t>
    </rPh>
    <rPh sb="17" eb="19">
      <t>トウバン</t>
    </rPh>
    <rPh sb="19" eb="20">
      <t>ヒョウ</t>
    </rPh>
    <phoneticPr fontId="2"/>
  </si>
  <si>
    <t>10/24,10/31,11/7,11/14,11/21,11/27,11/28,12/5,12/12,12/19 　　　11/21～11/28夜勤不可</t>
    <phoneticPr fontId="2"/>
  </si>
  <si>
    <t>10/30、31　　11/13、27、28</t>
    <phoneticPr fontId="2"/>
  </si>
  <si>
    <t>10/30、31　　11/13、14　　12/11、12、18、19　　　　　11、12月夜勤不可</t>
    <phoneticPr fontId="2"/>
  </si>
  <si>
    <t>10/24,30,31  11/20,28   12/11,12,18</t>
    <phoneticPr fontId="2"/>
  </si>
  <si>
    <t>11/6.13.27 12/11</t>
  </si>
  <si>
    <t>近藤裕</t>
    <rPh sb="0" eb="3">
      <t>コンドウヒロ</t>
    </rPh>
    <phoneticPr fontId="2"/>
  </si>
  <si>
    <t>10/24   11/14</t>
    <phoneticPr fontId="2"/>
  </si>
  <si>
    <t>勅使河原</t>
    <rPh sb="0" eb="4">
      <t>テシガハラ</t>
    </rPh>
    <phoneticPr fontId="2"/>
  </si>
  <si>
    <t>休19</t>
    <rPh sb="0" eb="1">
      <t>ヤス</t>
    </rPh>
    <phoneticPr fontId="2"/>
  </si>
  <si>
    <t>近藤裕</t>
    <rPh sb="0" eb="3">
      <t>コンドウユウ</t>
    </rPh>
    <phoneticPr fontId="2"/>
  </si>
  <si>
    <t>12/3,4,5</t>
    <phoneticPr fontId="2"/>
  </si>
  <si>
    <t>大山</t>
    <rPh sb="0" eb="2">
      <t>オオヤマ</t>
    </rPh>
    <phoneticPr fontId="2"/>
  </si>
  <si>
    <t>変更→</t>
    <rPh sb="0" eb="2">
      <t>ヘンコウ</t>
    </rPh>
    <phoneticPr fontId="2"/>
  </si>
  <si>
    <t>新井啓</t>
    <rPh sb="0" eb="3">
      <t>アライケイ</t>
    </rPh>
    <phoneticPr fontId="2"/>
  </si>
  <si>
    <t>丸岡</t>
    <rPh sb="0" eb="2">
      <t>マルオカ</t>
    </rPh>
    <phoneticPr fontId="2"/>
  </si>
  <si>
    <t>2022・1月、2月　休日夜勤当番表</t>
    <rPh sb="6" eb="7">
      <t>ツキ</t>
    </rPh>
    <rPh sb="9" eb="10">
      <t>ツキ</t>
    </rPh>
    <rPh sb="11" eb="13">
      <t>キュウジツ</t>
    </rPh>
    <rPh sb="13" eb="15">
      <t>ヤキン</t>
    </rPh>
    <rPh sb="15" eb="17">
      <t>トウバン</t>
    </rPh>
    <rPh sb="17" eb="18">
      <t>ヒョウ</t>
    </rPh>
    <phoneticPr fontId="2"/>
  </si>
  <si>
    <t>12/26,1/9,1/16,1/23,1/30,2/6,2/13,2/20</t>
    <phoneticPr fontId="2"/>
  </si>
  <si>
    <t>12/27～1/7　夜勤不可</t>
    <phoneticPr fontId="2"/>
  </si>
  <si>
    <t>12/25、26　　1/29、30</t>
    <phoneticPr fontId="2"/>
  </si>
  <si>
    <t>12/25.12/26.1/8.1/9.1/29.2/13.2/14</t>
    <phoneticPr fontId="2"/>
  </si>
  <si>
    <t>12/25,12/26</t>
    <phoneticPr fontId="2"/>
  </si>
  <si>
    <t xml:space="preserve">12/25,26 　1/8,9,15,16　2/19,20 </t>
    <phoneticPr fontId="2"/>
  </si>
  <si>
    <t>12/25,1/8,,1/15,2/5,2/12</t>
    <phoneticPr fontId="2"/>
  </si>
  <si>
    <t>2022・3月、4月　休日夜勤当番表</t>
    <rPh sb="6" eb="7">
      <t>ツキ</t>
    </rPh>
    <rPh sb="9" eb="10">
      <t>ツキ</t>
    </rPh>
    <rPh sb="11" eb="13">
      <t>キュウジツ</t>
    </rPh>
    <rPh sb="13" eb="15">
      <t>ヤキン</t>
    </rPh>
    <rPh sb="15" eb="17">
      <t>トウバン</t>
    </rPh>
    <rPh sb="17" eb="18">
      <t>ヒョウ</t>
    </rPh>
    <phoneticPr fontId="2"/>
  </si>
  <si>
    <t>夜勤2</t>
    <rPh sb="0" eb="2">
      <t>ヤキン</t>
    </rPh>
    <phoneticPr fontId="2"/>
  </si>
  <si>
    <t>小久保</t>
    <rPh sb="0" eb="3">
      <t>コクボ</t>
    </rPh>
    <phoneticPr fontId="2"/>
  </si>
  <si>
    <t>3/12 3/13 4/2 4/3</t>
    <phoneticPr fontId="2"/>
  </si>
  <si>
    <t>2/26,3/19,4/9</t>
    <phoneticPr fontId="2"/>
  </si>
  <si>
    <t>2/26 2/27 3/19 4/16 4/17</t>
    <phoneticPr fontId="2"/>
  </si>
  <si>
    <t>3/19,3/20,4/9</t>
    <phoneticPr fontId="2"/>
  </si>
  <si>
    <t>2/26,3/5,3/12,3/19,4/16</t>
  </si>
  <si>
    <t>1.5.9</t>
    <phoneticPr fontId="2"/>
  </si>
  <si>
    <t>2022・5月、6月　休日夜勤当番表</t>
    <rPh sb="6" eb="7">
      <t>ツキ</t>
    </rPh>
    <rPh sb="9" eb="10">
      <t>ツキ</t>
    </rPh>
    <rPh sb="11" eb="13">
      <t>キュウジツ</t>
    </rPh>
    <rPh sb="13" eb="15">
      <t>ヤキン</t>
    </rPh>
    <rPh sb="15" eb="17">
      <t>トウバン</t>
    </rPh>
    <rPh sb="17" eb="18">
      <t>ヒョウ</t>
    </rPh>
    <phoneticPr fontId="2"/>
  </si>
  <si>
    <t>高橋拓</t>
  </si>
  <si>
    <t>5/21,6/11 休日当番不可</t>
  </si>
  <si>
    <t>矢野</t>
  </si>
  <si>
    <t>4/23、30　　5/1、28、29</t>
  </si>
  <si>
    <t>楮本</t>
  </si>
  <si>
    <t>5/7,8,14,6/4,11,18　休日当番不可</t>
  </si>
  <si>
    <t>斉藤</t>
  </si>
  <si>
    <t>5/14，5/15</t>
  </si>
  <si>
    <t>木村</t>
  </si>
  <si>
    <t>4/23，24，30　　5/1，7，8　</t>
  </si>
  <si>
    <t>加藤誠</t>
  </si>
  <si>
    <t>4/23,5/7,5/8,5/14,5/29</t>
  </si>
  <si>
    <t>3,9</t>
    <phoneticPr fontId="2"/>
  </si>
  <si>
    <t>2,4,6,8,10</t>
    <phoneticPr fontId="2"/>
  </si>
  <si>
    <t>1,8</t>
    <phoneticPr fontId="2"/>
  </si>
  <si>
    <t>3,10</t>
    <phoneticPr fontId="2"/>
  </si>
  <si>
    <t>高橋良</t>
    <rPh sb="0" eb="2">
      <t>タカハシ</t>
    </rPh>
    <rPh sb="2" eb="3">
      <t>ヨシ</t>
    </rPh>
    <phoneticPr fontId="2"/>
  </si>
  <si>
    <t>2022・7月、8月　休日夜勤当番表</t>
    <rPh sb="6" eb="7">
      <t>ツキ</t>
    </rPh>
    <rPh sb="9" eb="10">
      <t>ツキ</t>
    </rPh>
    <rPh sb="11" eb="13">
      <t>キュウジツ</t>
    </rPh>
    <rPh sb="13" eb="15">
      <t>ヤキン</t>
    </rPh>
    <rPh sb="15" eb="17">
      <t>トウバン</t>
    </rPh>
    <rPh sb="17" eb="18">
      <t>ヒョウ</t>
    </rPh>
    <phoneticPr fontId="2"/>
  </si>
  <si>
    <t>今井</t>
  </si>
  <si>
    <t>7/23.24、8/6.7</t>
  </si>
  <si>
    <t>新井翔</t>
  </si>
  <si>
    <t>6/25,26 7/23,24</t>
  </si>
  <si>
    <t>7/9,10 7/30,31 8/20</t>
  </si>
  <si>
    <t>7/30,7/31</t>
  </si>
  <si>
    <t>髙田</t>
  </si>
  <si>
    <t>7/24.7/31.8/7</t>
  </si>
  <si>
    <t>高橋良</t>
  </si>
  <si>
    <t>7/2,7/9 8/6,20</t>
  </si>
  <si>
    <t>6/25,26 7/16,17 8/20</t>
  </si>
  <si>
    <t>加藤貴</t>
  </si>
  <si>
    <t>6/25,26　　7/2．3</t>
    <phoneticPr fontId="2"/>
  </si>
  <si>
    <t>7/23.24</t>
    <phoneticPr fontId="2"/>
  </si>
  <si>
    <t>近藤裕</t>
    <rPh sb="0" eb="2">
      <t>コンドウ</t>
    </rPh>
    <rPh sb="2" eb="3">
      <t>ヒロ</t>
    </rPh>
    <phoneticPr fontId="2"/>
  </si>
  <si>
    <t>斉藤邦</t>
    <rPh sb="0" eb="2">
      <t>サイトウ</t>
    </rPh>
    <rPh sb="2" eb="3">
      <t>クニ</t>
    </rPh>
    <phoneticPr fontId="2"/>
  </si>
  <si>
    <t>1.3.5.7.9</t>
    <phoneticPr fontId="2"/>
  </si>
  <si>
    <t>高橋拓</t>
    <phoneticPr fontId="2"/>
  </si>
  <si>
    <t>高橋良</t>
    <phoneticPr fontId="2"/>
  </si>
  <si>
    <t>髙田</t>
    <phoneticPr fontId="2"/>
  </si>
  <si>
    <t>楮本</t>
    <rPh sb="0" eb="2">
      <t>チョモト</t>
    </rPh>
    <phoneticPr fontId="2"/>
  </si>
  <si>
    <t>9/17,18</t>
    <phoneticPr fontId="2"/>
  </si>
  <si>
    <t>9/3,9/17,9/18,10/8,10/9</t>
    <phoneticPr fontId="2"/>
  </si>
  <si>
    <t>9/24,9/25,10/8,10/9</t>
    <phoneticPr fontId="2"/>
  </si>
  <si>
    <t>9/17.9/18</t>
    <phoneticPr fontId="2"/>
  </si>
  <si>
    <t>8/21 8/27 8/28 9/24 9/25</t>
    <phoneticPr fontId="2"/>
  </si>
  <si>
    <t>9/3,10.11,10/1,8</t>
    <phoneticPr fontId="2"/>
  </si>
  <si>
    <t>✓</t>
    <phoneticPr fontId="2"/>
  </si>
  <si>
    <t>小林</t>
    <phoneticPr fontId="2"/>
  </si>
  <si>
    <t>1,9</t>
    <phoneticPr fontId="2"/>
  </si>
  <si>
    <t>2,4,6,8</t>
    <phoneticPr fontId="2"/>
  </si>
  <si>
    <t>勅使</t>
    <rPh sb="0" eb="2">
      <t>チョクシ</t>
    </rPh>
    <phoneticPr fontId="2"/>
  </si>
  <si>
    <t>8/21,8/27</t>
    <phoneticPr fontId="2"/>
  </si>
  <si>
    <t>大関</t>
    <rPh sb="0" eb="2">
      <t>オオセキ</t>
    </rPh>
    <phoneticPr fontId="2"/>
  </si>
  <si>
    <t>斎藤</t>
    <phoneticPr fontId="2"/>
  </si>
  <si>
    <t>新井洋</t>
    <phoneticPr fontId="2"/>
  </si>
  <si>
    <t>楮本</t>
    <rPh sb="0" eb="1">
      <t>コウゾ</t>
    </rPh>
    <rPh sb="1" eb="2">
      <t>ボン</t>
    </rPh>
    <phoneticPr fontId="2"/>
  </si>
  <si>
    <t>楮本</t>
    <phoneticPr fontId="2"/>
  </si>
  <si>
    <t>勅使河原</t>
    <phoneticPr fontId="2"/>
  </si>
  <si>
    <t>加藤貴</t>
    <phoneticPr fontId="2"/>
  </si>
  <si>
    <t>丸岡</t>
    <phoneticPr fontId="2"/>
  </si>
  <si>
    <t>高橋剛</t>
    <phoneticPr fontId="2"/>
  </si>
  <si>
    <t>8/21,10/1,10/2</t>
  </si>
  <si>
    <t>8/21,9/3</t>
    <phoneticPr fontId="2"/>
  </si>
  <si>
    <t>小久保　夜勤　1カ月に一度程度希望</t>
    <rPh sb="0" eb="3">
      <t>コクボ</t>
    </rPh>
    <rPh sb="4" eb="6">
      <t>ヤキン</t>
    </rPh>
    <rPh sb="9" eb="10">
      <t>ゲツ</t>
    </rPh>
    <rPh sb="11" eb="13">
      <t>イチド</t>
    </rPh>
    <rPh sb="13" eb="15">
      <t>テイド</t>
    </rPh>
    <rPh sb="15" eb="17">
      <t>キボウ</t>
    </rPh>
    <phoneticPr fontId="2"/>
  </si>
  <si>
    <t>10/22.29.11/5.19.12/3.4.10.17</t>
    <phoneticPr fontId="2"/>
  </si>
  <si>
    <t>11/5.6.12.13</t>
    <phoneticPr fontId="2"/>
  </si>
  <si>
    <t>11/12.13</t>
    <phoneticPr fontId="2"/>
  </si>
  <si>
    <t>10/29.11/5.26.12/10</t>
    <phoneticPr fontId="2"/>
  </si>
  <si>
    <t>12/3.4.17.18</t>
    <phoneticPr fontId="2"/>
  </si>
  <si>
    <t>11/12.19.12/10.17.24</t>
    <phoneticPr fontId="2"/>
  </si>
  <si>
    <t>10/29.30.11/6.12/3</t>
    <phoneticPr fontId="2"/>
  </si>
  <si>
    <t>2022・11月、12月　休日夜勤当番表</t>
    <rPh sb="7" eb="8">
      <t>ツキ</t>
    </rPh>
    <rPh sb="11" eb="12">
      <t>ツキ</t>
    </rPh>
    <rPh sb="13" eb="15">
      <t>キュウジツ</t>
    </rPh>
    <rPh sb="15" eb="17">
      <t>ヤキン</t>
    </rPh>
    <rPh sb="17" eb="19">
      <t>トウバン</t>
    </rPh>
    <rPh sb="19" eb="20">
      <t>ヒョウ</t>
    </rPh>
    <phoneticPr fontId="2"/>
  </si>
  <si>
    <t>10/29～11/1　11/12.19（夜勤は可）</t>
    <rPh sb="20" eb="22">
      <t>ヤキン</t>
    </rPh>
    <rPh sb="23" eb="24">
      <t>カ</t>
    </rPh>
    <phoneticPr fontId="2"/>
  </si>
  <si>
    <t>11/26（夜勤は可）　.12/3.10</t>
    <rPh sb="6" eb="8">
      <t>ヤキン</t>
    </rPh>
    <rPh sb="9" eb="10">
      <t>カ</t>
    </rPh>
    <phoneticPr fontId="2"/>
  </si>
  <si>
    <t>2.4.7.9</t>
    <phoneticPr fontId="2"/>
  </si>
  <si>
    <t>GROOP1</t>
  </si>
  <si>
    <t>GROOP2</t>
  </si>
  <si>
    <t>2,9</t>
  </si>
  <si>
    <t>1,9</t>
  </si>
  <si>
    <t>1,7</t>
  </si>
  <si>
    <t>2,4,6,8</t>
  </si>
  <si>
    <t>2,10</t>
    <phoneticPr fontId="2"/>
  </si>
  <si>
    <t>2023・1月、2月　休日夜勤当番表</t>
    <rPh sb="6" eb="7">
      <t>ツキ</t>
    </rPh>
    <rPh sb="9" eb="10">
      <t>ツキ</t>
    </rPh>
    <rPh sb="11" eb="13">
      <t>キュウジツ</t>
    </rPh>
    <rPh sb="13" eb="15">
      <t>ヤキン</t>
    </rPh>
    <rPh sb="15" eb="17">
      <t>トウバン</t>
    </rPh>
    <rPh sb="17" eb="18">
      <t>ヒョウ</t>
    </rPh>
    <phoneticPr fontId="2"/>
  </si>
  <si>
    <t>12/24,25 1/7,8</t>
  </si>
  <si>
    <t>12/24,25</t>
  </si>
  <si>
    <t>1/7,8,21,2/18,19</t>
  </si>
  <si>
    <t>12/24,25 1/8 2/18,19</t>
  </si>
  <si>
    <t>1/7,8 2/11,18</t>
  </si>
  <si>
    <t>新井洋　年末の夜勤の場合は年始も希望</t>
    <rPh sb="0" eb="3">
      <t>アライヨウ</t>
    </rPh>
    <rPh sb="4" eb="6">
      <t>ネンマツ</t>
    </rPh>
    <rPh sb="7" eb="9">
      <t>ヤキン</t>
    </rPh>
    <rPh sb="10" eb="12">
      <t>バアイ</t>
    </rPh>
    <rPh sb="13" eb="15">
      <t>ネンシ</t>
    </rPh>
    <rPh sb="16" eb="18">
      <t>キボウ</t>
    </rPh>
    <phoneticPr fontId="2"/>
  </si>
  <si>
    <t>12/24,25,1/29,2/5</t>
    <phoneticPr fontId="2"/>
  </si>
  <si>
    <t>2,3</t>
    <phoneticPr fontId="2"/>
  </si>
  <si>
    <t>1,10</t>
    <phoneticPr fontId="2"/>
  </si>
  <si>
    <t>2,4,8</t>
    <phoneticPr fontId="2"/>
  </si>
  <si>
    <t>2023・3月、4月　休日夜勤当番表</t>
    <rPh sb="6" eb="7">
      <t>ツキ</t>
    </rPh>
    <rPh sb="9" eb="10">
      <t>ツキ</t>
    </rPh>
    <rPh sb="11" eb="13">
      <t>キュウジツ</t>
    </rPh>
    <rPh sb="13" eb="15">
      <t>ヤキン</t>
    </rPh>
    <rPh sb="15" eb="17">
      <t>トウバン</t>
    </rPh>
    <rPh sb="17" eb="18">
      <t>ヒョウ</t>
    </rPh>
    <phoneticPr fontId="2"/>
  </si>
  <si>
    <t>2/25,26  3/5,11,12  4/1,2</t>
    <phoneticPr fontId="2"/>
  </si>
  <si>
    <t>2/25</t>
    <phoneticPr fontId="2"/>
  </si>
  <si>
    <r>
      <t>3/18,19   3/13</t>
    </r>
    <r>
      <rPr>
        <sz val="10"/>
        <color theme="1"/>
        <rFont val="ＭＳ Ｐゴシック"/>
        <family val="2"/>
        <charset val="128"/>
      </rPr>
      <t>の週夜勤不可</t>
    </r>
    <rPh sb="15" eb="16">
      <t>シュウ</t>
    </rPh>
    <rPh sb="16" eb="20">
      <t>ヤキンフカ</t>
    </rPh>
    <phoneticPr fontId="2"/>
  </si>
  <si>
    <t>2/25,3/12,18</t>
    <phoneticPr fontId="2"/>
  </si>
  <si>
    <r>
      <t>2/25</t>
    </r>
    <r>
      <rPr>
        <sz val="10"/>
        <color rgb="FF000000"/>
        <rFont val="游ゴシック"/>
        <family val="2"/>
        <charset val="128"/>
      </rPr>
      <t>～</t>
    </r>
    <r>
      <rPr>
        <sz val="10"/>
        <color rgb="FF000000"/>
        <rFont val="Arial"/>
        <family val="2"/>
      </rPr>
      <t>26</t>
    </r>
    <r>
      <rPr>
        <sz val="10"/>
        <color rgb="FF000000"/>
        <rFont val="游ゴシック"/>
        <family val="2"/>
        <charset val="128"/>
      </rPr>
      <t>　</t>
    </r>
    <r>
      <rPr>
        <sz val="10"/>
        <color rgb="FF000000"/>
        <rFont val="Arial"/>
        <family val="2"/>
      </rPr>
      <t>3/25</t>
    </r>
    <r>
      <rPr>
        <sz val="10"/>
        <color rgb="FF000000"/>
        <rFont val="游ゴシック"/>
        <family val="2"/>
        <charset val="128"/>
      </rPr>
      <t>～</t>
    </r>
    <r>
      <rPr>
        <sz val="10"/>
        <color rgb="FF000000"/>
        <rFont val="Arial"/>
        <family val="2"/>
      </rPr>
      <t>26</t>
    </r>
    <r>
      <rPr>
        <sz val="10"/>
        <color rgb="FF000000"/>
        <rFont val="游ゴシック"/>
        <family val="2"/>
        <charset val="128"/>
      </rPr>
      <t>　</t>
    </r>
    <r>
      <rPr>
        <sz val="10"/>
        <color rgb="FF000000"/>
        <rFont val="Arial"/>
        <family val="2"/>
      </rPr>
      <t>4/15</t>
    </r>
    <r>
      <rPr>
        <sz val="10"/>
        <color rgb="FF000000"/>
        <rFont val="游ゴシック"/>
        <family val="2"/>
        <charset val="128"/>
      </rPr>
      <t>　　</t>
    </r>
    <r>
      <rPr>
        <sz val="10"/>
        <color rgb="FF000000"/>
        <rFont val="Arial"/>
        <family val="2"/>
      </rPr>
      <t>4/15</t>
    </r>
    <r>
      <rPr>
        <sz val="10"/>
        <color rgb="FF000000"/>
        <rFont val="游ゴシック"/>
        <family val="2"/>
        <charset val="128"/>
      </rPr>
      <t>は夜勤は可能です</t>
    </r>
    <phoneticPr fontId="2"/>
  </si>
  <si>
    <t>3/4.3/5.3/18</t>
    <phoneticPr fontId="2"/>
  </si>
  <si>
    <t>2.4.6.8</t>
    <phoneticPr fontId="2"/>
  </si>
  <si>
    <t>3/18,3/19</t>
    <phoneticPr fontId="2"/>
  </si>
  <si>
    <r>
      <t>3/20</t>
    </r>
    <r>
      <rPr>
        <sz val="10"/>
        <color theme="1"/>
        <rFont val="ＭＳ Ｐゴシック"/>
        <family val="2"/>
        <charset val="128"/>
      </rPr>
      <t>の週は夜勤不可</t>
    </r>
    <rPh sb="5" eb="6">
      <t>シュウ</t>
    </rPh>
    <rPh sb="7" eb="9">
      <t>ヤキン</t>
    </rPh>
    <rPh sb="9" eb="11">
      <t>フカ</t>
    </rPh>
    <phoneticPr fontId="2"/>
  </si>
  <si>
    <t>2023・5月、6月　休日夜勤当番表</t>
    <rPh sb="6" eb="7">
      <t>ツキ</t>
    </rPh>
    <rPh sb="9" eb="10">
      <t>ツキ</t>
    </rPh>
    <rPh sb="11" eb="13">
      <t>キュウジツ</t>
    </rPh>
    <rPh sb="13" eb="15">
      <t>ヤキン</t>
    </rPh>
    <rPh sb="15" eb="17">
      <t>トウバン</t>
    </rPh>
    <rPh sb="17" eb="18">
      <t>ヒョウ</t>
    </rPh>
    <phoneticPr fontId="2"/>
  </si>
  <si>
    <t>4/22 29 5/20 6/17</t>
    <phoneticPr fontId="2"/>
  </si>
  <si>
    <t>5/13 5/14</t>
    <phoneticPr fontId="2"/>
  </si>
  <si>
    <t xml:space="preserve">4/29 4/30 5/27 5/28 6/10
</t>
    <phoneticPr fontId="2"/>
  </si>
  <si>
    <t>4/29</t>
    <phoneticPr fontId="2"/>
  </si>
  <si>
    <t>4/23</t>
    <phoneticPr fontId="2"/>
  </si>
  <si>
    <t>今井</t>
    <rPh sb="0" eb="1">
      <t>イマイ</t>
    </rPh>
    <phoneticPr fontId="2"/>
  </si>
  <si>
    <r>
      <t>4/22</t>
    </r>
    <r>
      <rPr>
        <sz val="10"/>
        <color theme="1"/>
        <rFont val="游ゴシック"/>
        <family val="2"/>
        <charset val="128"/>
      </rPr>
      <t>・</t>
    </r>
    <r>
      <rPr>
        <sz val="10"/>
        <color theme="1"/>
        <rFont val="Arial"/>
        <family val="2"/>
      </rPr>
      <t>4/29</t>
    </r>
    <r>
      <rPr>
        <sz val="10"/>
        <color theme="1"/>
        <rFont val="游ゴシック"/>
        <family val="2"/>
        <charset val="128"/>
      </rPr>
      <t>・</t>
    </r>
    <r>
      <rPr>
        <sz val="10"/>
        <color theme="1"/>
        <rFont val="Arial"/>
        <family val="2"/>
      </rPr>
      <t>5/13</t>
    </r>
    <r>
      <rPr>
        <sz val="10"/>
        <color theme="1"/>
        <rFont val="游ゴシック"/>
        <family val="2"/>
        <charset val="128"/>
      </rPr>
      <t>・</t>
    </r>
    <r>
      <rPr>
        <sz val="10"/>
        <color theme="1"/>
        <rFont val="Arial"/>
        <family val="2"/>
      </rPr>
      <t>6/3</t>
    </r>
    <r>
      <rPr>
        <sz val="10"/>
        <color theme="1"/>
        <rFont val="游ゴシック"/>
        <family val="2"/>
        <charset val="128"/>
      </rPr>
      <t>・</t>
    </r>
    <r>
      <rPr>
        <sz val="10"/>
        <color theme="1"/>
        <rFont val="Arial"/>
        <family val="2"/>
      </rPr>
      <t>6/17</t>
    </r>
    <phoneticPr fontId="2"/>
  </si>
  <si>
    <r>
      <t>4/29</t>
    </r>
    <r>
      <rPr>
        <sz val="10"/>
        <color theme="1"/>
        <rFont val="游ゴシック"/>
        <family val="2"/>
        <charset val="128"/>
      </rPr>
      <t>，</t>
    </r>
    <r>
      <rPr>
        <sz val="10"/>
        <color theme="1"/>
        <rFont val="Arial"/>
        <family val="2"/>
      </rPr>
      <t>30</t>
    </r>
    <r>
      <rPr>
        <sz val="10"/>
        <color theme="1"/>
        <rFont val="游ゴシック"/>
        <family val="2"/>
        <charset val="128"/>
      </rPr>
      <t>　　</t>
    </r>
    <r>
      <rPr>
        <sz val="10"/>
        <color theme="1"/>
        <rFont val="Arial"/>
        <family val="2"/>
      </rPr>
      <t>5/27</t>
    </r>
    <r>
      <rPr>
        <sz val="10"/>
        <color theme="1"/>
        <rFont val="游ゴシック"/>
        <family val="2"/>
        <charset val="128"/>
      </rPr>
      <t>，</t>
    </r>
    <r>
      <rPr>
        <sz val="10"/>
        <color theme="1"/>
        <rFont val="Arial"/>
        <family val="2"/>
      </rPr>
      <t>28</t>
    </r>
    <r>
      <rPr>
        <sz val="10"/>
        <color theme="1"/>
        <rFont val="ＭＳ Ｐゴシック"/>
        <family val="2"/>
        <charset val="128"/>
      </rPr>
      <t>　　　夜勤</t>
    </r>
    <r>
      <rPr>
        <sz val="10"/>
        <color theme="1"/>
        <rFont val="Arial"/>
        <family val="2"/>
      </rPr>
      <t>4/24</t>
    </r>
    <r>
      <rPr>
        <sz val="10"/>
        <color theme="1"/>
        <rFont val="ＭＳ Ｐゴシック"/>
        <family val="2"/>
        <charset val="128"/>
      </rPr>
      <t>　、　</t>
    </r>
    <r>
      <rPr>
        <sz val="10"/>
        <color theme="1"/>
        <rFont val="Arial"/>
        <family val="2"/>
      </rPr>
      <t>5/22</t>
    </r>
    <rPh sb="19" eb="21">
      <t>ヤキン</t>
    </rPh>
    <phoneticPr fontId="2"/>
  </si>
  <si>
    <r>
      <t>4/22</t>
    </r>
    <r>
      <rPr>
        <sz val="10"/>
        <color rgb="FF000000"/>
        <rFont val="游ゴシック"/>
        <family val="2"/>
        <charset val="128"/>
      </rPr>
      <t>、</t>
    </r>
    <r>
      <rPr>
        <sz val="10"/>
        <color rgb="FF000000"/>
        <rFont val="Arial"/>
        <family val="2"/>
      </rPr>
      <t>23</t>
    </r>
    <r>
      <rPr>
        <sz val="10"/>
        <color rgb="FF000000"/>
        <rFont val="游ゴシック"/>
        <family val="2"/>
        <charset val="128"/>
      </rPr>
      <t>、</t>
    </r>
    <r>
      <rPr>
        <sz val="10"/>
        <color rgb="FF000000"/>
        <rFont val="Arial"/>
        <family val="2"/>
      </rPr>
      <t>29</t>
    </r>
    <r>
      <rPr>
        <sz val="10"/>
        <color rgb="FF000000"/>
        <rFont val="游ゴシック"/>
        <family val="2"/>
        <charset val="128"/>
      </rPr>
      <t>、</t>
    </r>
    <r>
      <rPr>
        <sz val="10"/>
        <color rgb="FF000000"/>
        <rFont val="Arial"/>
        <family val="2"/>
      </rPr>
      <t>30</t>
    </r>
    <r>
      <rPr>
        <sz val="10"/>
        <color rgb="FF000000"/>
        <rFont val="游ゴシック"/>
        <family val="2"/>
        <charset val="128"/>
      </rPr>
      <t>　　</t>
    </r>
    <r>
      <rPr>
        <sz val="10"/>
        <color rgb="FF000000"/>
        <rFont val="Arial"/>
        <family val="2"/>
      </rPr>
      <t>5/13</t>
    </r>
    <r>
      <rPr>
        <sz val="10"/>
        <color rgb="FF000000"/>
        <rFont val="游ゴシック"/>
        <family val="2"/>
        <charset val="128"/>
      </rPr>
      <t>、</t>
    </r>
    <r>
      <rPr>
        <sz val="10"/>
        <color rgb="FF000000"/>
        <rFont val="Arial"/>
        <family val="2"/>
      </rPr>
      <t>14</t>
    </r>
    <r>
      <rPr>
        <sz val="10"/>
        <color rgb="FF000000"/>
        <rFont val="ＭＳ Ｐゴシック"/>
        <family val="2"/>
        <charset val="128"/>
      </rPr>
      <t>　　夜勤</t>
    </r>
    <r>
      <rPr>
        <sz val="10"/>
        <color rgb="FF000000"/>
        <rFont val="Arial"/>
        <family val="2"/>
      </rPr>
      <t>6/19</t>
    </r>
    <rPh sb="24" eb="26">
      <t>ヤキン</t>
    </rPh>
    <phoneticPr fontId="2"/>
  </si>
  <si>
    <t>1.10</t>
    <phoneticPr fontId="2"/>
  </si>
  <si>
    <t>2.5.7.10</t>
    <phoneticPr fontId="2"/>
  </si>
  <si>
    <t>2023・7月、8月　休日夜勤当番表</t>
    <rPh sb="6" eb="7">
      <t>ツキ</t>
    </rPh>
    <rPh sb="9" eb="10">
      <t>ツキ</t>
    </rPh>
    <rPh sb="11" eb="13">
      <t>キュウジツ</t>
    </rPh>
    <rPh sb="13" eb="15">
      <t>ヤキン</t>
    </rPh>
    <rPh sb="15" eb="17">
      <t>トウバン</t>
    </rPh>
    <rPh sb="17" eb="18">
      <t>ヒョウ</t>
    </rPh>
    <phoneticPr fontId="2"/>
  </si>
  <si>
    <t>名前</t>
  </si>
  <si>
    <t>休日当番不可申請 質問</t>
  </si>
  <si>
    <t>夜勤不可申請</t>
  </si>
  <si>
    <t>加藤貴司</t>
  </si>
  <si>
    <t>6/24, 7/1, 7/15, 7/16, 7/22, 7/23</t>
    <phoneticPr fontId="2"/>
  </si>
  <si>
    <t>矢野祐次</t>
  </si>
  <si>
    <t>6/24、25　7/22、29、30</t>
    <phoneticPr fontId="2"/>
  </si>
  <si>
    <t>今井敬史</t>
  </si>
  <si>
    <t>7/15,7/22,7/23</t>
    <phoneticPr fontId="2"/>
  </si>
  <si>
    <t>髙田明良</t>
  </si>
  <si>
    <t>7/22,7/23,8/19</t>
    <phoneticPr fontId="2"/>
  </si>
  <si>
    <t>新井翔太</t>
  </si>
  <si>
    <t>6/24.25</t>
    <phoneticPr fontId="2"/>
  </si>
  <si>
    <t>大関慎也</t>
  </si>
  <si>
    <t>新井洋介</t>
  </si>
  <si>
    <t>宮本翔平</t>
  </si>
  <si>
    <t>7/22（土）　なるべくなら次の日休みたいので、土曜日を希望します。</t>
    <phoneticPr fontId="2"/>
  </si>
  <si>
    <t>7/16,7/23,7/29,7/30,8/5,8/6</t>
    <phoneticPr fontId="2"/>
  </si>
  <si>
    <t>斉藤茂</t>
  </si>
  <si>
    <t>6/24,6/25</t>
    <phoneticPr fontId="2"/>
  </si>
  <si>
    <t>高橋良文</t>
  </si>
  <si>
    <t>7/9.7/16</t>
    <phoneticPr fontId="2"/>
  </si>
  <si>
    <t>小林直正</t>
  </si>
  <si>
    <t>高橋拓未</t>
  </si>
  <si>
    <t>7/29  7/30</t>
    <phoneticPr fontId="2"/>
  </si>
  <si>
    <t>木村宗一郎</t>
  </si>
  <si>
    <t>6/24,25　8/5,6,19,20</t>
    <phoneticPr fontId="2"/>
  </si>
  <si>
    <t>勅使河原祐介</t>
  </si>
  <si>
    <t>楮本丈一郎</t>
  </si>
  <si>
    <t>7/1.7/2.7/22</t>
    <phoneticPr fontId="2"/>
  </si>
  <si>
    <t>7/24</t>
    <phoneticPr fontId="2"/>
  </si>
  <si>
    <t>7/16</t>
    <phoneticPr fontId="2"/>
  </si>
  <si>
    <t>7/31　8/14</t>
    <phoneticPr fontId="2"/>
  </si>
  <si>
    <t xml:space="preserve">7/29・7/30　8/5・8/6
</t>
    <phoneticPr fontId="2"/>
  </si>
  <si>
    <t>宮本</t>
    <rPh sb="0" eb="2">
      <t>ミヤモト</t>
    </rPh>
    <phoneticPr fontId="2"/>
  </si>
  <si>
    <t>次のシフト最初の夜勤は　高橋剛</t>
  </si>
  <si>
    <t>9/24　9/30</t>
  </si>
  <si>
    <t>9/9　9/10　9/16　9/17　9/30</t>
  </si>
  <si>
    <t>8/26　なるべく土曜日を希望します。</t>
  </si>
  <si>
    <t>8/27,9/16,9/17,9/23,9/24</t>
  </si>
  <si>
    <t>10/7 10/8</t>
  </si>
  <si>
    <t>9/9 9/10</t>
  </si>
  <si>
    <t>9/30、10/1</t>
  </si>
  <si>
    <t>9/3.17</t>
  </si>
  <si>
    <t>9/2,9/17,10/7,10/8</t>
  </si>
  <si>
    <t>9/9,9/10,9/16,9/17,10/15</t>
  </si>
  <si>
    <t>9/30 10/1 10/8 10/15</t>
  </si>
  <si>
    <t>8/26,8/27,9/23,9/24</t>
  </si>
  <si>
    <t>木村宗一郎品質保証部</t>
  </si>
  <si>
    <t>勅使河原祐介品質保証部</t>
  </si>
  <si>
    <t>宮本翔平製造課</t>
  </si>
  <si>
    <t>高橋拓未製造課</t>
  </si>
  <si>
    <t>高橋良文製造課</t>
  </si>
  <si>
    <t>斉藤茂製造課</t>
  </si>
  <si>
    <t>矢野祐次製造課</t>
  </si>
  <si>
    <t>新井啓太生産支援課</t>
  </si>
  <si>
    <t>加藤誠品質保証部</t>
  </si>
  <si>
    <t>今井敬史生産支援課</t>
  </si>
  <si>
    <t>新井洋介製造課</t>
  </si>
  <si>
    <t>新井翔太製造課</t>
  </si>
  <si>
    <t>8/26,9/16,9/17,9/30,10/7</t>
    <phoneticPr fontId="2"/>
  </si>
  <si>
    <t>9/11　9/18　9/25　10/9</t>
  </si>
  <si>
    <t>9/25 10/2 10/9 10/16</t>
  </si>
  <si>
    <t>9/25</t>
    <phoneticPr fontId="2"/>
  </si>
  <si>
    <t>名前</t>
    <phoneticPr fontId="2"/>
  </si>
  <si>
    <t>休日当番不可申請</t>
    <phoneticPr fontId="2"/>
  </si>
  <si>
    <t>休日切粉当番制</t>
    <rPh sb="0" eb="2">
      <t>キュウジツ</t>
    </rPh>
    <rPh sb="2" eb="4">
      <t>キリコ</t>
    </rPh>
    <rPh sb="4" eb="7">
      <t>トウバンセイ</t>
    </rPh>
    <phoneticPr fontId="2"/>
  </si>
  <si>
    <t>近藤</t>
    <rPh sb="0" eb="2">
      <t>コンドウ</t>
    </rPh>
    <phoneticPr fontId="2"/>
  </si>
  <si>
    <t>2023・9月、10月　休日夜勤当番表</t>
    <rPh sb="6" eb="7">
      <t>ツキ</t>
    </rPh>
    <rPh sb="10" eb="11">
      <t>ツキ</t>
    </rPh>
    <rPh sb="12" eb="14">
      <t>キュウジツ</t>
    </rPh>
    <rPh sb="14" eb="16">
      <t>ヤキン</t>
    </rPh>
    <rPh sb="16" eb="18">
      <t>トウバン</t>
    </rPh>
    <rPh sb="18" eb="19">
      <t>ヒョウ</t>
    </rPh>
    <phoneticPr fontId="2"/>
  </si>
  <si>
    <t>2023・11月、12月　休日夜勤当番表</t>
    <rPh sb="7" eb="8">
      <t>ツキ</t>
    </rPh>
    <rPh sb="11" eb="12">
      <t>ツキ</t>
    </rPh>
    <rPh sb="13" eb="15">
      <t>キュウジツ</t>
    </rPh>
    <rPh sb="15" eb="17">
      <t>ヤキン</t>
    </rPh>
    <rPh sb="17" eb="19">
      <t>トウバン</t>
    </rPh>
    <rPh sb="19" eb="20">
      <t>ヒョウ</t>
    </rPh>
    <phoneticPr fontId="2"/>
  </si>
  <si>
    <t>11月4日、11月5日</t>
  </si>
  <si>
    <t>10/21 11/19 11/25 12/3 12/9 12/10</t>
  </si>
  <si>
    <t>10/28,　11/5</t>
  </si>
  <si>
    <t>11/12　12/3　12/9　12/16</t>
  </si>
  <si>
    <t>11/4,11/12,11/19,11/26,12/2.12/3,12/9.12/10</t>
  </si>
  <si>
    <t>10/21.22.11/18.19.12/2.3.9</t>
  </si>
  <si>
    <t>10/21.22.28.29</t>
  </si>
  <si>
    <t>11/5.11/12</t>
  </si>
  <si>
    <t>10/21.28.29 11/11.12</t>
  </si>
  <si>
    <t>10/29 11/19</t>
  </si>
  <si>
    <t>10/28,29　11/11,25,26</t>
  </si>
  <si>
    <t>10/28 なるべく土曜日希望です。</t>
  </si>
  <si>
    <t>丸岡光輝製造課</t>
  </si>
  <si>
    <t>加藤貴司生産技術課</t>
  </si>
  <si>
    <t>岩田敏明生産支援課</t>
  </si>
  <si>
    <t>11/6　11/27　12/4　12/11　12/18</t>
  </si>
  <si>
    <t>10/23　11/20</t>
  </si>
  <si>
    <t>12/4</t>
    <phoneticPr fontId="2"/>
  </si>
  <si>
    <t>11/20</t>
    <phoneticPr fontId="2"/>
  </si>
  <si>
    <t>10/23</t>
    <phoneticPr fontId="2"/>
  </si>
  <si>
    <t xml:space="preserve">11/4 11/5 11/26 12/3 </t>
    <phoneticPr fontId="2"/>
  </si>
  <si>
    <t>11/27 12/4</t>
    <phoneticPr fontId="2"/>
  </si>
  <si>
    <t>10/21 10/22 10/29 11/19 12/3 12/9</t>
    <phoneticPr fontId="2"/>
  </si>
  <si>
    <t>1,3,5,7,9</t>
    <phoneticPr fontId="2"/>
  </si>
  <si>
    <t>休日当番不可申請</t>
  </si>
  <si>
    <t>1月6日、7日、13日、14日</t>
  </si>
  <si>
    <t>1/6、1/7</t>
  </si>
  <si>
    <t>1/6　なるべく土曜日希望です。</t>
  </si>
  <si>
    <t>1/13、1/14</t>
  </si>
  <si>
    <t>1/6,7</t>
  </si>
  <si>
    <t>1/6　1/7　1/20　1/21　2/17　2/18</t>
  </si>
  <si>
    <t>12/23,12/24</t>
  </si>
  <si>
    <t>1/6,1/7 2/3, 2/11</t>
  </si>
  <si>
    <t>12/24、1/27、1/28、2/17</t>
  </si>
  <si>
    <t>楮本丈一郎製造課</t>
  </si>
  <si>
    <t>1/8の週、1/15の週</t>
  </si>
  <si>
    <t>1/8　1/15　2/12</t>
  </si>
  <si>
    <t>次回夜勤が12/25〜だと思いますが、年明けの1/4〜も夜勤を希望します。</t>
  </si>
  <si>
    <t>12/25、1/22、2/19</t>
  </si>
  <si>
    <t>今回免除（体調不良）</t>
    <rPh sb="0" eb="2">
      <t>コンカイ</t>
    </rPh>
    <rPh sb="2" eb="4">
      <t>メンジョ</t>
    </rPh>
    <rPh sb="5" eb="9">
      <t>タイチョウフリョウ</t>
    </rPh>
    <phoneticPr fontId="2"/>
  </si>
  <si>
    <t>備考</t>
    <rPh sb="0" eb="2">
      <t>ビコウ</t>
    </rPh>
    <phoneticPr fontId="2"/>
  </si>
  <si>
    <t>1/21、2/17</t>
    <phoneticPr fontId="2"/>
  </si>
  <si>
    <t>強矢</t>
    <rPh sb="0" eb="2">
      <t>スネヤ</t>
    </rPh>
    <phoneticPr fontId="2"/>
  </si>
  <si>
    <t>休14(22)</t>
    <rPh sb="0" eb="1">
      <t>ヤス</t>
    </rPh>
    <phoneticPr fontId="2"/>
  </si>
  <si>
    <t>2,8</t>
    <phoneticPr fontId="2"/>
  </si>
  <si>
    <t>9,10</t>
    <phoneticPr fontId="2"/>
  </si>
  <si>
    <t>加藤凌</t>
    <rPh sb="0" eb="2">
      <t>カトウ</t>
    </rPh>
    <rPh sb="2" eb="3">
      <t>リョウ</t>
    </rPh>
    <phoneticPr fontId="2"/>
  </si>
  <si>
    <t>2/24、3/16、3/17、4/6、4/7</t>
  </si>
  <si>
    <t>2/24、2/25、3/16</t>
  </si>
  <si>
    <t>3/2 なるべく土曜日を希望します。</t>
  </si>
  <si>
    <t>3/23,3/24</t>
  </si>
  <si>
    <t>小林直正生産支援課</t>
  </si>
  <si>
    <t>3月の9日10日は出勤不可</t>
  </si>
  <si>
    <t>3/2,3/3,3/10,3/16,3/17,4/20</t>
  </si>
  <si>
    <t>3/24.3/31</t>
  </si>
  <si>
    <t>2/24、25　　3/30、31</t>
  </si>
  <si>
    <t>2/19、3/11</t>
  </si>
  <si>
    <t>2/26</t>
    <phoneticPr fontId="2"/>
  </si>
  <si>
    <t>3月の4日と11日の週</t>
  </si>
  <si>
    <t>4/15</t>
    <phoneticPr fontId="2"/>
  </si>
  <si>
    <t>3/25</t>
    <phoneticPr fontId="2"/>
  </si>
  <si>
    <t>加藤凌</t>
    <rPh sb="0" eb="3">
      <t>カトウリョウ</t>
    </rPh>
    <phoneticPr fontId="2"/>
  </si>
  <si>
    <t>宮本　なるべく土曜日希望</t>
    <rPh sb="0" eb="2">
      <t>ミヤモト</t>
    </rPh>
    <rPh sb="7" eb="10">
      <t>ドヨウビ</t>
    </rPh>
    <rPh sb="10" eb="12">
      <t>キボウ</t>
    </rPh>
    <phoneticPr fontId="2"/>
  </si>
  <si>
    <t>代休希望者　小久保、大関、近藤</t>
    <rPh sb="0" eb="2">
      <t>ダイキュウ</t>
    </rPh>
    <rPh sb="2" eb="5">
      <t>キボウシャ</t>
    </rPh>
    <rPh sb="6" eb="9">
      <t>コクボ</t>
    </rPh>
    <rPh sb="10" eb="12">
      <t>オオゼキ</t>
    </rPh>
    <rPh sb="13" eb="15">
      <t>コンドウ</t>
    </rPh>
    <phoneticPr fontId="2"/>
  </si>
  <si>
    <t>5/18 5/19</t>
  </si>
  <si>
    <t>6/1,6/8,6/15</t>
  </si>
  <si>
    <t>4/27.28 5/11.12</t>
  </si>
  <si>
    <t>4/27.4/28.5/12.5/26.6/9</t>
  </si>
  <si>
    <t>4/27,4/28</t>
  </si>
  <si>
    <t>6/8,6/15,6/16　なるべく土曜日希望します。</t>
  </si>
  <si>
    <t>04/21　05/25,26</t>
  </si>
  <si>
    <t>早朝ソフトの都合で日曜日は除いてもらいたいです</t>
  </si>
  <si>
    <t>木村宗一郎製造課</t>
  </si>
  <si>
    <t>斉藤茂生産支援課</t>
  </si>
  <si>
    <t>加藤凌司製造課</t>
  </si>
  <si>
    <t>4/22,6/17</t>
  </si>
  <si>
    <t>4/22の週。　　　</t>
  </si>
  <si>
    <t>夜勤が4/29の週の場合2日しかない為、翌週の5/6の週も夜勤希望</t>
  </si>
  <si>
    <t>4/22の週,6/17の週</t>
  </si>
  <si>
    <t>6/3,6/10</t>
  </si>
  <si>
    <t>2024/4/22</t>
    <phoneticPr fontId="2"/>
  </si>
  <si>
    <t>2024/5/20</t>
    <phoneticPr fontId="2"/>
  </si>
  <si>
    <t>4/27,4/28,5/11</t>
    <phoneticPr fontId="2"/>
  </si>
  <si>
    <t>木村</t>
    <phoneticPr fontId="2"/>
  </si>
  <si>
    <t>3,4</t>
    <phoneticPr fontId="2"/>
  </si>
  <si>
    <t>松田</t>
    <rPh sb="0" eb="2">
      <t>マツダ</t>
    </rPh>
    <phoneticPr fontId="2"/>
  </si>
  <si>
    <t>浅見</t>
    <rPh sb="0" eb="2">
      <t>アザミ</t>
    </rPh>
    <phoneticPr fontId="2"/>
  </si>
  <si>
    <t>大関</t>
    <rPh sb="0" eb="2">
      <t>オオゼキ</t>
    </rPh>
    <phoneticPr fontId="2"/>
  </si>
  <si>
    <t>小久保</t>
    <rPh sb="0" eb="3">
      <t>コクボ</t>
    </rPh>
    <phoneticPr fontId="2"/>
  </si>
  <si>
    <t>小林直</t>
    <rPh sb="0" eb="3">
      <t>コバヤシナオ</t>
    </rPh>
    <phoneticPr fontId="2"/>
  </si>
  <si>
    <t>1,3,5,7,9</t>
    <phoneticPr fontId="2"/>
  </si>
  <si>
    <t>小林直</t>
    <rPh sb="0" eb="2">
      <t>コバヤシ</t>
    </rPh>
    <rPh sb="2" eb="3">
      <t>ナオ</t>
    </rPh>
    <phoneticPr fontId="2"/>
  </si>
  <si>
    <t>4,8</t>
    <phoneticPr fontId="2"/>
  </si>
  <si>
    <t>岩田</t>
    <rPh sb="0" eb="2">
      <t>イワタ</t>
    </rPh>
    <phoneticPr fontId="2"/>
  </si>
  <si>
    <t>小久保</t>
    <rPh sb="0" eb="3">
      <t>コクボ</t>
    </rPh>
    <phoneticPr fontId="2"/>
  </si>
  <si>
    <t>近藤</t>
    <rPh sb="0" eb="2">
      <t>コンドウ</t>
    </rPh>
    <phoneticPr fontId="2"/>
  </si>
  <si>
    <t>4/27,5/11,5/26,6/8,6/9,6/15</t>
    <phoneticPr fontId="2"/>
  </si>
  <si>
    <t>7/7 7/14</t>
  </si>
  <si>
    <t>7/13、14、20、21、27、28</t>
  </si>
  <si>
    <t>6/22,6/23,6/29,6/30</t>
  </si>
  <si>
    <t>7/20,7/27,8/3,</t>
  </si>
  <si>
    <t>6/22,23,29,30</t>
  </si>
  <si>
    <t>7/13.20.21.27.28</t>
  </si>
  <si>
    <t>持病により当番出勤不可</t>
  </si>
  <si>
    <t>7/8,7/15,7/29</t>
  </si>
  <si>
    <t>7/8,7/15,7/22,7/29</t>
  </si>
  <si>
    <t>7/15 7/22 7/29</t>
  </si>
  <si>
    <t>7/29</t>
    <phoneticPr fontId="2"/>
  </si>
  <si>
    <t>6/24</t>
    <phoneticPr fontId="2"/>
  </si>
  <si>
    <t>3番手　全員代休</t>
    <rPh sb="1" eb="3">
      <t>バンテ</t>
    </rPh>
    <rPh sb="4" eb="6">
      <t>ゼンイン</t>
    </rPh>
    <rPh sb="6" eb="8">
      <t>ダイキュウ</t>
    </rPh>
    <phoneticPr fontId="2"/>
  </si>
  <si>
    <t>2024・7月、8月　休日夜勤当番表</t>
    <rPh sb="6" eb="7">
      <t>ツキ</t>
    </rPh>
    <rPh sb="9" eb="10">
      <t>ツキ</t>
    </rPh>
    <rPh sb="11" eb="13">
      <t>キュウジツ</t>
    </rPh>
    <rPh sb="13" eb="15">
      <t>ヤキン</t>
    </rPh>
    <rPh sb="15" eb="17">
      <t>トウバン</t>
    </rPh>
    <rPh sb="17" eb="18">
      <t>ヒョウ</t>
    </rPh>
    <phoneticPr fontId="2"/>
  </si>
  <si>
    <t>木村宗一郎製造課</t>
    <phoneticPr fontId="2"/>
  </si>
  <si>
    <t>高橋拓未製造課</t>
    <phoneticPr fontId="2"/>
  </si>
  <si>
    <t>加藤凌司製造課</t>
    <phoneticPr fontId="2"/>
  </si>
  <si>
    <t>今井敬史生産支援課</t>
    <phoneticPr fontId="2"/>
  </si>
  <si>
    <t>新井洋介製造課</t>
    <phoneticPr fontId="2"/>
  </si>
  <si>
    <t>棚山一彦生産支援課</t>
    <phoneticPr fontId="2"/>
  </si>
  <si>
    <t>7/28,8/4</t>
    <phoneticPr fontId="2"/>
  </si>
  <si>
    <t>隝田</t>
    <rPh sb="0" eb="2">
      <t>シマダ</t>
    </rPh>
    <phoneticPr fontId="2"/>
  </si>
  <si>
    <t>棚山</t>
    <rPh sb="0" eb="2">
      <t>タナヤマ</t>
    </rPh>
    <phoneticPr fontId="2"/>
  </si>
  <si>
    <t>松田　3週に一度夜勤</t>
    <rPh sb="0" eb="1">
      <t>マツダ</t>
    </rPh>
    <rPh sb="3" eb="4">
      <t>シュウ</t>
    </rPh>
    <rPh sb="5" eb="7">
      <t>イチド</t>
    </rPh>
    <rPh sb="8" eb="10">
      <t>ヤキン</t>
    </rPh>
    <phoneticPr fontId="2"/>
  </si>
  <si>
    <t>松田</t>
    <rPh sb="0" eb="2">
      <t>マツダ</t>
    </rPh>
    <phoneticPr fontId="2"/>
  </si>
  <si>
    <t>新井啓</t>
    <rPh sb="0" eb="3">
      <t>アライケイ</t>
    </rPh>
    <phoneticPr fontId="2"/>
  </si>
  <si>
    <t>大関</t>
    <rPh sb="0" eb="2">
      <t>オオゼキ</t>
    </rPh>
    <phoneticPr fontId="2"/>
  </si>
  <si>
    <t>小久保</t>
    <rPh sb="0" eb="3">
      <t>コクボ</t>
    </rPh>
    <phoneticPr fontId="2"/>
  </si>
  <si>
    <t>小林直</t>
    <rPh sb="0" eb="3">
      <t>コバヤシナオ</t>
    </rPh>
    <phoneticPr fontId="2"/>
  </si>
  <si>
    <t>隝田</t>
    <rPh sb="0" eb="2">
      <t>シマダ</t>
    </rPh>
    <phoneticPr fontId="2"/>
  </si>
  <si>
    <t>加藤貴</t>
    <rPh sb="0" eb="3">
      <t>カトウタカシ</t>
    </rPh>
    <phoneticPr fontId="2"/>
  </si>
  <si>
    <t>新井洋</t>
    <rPh sb="0" eb="3">
      <t>アライヨウ</t>
    </rPh>
    <phoneticPr fontId="2"/>
  </si>
  <si>
    <t>髙田</t>
    <rPh sb="0" eb="2">
      <t>タカダ</t>
    </rPh>
    <phoneticPr fontId="2"/>
  </si>
  <si>
    <t>宮本</t>
    <rPh sb="0" eb="2">
      <t>ミヤモト</t>
    </rPh>
    <phoneticPr fontId="2"/>
  </si>
  <si>
    <t>新井翔</t>
    <rPh sb="0" eb="3">
      <t>アライショウ</t>
    </rPh>
    <phoneticPr fontId="2"/>
  </si>
  <si>
    <t>丸岡</t>
    <rPh sb="0" eb="2">
      <t>マルオカ</t>
    </rPh>
    <phoneticPr fontId="2"/>
  </si>
  <si>
    <t>勅使河原</t>
    <rPh sb="0" eb="4">
      <t>テシガワラ</t>
    </rPh>
    <phoneticPr fontId="2"/>
  </si>
  <si>
    <t>矢野</t>
    <rPh sb="0" eb="2">
      <t>ヤノ</t>
    </rPh>
    <phoneticPr fontId="2"/>
  </si>
  <si>
    <t>6/29,6/30,7/27,7/28</t>
    <phoneticPr fontId="2"/>
  </si>
  <si>
    <t>高橋拓</t>
    <rPh sb="0" eb="3">
      <t>タカハシタク</t>
    </rPh>
    <phoneticPr fontId="2"/>
  </si>
  <si>
    <t>（棚山）</t>
    <rPh sb="1" eb="3">
      <t>タナヤマ</t>
    </rPh>
    <phoneticPr fontId="2"/>
  </si>
  <si>
    <t>松田</t>
    <rPh sb="0" eb="2">
      <t>マツダ</t>
    </rPh>
    <phoneticPr fontId="2"/>
  </si>
  <si>
    <t>小久保</t>
    <rPh sb="0" eb="3">
      <t>コクボ</t>
    </rPh>
    <phoneticPr fontId="2"/>
  </si>
  <si>
    <t>-</t>
    <phoneticPr fontId="2"/>
  </si>
  <si>
    <t>小林直</t>
    <rPh sb="0" eb="3">
      <t>コバヤシナオ</t>
    </rPh>
    <phoneticPr fontId="2"/>
  </si>
  <si>
    <t>隝田</t>
    <rPh sb="0" eb="2">
      <t>シマダ</t>
    </rPh>
    <phoneticPr fontId="2"/>
  </si>
  <si>
    <t>近藤</t>
    <rPh sb="0" eb="2">
      <t>コンドウ</t>
    </rPh>
    <phoneticPr fontId="2"/>
  </si>
  <si>
    <t>新井啓</t>
    <rPh sb="0" eb="3">
      <t>アライケイ</t>
    </rPh>
    <phoneticPr fontId="2"/>
  </si>
  <si>
    <t>小久保</t>
    <rPh sb="0" eb="3">
      <t>コクボ</t>
    </rPh>
    <phoneticPr fontId="2"/>
  </si>
  <si>
    <t>隝田</t>
    <rPh sb="0" eb="2">
      <t>シマダ</t>
    </rPh>
    <phoneticPr fontId="2"/>
  </si>
  <si>
    <t>小林直</t>
    <rPh sb="0" eb="3">
      <t>コバヤシナオ</t>
    </rPh>
    <phoneticPr fontId="2"/>
  </si>
  <si>
    <t>斉藤邦</t>
    <rPh sb="0" eb="3">
      <t>サイトウクニ</t>
    </rPh>
    <phoneticPr fontId="2"/>
  </si>
  <si>
    <t>近藤</t>
    <rPh sb="0" eb="2">
      <t>コンドウ</t>
    </rPh>
    <phoneticPr fontId="2"/>
  </si>
  <si>
    <t>新井啓</t>
    <rPh sb="0" eb="3">
      <t>アライケイ</t>
    </rPh>
    <phoneticPr fontId="2"/>
  </si>
  <si>
    <t>1,4,7,9,10</t>
    <phoneticPr fontId="2"/>
  </si>
  <si>
    <t>斉藤邦</t>
    <rPh sb="0" eb="3">
      <t>サイトウクニ</t>
    </rPh>
    <phoneticPr fontId="2"/>
  </si>
  <si>
    <t>6/23</t>
    <phoneticPr fontId="2"/>
  </si>
  <si>
    <t>高橋剛</t>
    <rPh sb="0" eb="3">
      <t>タカハシゴウ</t>
    </rPh>
    <phoneticPr fontId="2"/>
  </si>
  <si>
    <t>7/8</t>
    <phoneticPr fontId="2"/>
  </si>
  <si>
    <t>2024・9月、10月　休日夜勤当番表</t>
    <rPh sb="6" eb="7">
      <t>ツキ</t>
    </rPh>
    <rPh sb="10" eb="11">
      <t>ツキ</t>
    </rPh>
    <rPh sb="12" eb="14">
      <t>キュウジツ</t>
    </rPh>
    <rPh sb="14" eb="16">
      <t>ヤキン</t>
    </rPh>
    <rPh sb="16" eb="18">
      <t>トウバン</t>
    </rPh>
    <rPh sb="18" eb="19">
      <t>ヒョウ</t>
    </rPh>
    <phoneticPr fontId="2"/>
  </si>
  <si>
    <t>大関　今回夜勤休</t>
    <rPh sb="0" eb="2">
      <t>オオゼキ</t>
    </rPh>
    <rPh sb="3" eb="5">
      <t>コンカイ</t>
    </rPh>
    <rPh sb="5" eb="7">
      <t>ヤキン</t>
    </rPh>
    <rPh sb="7" eb="8">
      <t>キュウ</t>
    </rPh>
    <phoneticPr fontId="2"/>
  </si>
  <si>
    <t>2,7</t>
    <phoneticPr fontId="2"/>
  </si>
  <si>
    <t xml:space="preserve"> </t>
    <phoneticPr fontId="2"/>
  </si>
  <si>
    <t>1,3,6,9</t>
    <phoneticPr fontId="2"/>
  </si>
  <si>
    <t>隝田</t>
    <rPh sb="0" eb="1">
      <t>シマ</t>
    </rPh>
    <rPh sb="1" eb="2">
      <t>タ</t>
    </rPh>
    <phoneticPr fontId="2"/>
  </si>
  <si>
    <t>齋藤邦政生産支援課</t>
  </si>
  <si>
    <t>10/27.11/16.12/7</t>
  </si>
  <si>
    <t>11/2、11/3、11/9、11/10、12/14</t>
  </si>
  <si>
    <t>近藤裕之生産支援課</t>
  </si>
  <si>
    <t>11月2日3日</t>
  </si>
  <si>
    <t>11/16,17 12/21,22</t>
  </si>
  <si>
    <t>10/27,11/3,11/10,11/17,12/14</t>
  </si>
  <si>
    <t>11/9,10,30, 12/1,14,</t>
  </si>
  <si>
    <t>11/2,11/3</t>
  </si>
  <si>
    <t>10/26、27　11/16、17、30　12/1</t>
  </si>
  <si>
    <t>今井敬史品質保証部</t>
  </si>
  <si>
    <t>11/2. 11/9. 11/10. 11/30. 12/1. 12/14</t>
  </si>
  <si>
    <t>11/2,11/3,11/9,11/10　なるべく土曜日を希望します。</t>
  </si>
  <si>
    <r>
      <t>出</t>
    </r>
    <r>
      <rPr>
        <sz val="9"/>
        <rFont val="Dotum"/>
        <family val="2"/>
        <charset val="136"/>
      </rPr>
      <t>来</t>
    </r>
    <r>
      <rPr>
        <sz val="9"/>
        <rFont val="Dotum"/>
        <family val="2"/>
        <charset val="129"/>
      </rPr>
      <t>るだけ土曜日希望</t>
    </r>
  </si>
  <si>
    <t>大関慎也生産支援課</t>
  </si>
  <si>
    <t>今回は不可</t>
  </si>
  <si>
    <t>10/28、11/11、11/18、12/2、12/9、12/16</t>
  </si>
  <si>
    <t>11/11 12/16,23</t>
  </si>
  <si>
    <t>11/4,11/25,12/9,12/16</t>
  </si>
  <si>
    <t>10/21、11/11、11/25</t>
  </si>
  <si>
    <t>10/21,10/28,11/4</t>
  </si>
  <si>
    <t>休日出勤不可日が11/3,9,10</t>
  </si>
  <si>
    <r>
      <t>出</t>
    </r>
    <r>
      <rPr>
        <sz val="9"/>
        <color rgb="FFFF0000"/>
        <rFont val="Dotum"/>
        <family val="2"/>
        <charset val="136"/>
      </rPr>
      <t>来</t>
    </r>
    <r>
      <rPr>
        <sz val="9"/>
        <color rgb="FFFF0000"/>
        <rFont val="Dotum"/>
        <family val="2"/>
        <charset val="129"/>
      </rPr>
      <t>るだけ土曜日希望</t>
    </r>
  </si>
  <si>
    <r>
      <t>木村宗一</t>
    </r>
    <r>
      <rPr>
        <sz val="11"/>
        <color rgb="FFFF0000"/>
        <rFont val="ＭＳ ゴシック"/>
        <family val="3"/>
        <charset val="128"/>
      </rPr>
      <t>郎</t>
    </r>
    <r>
      <rPr>
        <sz val="11"/>
        <color rgb="FFFF0000"/>
        <rFont val="Dotum"/>
        <family val="2"/>
        <charset val="129"/>
      </rPr>
      <t>製造課</t>
    </r>
    <phoneticPr fontId="2"/>
  </si>
  <si>
    <t>高橋良文製造課</t>
    <phoneticPr fontId="2"/>
  </si>
  <si>
    <t>10/27,11/3,11/10,11/17,12/14</t>
    <phoneticPr fontId="2"/>
  </si>
  <si>
    <r>
      <rPr>
        <sz val="11"/>
        <color rgb="FFFF0000"/>
        <rFont val="ＭＳ ゴシック"/>
        <family val="3"/>
        <charset val="128"/>
      </rPr>
      <t>斉</t>
    </r>
    <r>
      <rPr>
        <sz val="11"/>
        <color rgb="FFFF0000"/>
        <rFont val="Dotum"/>
        <family val="2"/>
        <charset val="129"/>
      </rPr>
      <t>藤茂生産支援課</t>
    </r>
    <phoneticPr fontId="2"/>
  </si>
  <si>
    <t>矢野祐次製造課</t>
    <phoneticPr fontId="2"/>
  </si>
  <si>
    <r>
      <t>今井敬史品質保</t>
    </r>
    <r>
      <rPr>
        <sz val="11"/>
        <color rgb="FFFF0000"/>
        <rFont val="Dotum"/>
        <family val="2"/>
        <charset val="129"/>
      </rPr>
      <t>証部</t>
    </r>
    <phoneticPr fontId="2"/>
  </si>
  <si>
    <t>宮本翔平製造課</t>
    <phoneticPr fontId="2"/>
  </si>
  <si>
    <t>11/9/12/7,14</t>
    <phoneticPr fontId="2"/>
  </si>
  <si>
    <t>松田　2週に一度夜勤</t>
    <rPh sb="0" eb="1">
      <t>マツダ</t>
    </rPh>
    <rPh sb="5" eb="7">
      <t>イチド</t>
    </rPh>
    <rPh sb="8" eb="10">
      <t>ヤキン</t>
    </rPh>
    <phoneticPr fontId="2"/>
  </si>
  <si>
    <t>2024・11月、12月　休日夜勤当番表</t>
    <rPh sb="7" eb="8">
      <t>ツキ</t>
    </rPh>
    <rPh sb="11" eb="12">
      <t>ツキ</t>
    </rPh>
    <rPh sb="13" eb="15">
      <t>キュウジツ</t>
    </rPh>
    <rPh sb="15" eb="17">
      <t>ヤキン</t>
    </rPh>
    <rPh sb="17" eb="19">
      <t>トウバン</t>
    </rPh>
    <rPh sb="19" eb="20">
      <t>ヒョウ</t>
    </rPh>
    <phoneticPr fontId="2"/>
  </si>
  <si>
    <r>
      <t>11/2. 11/9. 11/10. 11/30. 12/1. 12/14</t>
    </r>
    <r>
      <rPr>
        <sz val="9"/>
        <color rgb="FFFF0000"/>
        <rFont val="游ゴシック"/>
        <family val="2"/>
        <charset val="128"/>
      </rPr>
      <t>, 12/7</t>
    </r>
    <phoneticPr fontId="2"/>
  </si>
  <si>
    <t xml:space="preserve">→ </t>
    <phoneticPr fontId="2"/>
  </si>
  <si>
    <t>高橋良</t>
    <rPh sb="0" eb="2">
      <t>タカハシ</t>
    </rPh>
    <rPh sb="2" eb="3">
      <t>リョウ</t>
    </rPh>
    <phoneticPr fontId="2"/>
  </si>
  <si>
    <t>→</t>
  </si>
  <si>
    <t xml:space="preserve">→ </t>
  </si>
  <si>
    <t>3,</t>
    <phoneticPr fontId="2"/>
  </si>
  <si>
    <t>1,7,</t>
    <phoneticPr fontId="2"/>
  </si>
  <si>
    <t>5,9</t>
    <phoneticPr fontId="2"/>
  </si>
  <si>
    <t>2025・1月、2月　休日夜勤当番表</t>
    <rPh sb="6" eb="7">
      <t>ツキ</t>
    </rPh>
    <rPh sb="9" eb="10">
      <t>ツキ</t>
    </rPh>
    <rPh sb="11" eb="13">
      <t>キュウジツ</t>
    </rPh>
    <rPh sb="13" eb="15">
      <t>ヤキン</t>
    </rPh>
    <rPh sb="15" eb="17">
      <t>トウバン</t>
    </rPh>
    <rPh sb="17" eb="18">
      <t>ヒョウ</t>
    </rPh>
    <phoneticPr fontId="2"/>
  </si>
  <si>
    <t>1/11 1/12 2/8</t>
  </si>
  <si>
    <t>1/11(土)</t>
  </si>
  <si>
    <t>1/11.12</t>
  </si>
  <si>
    <t>1/11,12</t>
  </si>
  <si>
    <t>2/15、2/16</t>
  </si>
  <si>
    <t>1/12(日) 2/8(土)</t>
  </si>
  <si>
    <t>1/11 1/12</t>
  </si>
  <si>
    <t>1月4日　1月5日</t>
  </si>
  <si>
    <t>01/25、26</t>
  </si>
  <si>
    <t>松田貴志生産支援課</t>
  </si>
  <si>
    <t>01/20、02/17</t>
  </si>
  <si>
    <t>１２月　宮本</t>
    <rPh sb="2" eb="3">
      <t>ガツ</t>
    </rPh>
    <rPh sb="4" eb="6">
      <t>ミヤモト</t>
    </rPh>
    <phoneticPr fontId="2"/>
  </si>
  <si>
    <r>
      <t>大関慎</t>
    </r>
    <r>
      <rPr>
        <sz val="9"/>
        <color rgb="FFFF0000"/>
        <rFont val="Dotum"/>
        <family val="2"/>
        <charset val="129"/>
      </rPr>
      <t>也生産支援課</t>
    </r>
  </si>
  <si>
    <r>
      <t>楮本丈一</t>
    </r>
    <r>
      <rPr>
        <sz val="9"/>
        <color rgb="FFFF0000"/>
        <rFont val="Dotum"/>
        <family val="2"/>
        <charset val="129"/>
      </rPr>
      <t>郎製造課</t>
    </r>
  </si>
  <si>
    <r>
      <t>木村宗一</t>
    </r>
    <r>
      <rPr>
        <sz val="9"/>
        <color rgb="FFFF0000"/>
        <rFont val="Dotum"/>
        <family val="2"/>
        <charset val="129"/>
      </rPr>
      <t>郎製造課</t>
    </r>
  </si>
  <si>
    <r>
      <rPr>
        <sz val="11"/>
        <color rgb="FFFF0000"/>
        <rFont val="Dotum"/>
        <family val="2"/>
        <charset val="129"/>
      </rPr>
      <t>2024/2/10</t>
    </r>
    <phoneticPr fontId="2"/>
  </si>
  <si>
    <r>
      <rPr>
        <sz val="11"/>
        <color rgb="FFFF0000"/>
        <rFont val="Dotum"/>
        <family val="2"/>
        <charset val="129"/>
      </rPr>
      <t>2024/12/23</t>
    </r>
    <phoneticPr fontId="2"/>
  </si>
  <si>
    <r>
      <rPr>
        <sz val="11"/>
        <color rgb="FFFF0000"/>
        <rFont val="游ゴシック"/>
        <family val="2"/>
        <charset val="128"/>
      </rPr>
      <t>7</t>
    </r>
    <r>
      <rPr>
        <sz val="11"/>
        <color rgb="FFFF0000"/>
        <rFont val="Dotum"/>
        <family val="2"/>
        <charset val="129"/>
      </rPr>
      <t>2024/12/23</t>
    </r>
    <phoneticPr fontId="2"/>
  </si>
  <si>
    <t>2/15</t>
    <phoneticPr fontId="2"/>
  </si>
  <si>
    <t>１２月　加藤凌</t>
    <rPh sb="2" eb="3">
      <t>ガツ</t>
    </rPh>
    <rPh sb="4" eb="7">
      <t>カトウリョウ</t>
    </rPh>
    <phoneticPr fontId="2"/>
  </si>
  <si>
    <t>3,5,7,9</t>
  </si>
  <si>
    <t>斉藤邦　今回土日勤務無し</t>
    <rPh sb="0" eb="3">
      <t>サイトウクニ</t>
    </rPh>
    <rPh sb="4" eb="6">
      <t>コンカイ</t>
    </rPh>
    <rPh sb="6" eb="8">
      <t>ドニチ</t>
    </rPh>
    <rPh sb="8" eb="10">
      <t>キンム</t>
    </rPh>
    <rPh sb="10" eb="11">
      <t>ナ</t>
    </rPh>
    <phoneticPr fontId="2"/>
  </si>
  <si>
    <t>矢野</t>
    <rPh sb="0" eb="1">
      <t>ヤノ</t>
    </rPh>
    <phoneticPr fontId="2"/>
  </si>
  <si>
    <t>2/22,2/23,3/29,3/30, 4/19,4/20</t>
    <phoneticPr fontId="2"/>
  </si>
  <si>
    <t>2/17～（17～20は可）、2/24～、3/10～（10～13は可）、3/24（24～27は可）、4/7~</t>
    <phoneticPr fontId="2"/>
  </si>
  <si>
    <t>2/22、3/15、3/29</t>
  </si>
  <si>
    <t>2/22.23</t>
  </si>
  <si>
    <t>3/1.2</t>
  </si>
  <si>
    <t>2/22,2/23 3/29,3/30</t>
  </si>
  <si>
    <t>3/9.3/16.3/23</t>
  </si>
  <si>
    <r>
      <t>斉</t>
    </r>
    <r>
      <rPr>
        <sz val="9"/>
        <color rgb="FFFF0000"/>
        <rFont val="Dotum"/>
        <family val="2"/>
        <charset val="129"/>
      </rPr>
      <t>藤茂生産支援課</t>
    </r>
  </si>
  <si>
    <r>
      <t>大</t>
    </r>
    <r>
      <rPr>
        <sz val="9"/>
        <color rgb="FFFF0000"/>
        <rFont val="Dotum"/>
        <family val="2"/>
        <charset val="129"/>
      </rPr>
      <t>関慎也生産支援課</t>
    </r>
  </si>
  <si>
    <t>3/19,4/9</t>
    <phoneticPr fontId="2"/>
  </si>
  <si>
    <t>2/21.22.23</t>
    <phoneticPr fontId="2"/>
  </si>
  <si>
    <t>3/3.3/10</t>
    <phoneticPr fontId="2"/>
  </si>
  <si>
    <t>2/21,2/22,3/9,2/30</t>
    <phoneticPr fontId="2"/>
  </si>
  <si>
    <t>3/8,3/9</t>
    <phoneticPr fontId="2"/>
  </si>
  <si>
    <t>代出勤</t>
    <rPh sb="0" eb="3">
      <t>ダイシュッキン</t>
    </rPh>
    <phoneticPr fontId="2"/>
  </si>
  <si>
    <t>休出</t>
    <rPh sb="0" eb="2">
      <t>キュウシュツ</t>
    </rPh>
    <phoneticPr fontId="2"/>
  </si>
  <si>
    <t>2,11</t>
    <phoneticPr fontId="2"/>
  </si>
  <si>
    <t>3,12</t>
    <phoneticPr fontId="2"/>
  </si>
  <si>
    <t>4,13</t>
    <phoneticPr fontId="2"/>
  </si>
  <si>
    <t>5,14</t>
    <phoneticPr fontId="2"/>
  </si>
  <si>
    <t>6,15</t>
    <phoneticPr fontId="2"/>
  </si>
  <si>
    <t>7,16</t>
    <phoneticPr fontId="2"/>
  </si>
  <si>
    <t>8,17</t>
    <phoneticPr fontId="2"/>
  </si>
  <si>
    <t>2025・3月、4月　休日夜勤当番表</t>
    <rPh sb="6" eb="7">
      <t>ツキ</t>
    </rPh>
    <rPh sb="9" eb="10">
      <t>ツキ</t>
    </rPh>
    <rPh sb="11" eb="13">
      <t>キュウジツ</t>
    </rPh>
    <rPh sb="13" eb="15">
      <t>ヤキン</t>
    </rPh>
    <rPh sb="15" eb="17">
      <t>トウバン</t>
    </rPh>
    <rPh sb="17" eb="18">
      <t>ヒョウ</t>
    </rPh>
    <phoneticPr fontId="2"/>
  </si>
  <si>
    <t>3/23,3/29</t>
    <phoneticPr fontId="2"/>
  </si>
  <si>
    <t>1,3,5,7,9</t>
  </si>
  <si>
    <t>-</t>
  </si>
  <si>
    <t>#変更点２：夜勤出勤者（夜１、夜２）勤務時間変更　20:30～5:30　⇒　18:30～3:30</t>
    <rPh sb="1" eb="4">
      <t>ヘンコウテン</t>
    </rPh>
    <rPh sb="12" eb="13">
      <t>ヨル</t>
    </rPh>
    <rPh sb="15" eb="16">
      <t>ヨル</t>
    </rPh>
    <rPh sb="18" eb="24">
      <t>キンムジカンヘンコウ</t>
    </rPh>
    <phoneticPr fontId="2"/>
  </si>
  <si>
    <t>#変更点１：夜勤出勤者（夜１）　4日、3日の2パターンあり、夜勤後の休日調整を土日の出勤で対応</t>
    <rPh sb="1" eb="4">
      <t>ヘンコウテン</t>
    </rPh>
    <rPh sb="6" eb="8">
      <t>ヤキン</t>
    </rPh>
    <rPh sb="8" eb="11">
      <t>シュッキンシャ</t>
    </rPh>
    <rPh sb="12" eb="13">
      <t>ヨル</t>
    </rPh>
    <rPh sb="17" eb="18">
      <t>ニチ</t>
    </rPh>
    <rPh sb="20" eb="21">
      <t>ニチ</t>
    </rPh>
    <rPh sb="30" eb="32">
      <t>ヤキン</t>
    </rPh>
    <rPh sb="32" eb="33">
      <t>アト</t>
    </rPh>
    <rPh sb="34" eb="38">
      <t>キュウジツチョウセイ</t>
    </rPh>
    <rPh sb="39" eb="41">
      <t>ドニチ</t>
    </rPh>
    <rPh sb="42" eb="44">
      <t>シュッキン</t>
    </rPh>
    <rPh sb="45" eb="47">
      <t>タイオウ</t>
    </rPh>
    <phoneticPr fontId="2"/>
  </si>
  <si>
    <t>total</t>
    <phoneticPr fontId="2"/>
  </si>
  <si>
    <t>小林直正生産支援課</t>
    <rPh sb="0" eb="3">
      <t>コバヤシナオ</t>
    </rPh>
    <rPh sb="3" eb="4">
      <t>マサ</t>
    </rPh>
    <rPh sb="4" eb="9">
      <t>セイサンシエンカ</t>
    </rPh>
    <phoneticPr fontId="2"/>
  </si>
  <si>
    <t>3/3,3/10</t>
    <phoneticPr fontId="2"/>
  </si>
  <si>
    <t>矢島</t>
    <rPh sb="0" eb="2">
      <t>ヤジマ</t>
    </rPh>
    <phoneticPr fontId="2"/>
  </si>
  <si>
    <t>幅下</t>
    <rPh sb="0" eb="2">
      <t>ハバシタ</t>
    </rPh>
    <phoneticPr fontId="2"/>
  </si>
  <si>
    <t>近藤・幅下</t>
    <rPh sb="0" eb="2">
      <t>コンドウ</t>
    </rPh>
    <rPh sb="3" eb="5">
      <t>ハバシタ</t>
    </rPh>
    <phoneticPr fontId="2"/>
  </si>
  <si>
    <t>（1）</t>
    <phoneticPr fontId="2"/>
  </si>
  <si>
    <t>（8）</t>
    <phoneticPr fontId="2"/>
  </si>
  <si>
    <t>4/26、4/27、5/10、5/17</t>
  </si>
  <si>
    <t>4/26 5/11</t>
  </si>
  <si>
    <t>6/7,6/8</t>
  </si>
  <si>
    <t>5/17.5/18</t>
  </si>
  <si>
    <t>5/10,11</t>
  </si>
  <si>
    <t>05/10,11,31　06/01</t>
  </si>
  <si>
    <t>髙田明良生産部</t>
  </si>
  <si>
    <t>5/31 ・ 6/14 ・ 6/15</t>
  </si>
  <si>
    <t>4/25、5/9、5/16</t>
  </si>
  <si>
    <t>4/28,5/5,9</t>
  </si>
  <si>
    <t>05/05,09,30</t>
  </si>
  <si>
    <t>前半</t>
    <rPh sb="0" eb="2">
      <t>ゼンハン</t>
    </rPh>
    <phoneticPr fontId="2"/>
  </si>
  <si>
    <t>後半</t>
    <rPh sb="0" eb="2">
      <t>コウハン</t>
    </rPh>
    <phoneticPr fontId="2"/>
  </si>
  <si>
    <t>（丸岡）</t>
    <rPh sb="1" eb="3">
      <t>マルオカ</t>
    </rPh>
    <phoneticPr fontId="2"/>
  </si>
  <si>
    <t>(4)</t>
    <phoneticPr fontId="2"/>
  </si>
  <si>
    <t>(3)11</t>
    <phoneticPr fontId="2"/>
  </si>
  <si>
    <t>（宮本）</t>
    <rPh sb="1" eb="3">
      <t>ミヤモト</t>
    </rPh>
    <phoneticPr fontId="2"/>
  </si>
  <si>
    <t>隝田</t>
    <rPh sb="0" eb="2">
      <t>シマタ</t>
    </rPh>
    <phoneticPr fontId="2"/>
  </si>
  <si>
    <t>2025・5月、6月　休日夜勤当番表</t>
    <rPh sb="6" eb="7">
      <t>ツキ</t>
    </rPh>
    <rPh sb="9" eb="10">
      <t>ツキ</t>
    </rPh>
    <rPh sb="11" eb="13">
      <t>キュウジツ</t>
    </rPh>
    <rPh sb="13" eb="15">
      <t>ヤキン</t>
    </rPh>
    <rPh sb="15" eb="17">
      <t>トウバン</t>
    </rPh>
    <rPh sb="17" eb="18">
      <t>ヒョウ</t>
    </rPh>
    <phoneticPr fontId="2"/>
  </si>
  <si>
    <t>幅下・近藤</t>
    <rPh sb="0" eb="2">
      <t>ハバシタ</t>
    </rPh>
    <rPh sb="3" eb="5">
      <t>コンドウ</t>
    </rPh>
    <phoneticPr fontId="2"/>
  </si>
  <si>
    <t>（小久保　夜勤　1カ月に一度程度希望）</t>
    <rPh sb="1" eb="4">
      <t>コクボ</t>
    </rPh>
    <rPh sb="5" eb="7">
      <t>ヤキン</t>
    </rPh>
    <rPh sb="10" eb="11">
      <t>ゲツ</t>
    </rPh>
    <rPh sb="12" eb="14">
      <t>イチド</t>
    </rPh>
    <rPh sb="14" eb="16">
      <t>テイド</t>
    </rPh>
    <rPh sb="16" eb="18">
      <t>キボウ</t>
    </rPh>
    <phoneticPr fontId="2"/>
  </si>
  <si>
    <t>5/31・6/1・6/7・6/8</t>
    <phoneticPr fontId="2"/>
  </si>
  <si>
    <t>（7）</t>
    <phoneticPr fontId="2"/>
  </si>
  <si>
    <t>(小久保)</t>
    <rPh sb="1" eb="4">
      <t>コクボ</t>
    </rPh>
    <phoneticPr fontId="2"/>
  </si>
  <si>
    <t>大関生産支援課（フォークリフト講習の為NG、夜勤も対象）</t>
    <rPh sb="0" eb="2">
      <t>オオゼキ</t>
    </rPh>
    <rPh sb="2" eb="6">
      <t>セイサンシエン</t>
    </rPh>
    <rPh sb="6" eb="7">
      <t>カ</t>
    </rPh>
    <rPh sb="15" eb="17">
      <t>コウシュウ</t>
    </rPh>
    <rPh sb="18" eb="19">
      <t>タメ</t>
    </rPh>
    <rPh sb="22" eb="24">
      <t>ヤキン</t>
    </rPh>
    <rPh sb="25" eb="27">
      <t>タイショウ</t>
    </rPh>
    <phoneticPr fontId="2"/>
  </si>
  <si>
    <r>
      <t>幅下生産支援課（夜勤も</t>
    </r>
    <r>
      <rPr>
        <sz val="9"/>
        <color rgb="FFFF0000"/>
        <rFont val="ＭＳ Ｐゴシック"/>
        <family val="2"/>
        <charset val="128"/>
      </rPr>
      <t>対象）</t>
    </r>
    <rPh sb="0" eb="2">
      <t>ハバシタ</t>
    </rPh>
    <rPh sb="2" eb="7">
      <t>セイサンシエンカ</t>
    </rPh>
    <rPh sb="8" eb="10">
      <t>ヤキン</t>
    </rPh>
    <rPh sb="11" eb="13">
      <t>タイショウ</t>
    </rPh>
    <phoneticPr fontId="2"/>
  </si>
  <si>
    <t>（4/20）・4/27・5/11・5/18・6/22</t>
    <phoneticPr fontId="2"/>
  </si>
  <si>
    <t>7/26.27</t>
  </si>
  <si>
    <t>6/21,6/22</t>
  </si>
  <si>
    <t>6/22・6/29・7/19・7/20</t>
  </si>
  <si>
    <t>6/21,22,28,29 7/26,27 8/2,3</t>
  </si>
  <si>
    <t>6/28，29　7/26，27</t>
  </si>
  <si>
    <t>7/21の週</t>
  </si>
  <si>
    <t>6/27,7/14,7/18,8/8,</t>
  </si>
  <si>
    <t>6/27　7/25　8/11</t>
  </si>
  <si>
    <t>2025・7月、8月　休日夜勤当番表</t>
    <rPh sb="6" eb="7">
      <t>ツキ</t>
    </rPh>
    <rPh sb="9" eb="10">
      <t>ツキ</t>
    </rPh>
    <rPh sb="11" eb="13">
      <t>キュウジツ</t>
    </rPh>
    <rPh sb="13" eb="15">
      <t>ヤキン</t>
    </rPh>
    <rPh sb="15" eb="17">
      <t>トウバン</t>
    </rPh>
    <rPh sb="17" eb="18">
      <t>ヒョウ</t>
    </rPh>
    <phoneticPr fontId="2"/>
  </si>
  <si>
    <r>
      <t>7/19,7/20,</t>
    </r>
    <r>
      <rPr>
        <sz val="9"/>
        <color rgb="FFFF0000"/>
        <rFont val="游ゴシック"/>
        <family val="2"/>
        <charset val="128"/>
      </rPr>
      <t>(</t>
    </r>
    <r>
      <rPr>
        <sz val="9"/>
        <color rgb="FFFF0000"/>
        <rFont val="Dotum"/>
        <family val="2"/>
      </rPr>
      <t>8/2,8/3</t>
    </r>
    <r>
      <rPr>
        <sz val="9"/>
        <color rgb="FFFF0000"/>
        <rFont val="游ゴシック"/>
        <family val="2"/>
        <charset val="128"/>
      </rPr>
      <t>)</t>
    </r>
    <phoneticPr fontId="2"/>
  </si>
  <si>
    <t>6/21,6/28,7/5</t>
    <phoneticPr fontId="2"/>
  </si>
  <si>
    <t>7/12，7/13</t>
    <phoneticPr fontId="2"/>
  </si>
  <si>
    <t>1,17</t>
    <phoneticPr fontId="2"/>
  </si>
  <si>
    <t>6/21,6/29.7/6.7/13.7/20</t>
    <phoneticPr fontId="2"/>
  </si>
  <si>
    <t>休日日数</t>
    <rPh sb="0" eb="2">
      <t>キュウジツ</t>
    </rPh>
    <rPh sb="2" eb="4">
      <t>ニッスウ</t>
    </rPh>
    <phoneticPr fontId="2"/>
  </si>
  <si>
    <t>7/19，7/20</t>
    <phoneticPr fontId="2"/>
  </si>
  <si>
    <t>幅下孝一生産支援課</t>
    <rPh sb="0" eb="2">
      <t>ハバシタ</t>
    </rPh>
    <rPh sb="2" eb="4">
      <t>コウイチ</t>
    </rPh>
    <rPh sb="4" eb="8">
      <t>セイサンシエン</t>
    </rPh>
    <rPh sb="8" eb="9">
      <t>カ</t>
    </rPh>
    <phoneticPr fontId="2"/>
  </si>
  <si>
    <t>6/21・6/22・7/20</t>
    <phoneticPr fontId="2"/>
  </si>
  <si>
    <t>#変更点：夜勤出勤者（夜１）以前の7日連勤に戻し</t>
    <rPh sb="1" eb="4">
      <t>ヘンコウテン</t>
    </rPh>
    <rPh sb="5" eb="7">
      <t>ヤキン</t>
    </rPh>
    <rPh sb="7" eb="10">
      <t>シュッキンシャ</t>
    </rPh>
    <rPh sb="11" eb="12">
      <t>ヨル</t>
    </rPh>
    <rPh sb="14" eb="16">
      <t>イゼン</t>
    </rPh>
    <rPh sb="18" eb="19">
      <t>ニチ</t>
    </rPh>
    <rPh sb="19" eb="21">
      <t>レンキン</t>
    </rPh>
    <rPh sb="22" eb="23">
      <t>モド</t>
    </rPh>
    <phoneticPr fontId="2"/>
  </si>
  <si>
    <t>#注意点：夜勤出勤者（夜１、夜２）18:30～3:30　出社時間変更なし</t>
    <rPh sb="1" eb="4">
      <t>チュウイテン</t>
    </rPh>
    <rPh sb="11" eb="12">
      <t>ヨル</t>
    </rPh>
    <rPh sb="14" eb="15">
      <t>ヨル</t>
    </rPh>
    <rPh sb="28" eb="32">
      <t>シュッシャジカン</t>
    </rPh>
    <rPh sb="32" eb="34">
      <t>ヘンコウ</t>
    </rPh>
    <phoneticPr fontId="2"/>
  </si>
  <si>
    <t>順番</t>
    <rPh sb="0" eb="2">
      <t>ジュンバン</t>
    </rPh>
    <phoneticPr fontId="2"/>
  </si>
  <si>
    <t>9.10月</t>
    <rPh sb="4" eb="5">
      <t>ガツ</t>
    </rPh>
    <phoneticPr fontId="2"/>
  </si>
  <si>
    <t>2025・9月、10月　休日夜勤当番表</t>
    <rPh sb="6" eb="7">
      <t>ツキ</t>
    </rPh>
    <rPh sb="10" eb="11">
      <t>ツキ</t>
    </rPh>
    <rPh sb="12" eb="14">
      <t>キュウジツ</t>
    </rPh>
    <rPh sb="14" eb="16">
      <t>ヤキン</t>
    </rPh>
    <rPh sb="16" eb="18">
      <t>トウバン</t>
    </rPh>
    <rPh sb="18" eb="19">
      <t>ヒョウ</t>
    </rPh>
    <phoneticPr fontId="2"/>
  </si>
  <si>
    <t>9/20　9/21</t>
  </si>
  <si>
    <t>9/13.14 9/27.28</t>
  </si>
  <si>
    <t>9/13,9/14</t>
  </si>
  <si>
    <t>9/6, 9/7, 9/13, 9/14, 9/28, 10/11, 10/12</t>
  </si>
  <si>
    <t>10/11 10/12</t>
  </si>
  <si>
    <t>9/8,10/6,10/13</t>
  </si>
  <si>
    <t>8/23,8/24</t>
  </si>
  <si>
    <t>08/30,31　09/27,28</t>
  </si>
  <si>
    <t>9/13.14 9/21 10/4</t>
  </si>
  <si>
    <t>8/23　8/30 9/13　9/14　9/20　9/21</t>
  </si>
  <si>
    <t>カウント</t>
    <phoneticPr fontId="2"/>
  </si>
  <si>
    <t>オペレータ</t>
    <phoneticPr fontId="2"/>
  </si>
  <si>
    <t>08/25　09/22　10/20</t>
  </si>
  <si>
    <t>切粉</t>
    <rPh sb="0" eb="2">
      <t>キリコ</t>
    </rPh>
    <phoneticPr fontId="2"/>
  </si>
  <si>
    <t>夜勤1</t>
    <rPh sb="0" eb="2">
      <t>ヤキン</t>
    </rPh>
    <phoneticPr fontId="2"/>
  </si>
  <si>
    <t>2.10</t>
    <phoneticPr fontId="2"/>
  </si>
  <si>
    <t>GROOP3</t>
  </si>
  <si>
    <t>total</t>
  </si>
  <si>
    <t>休日</t>
    <rPh sb="0" eb="2">
      <t>キュウジツ</t>
    </rPh>
    <phoneticPr fontId="2"/>
  </si>
  <si>
    <t>幅下孝一生産支援課</t>
    <phoneticPr fontId="2"/>
  </si>
  <si>
    <t>8/23, 8/31, 9/28</t>
    <phoneticPr fontId="2"/>
  </si>
  <si>
    <t>10/19</t>
    <phoneticPr fontId="2"/>
  </si>
  <si>
    <t>10/13,10/20</t>
    <phoneticPr fontId="2"/>
  </si>
  <si>
    <t>3番手　全員代休（岩田除く）、岩田　2回/月ペース</t>
    <rPh sb="1" eb="3">
      <t>バンテ</t>
    </rPh>
    <rPh sb="4" eb="6">
      <t>ゼンイン</t>
    </rPh>
    <rPh sb="6" eb="8">
      <t>ダイキュウ</t>
    </rPh>
    <rPh sb="9" eb="11">
      <t>イワタ</t>
    </rPh>
    <rPh sb="11" eb="12">
      <t>ノゾ</t>
    </rPh>
    <rPh sb="15" eb="17">
      <t>イワタ</t>
    </rPh>
    <rPh sb="19" eb="20">
      <t>カイ</t>
    </rPh>
    <rPh sb="21" eb="22">
      <t>ツキ</t>
    </rPh>
    <phoneticPr fontId="2"/>
  </si>
  <si>
    <t>月</t>
    <rPh sb="0" eb="1">
      <t>ガツ</t>
    </rPh>
    <phoneticPr fontId="2"/>
  </si>
  <si>
    <t>休日夜勤当番表</t>
    <phoneticPr fontId="2"/>
  </si>
  <si>
    <t>年</t>
    <rPh sb="0" eb="1">
      <t>ネン</t>
    </rPh>
    <phoneticPr fontId="2"/>
  </si>
  <si>
    <t>隝田瑠依製造課</t>
  </si>
  <si>
    <t>11/15 11/16 11/22 11/23</t>
  </si>
  <si>
    <t>12/6、12/13、12/20、12/21</t>
  </si>
  <si>
    <t>11/29.30 12/6.7</t>
  </si>
  <si>
    <t>11/1,11/2,12/13,12/14</t>
  </si>
  <si>
    <t>11月8日9日</t>
  </si>
  <si>
    <t>10/25, 10/26, 11/1, 11/2, 11/15, 11/22, 11/23, 11/29</t>
  </si>
  <si>
    <t>幅下孝一生産支援課</t>
  </si>
  <si>
    <t>11/16、11/30、12/14、12/21</t>
  </si>
  <si>
    <t>10/25, 10/26, 11/2, 11/29</t>
  </si>
  <si>
    <t>11/8,9,15,16,22,23</t>
  </si>
  <si>
    <t>10/25,26　11/22,23　12/06,07</t>
  </si>
  <si>
    <t>11/10 11/17</t>
  </si>
  <si>
    <t>12/1、12/8、12/15、12/22</t>
  </si>
  <si>
    <t>11/24、出来たら11/17の週希望</t>
  </si>
  <si>
    <t>10/27,12/8</t>
  </si>
  <si>
    <t>11/10、11/24、12/8、12/15</t>
  </si>
  <si>
    <t>11/3,10,17,24</t>
  </si>
  <si>
    <t>10/20　11/17　12/1　12/22</t>
  </si>
  <si>
    <t>11/1、11/2、11/15,11/16 12/13、12/14</t>
    <phoneticPr fontId="2"/>
  </si>
  <si>
    <t>11/1　11/2　11/8</t>
    <phoneticPr fontId="2"/>
  </si>
  <si>
    <t>オペレータ</t>
  </si>
  <si>
    <t>カウント</t>
  </si>
  <si>
    <t>2.10</t>
  </si>
  <si>
    <t>4,8</t>
  </si>
  <si>
    <t>2,10</t>
  </si>
  <si>
    <t>11.12月</t>
    <rPh sb="5" eb="6">
      <t>ガツ</t>
    </rPh>
    <phoneticPr fontId="2"/>
  </si>
  <si>
    <t>3番手　全員代休（岩田除く）、岩田　2回/月ペース（土曜）、幅下なるべく土曜</t>
    <rPh sb="1" eb="3">
      <t>バンテ</t>
    </rPh>
    <rPh sb="4" eb="6">
      <t>ゼンイン</t>
    </rPh>
    <rPh sb="6" eb="8">
      <t>ダイキュウ</t>
    </rPh>
    <rPh sb="9" eb="11">
      <t>イワタ</t>
    </rPh>
    <rPh sb="11" eb="12">
      <t>ノゾ</t>
    </rPh>
    <rPh sb="15" eb="17">
      <t>イワタ</t>
    </rPh>
    <rPh sb="19" eb="20">
      <t>カイ</t>
    </rPh>
    <rPh sb="21" eb="22">
      <t>ツキ</t>
    </rPh>
    <rPh sb="26" eb="28">
      <t>ドヨウ</t>
    </rPh>
    <rPh sb="30" eb="32">
      <t>ハバシタ</t>
    </rPh>
    <rPh sb="36" eb="38">
      <t>ドヨウ</t>
    </rPh>
    <phoneticPr fontId="2"/>
  </si>
  <si>
    <t>11/1　11/2　</t>
    <phoneticPr fontId="2"/>
  </si>
  <si>
    <t>順</t>
    <rPh sb="0" eb="1">
      <t>ジュン</t>
    </rPh>
    <phoneticPr fontId="2"/>
  </si>
  <si>
    <t>2026年</t>
  </si>
  <si>
    <t>1月</t>
  </si>
  <si>
    <t>2月</t>
  </si>
  <si>
    <t>12月</t>
  </si>
  <si>
    <t>1/10, 2/21</t>
  </si>
  <si>
    <t>1/17、18、31 2/1</t>
  </si>
  <si>
    <t>1月11日　1月31日</t>
  </si>
  <si>
    <t>近藤裕之</t>
  </si>
  <si>
    <t>1/5～1/20</t>
  </si>
  <si>
    <t>2/14　2/15</t>
  </si>
  <si>
    <t>1/25、2/22</t>
  </si>
  <si>
    <t>幅下孝一</t>
  </si>
  <si>
    <t>1/10,11</t>
  </si>
  <si>
    <t>1/11 1/17 1/18 2/21 2/22</t>
  </si>
  <si>
    <t>1/20までに夜勤一回希望</t>
  </si>
  <si>
    <t>加藤凌司</t>
  </si>
  <si>
    <t>1/12、26</t>
  </si>
  <si>
    <t>次のシフトは一旦無しでお願いいたします。</t>
  </si>
  <si>
    <t>1/19、2/16</t>
  </si>
  <si>
    <t>(高橋良)</t>
    <rPh sb="1" eb="4">
      <t>タカハシヨシ</t>
    </rPh>
    <phoneticPr fontId="2"/>
  </si>
  <si>
    <t>(隝田)</t>
    <rPh sb="1" eb="3">
      <t>シマタ</t>
    </rPh>
    <phoneticPr fontId="2"/>
  </si>
  <si>
    <t>(大関)</t>
    <rPh sb="1" eb="3">
      <t>オオゼキ</t>
    </rPh>
    <phoneticPr fontId="2"/>
  </si>
  <si>
    <t>(高橋拓)</t>
    <rPh sb="1" eb="4">
      <t>タカハシタク</t>
    </rPh>
    <phoneticPr fontId="2"/>
  </si>
  <si>
    <t>(小林直)</t>
    <rPh sb="1" eb="4">
      <t>コバヤシナオ</t>
    </rPh>
    <phoneticPr fontId="2"/>
  </si>
  <si>
    <t>(新井洋)</t>
    <rPh sb="1" eb="4">
      <t>アライヨウ</t>
    </rPh>
    <phoneticPr fontId="2"/>
  </si>
  <si>
    <t>(松田)</t>
    <rPh sb="1" eb="3">
      <t>マツダ</t>
    </rPh>
    <phoneticPr fontId="2"/>
  </si>
  <si>
    <t>楮本・田中</t>
    <rPh sb="0" eb="2">
      <t>カズモト</t>
    </rPh>
    <rPh sb="3" eb="5">
      <t>タナカ</t>
    </rPh>
    <phoneticPr fontId="2"/>
  </si>
  <si>
    <t>夜勤有</t>
    <rPh sb="0" eb="2">
      <t>ヤキン</t>
    </rPh>
    <rPh sb="2" eb="3">
      <t>アリ</t>
    </rPh>
    <phoneticPr fontId="2"/>
  </si>
  <si>
    <t>↓</t>
    <phoneticPr fontId="2"/>
  </si>
  <si>
    <t>#注意点：夜勤出勤者（夜１、夜２）勤務時間変更　18:30～3:30　⇒　17:30～2:30　</t>
    <rPh sb="1" eb="4">
      <t>チュウイテン</t>
    </rPh>
    <rPh sb="11" eb="12">
      <t>ヨル</t>
    </rPh>
    <rPh sb="14" eb="15">
      <t>ヨル</t>
    </rPh>
    <phoneticPr fontId="2"/>
  </si>
  <si>
    <t>塩田</t>
    <rPh sb="0" eb="2">
      <t>シオダ</t>
    </rPh>
    <phoneticPr fontId="2"/>
  </si>
  <si>
    <t>今回の土日勤務は無し</t>
    <rPh sb="0" eb="2">
      <t>コンカイ</t>
    </rPh>
    <rPh sb="3" eb="5">
      <t>ドニチ</t>
    </rPh>
    <rPh sb="5" eb="7">
      <t>キンム</t>
    </rPh>
    <rPh sb="8" eb="9">
      <t>ナ</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</si>
</sst>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d\(aaa\)"/>
    <numFmt numFmtId="177" formatCode="@&quot;月&quot;"/>
    <numFmt numFmtId="178" formatCode="m/d;@"/>
  </numFmts>
  <fonts count="47">
    <font>
      <sz val="11"/>
      <color theme="1"/>
      <name val="游ゴシック"/>
      <family val="2"/>
      <charset val="128"/>
      <scheme val="minor"/>
    </font>
    <font>
      <sz val="11"/>
      <color rgb="FFFF0000"/>
      <name val="游ゴシック"/>
      <family val="2"/>
      <charset val="128"/>
      <scheme val="minor"/>
    </font>
    <font>
      <sz val="6"/>
      <name val="游ゴシック"/>
      <family val="2"/>
      <charset val="128"/>
      <scheme val="minor"/>
    </font>
    <font>
      <b/>
      <sz val="11"/>
      <color theme="1"/>
      <name val="游ゴシック"/>
      <family val="3"/>
      <charset val="128"/>
      <scheme val="minor"/>
    </font>
    <font>
      <sz val="11"/>
      <name val="游ゴシック"/>
      <family val="2"/>
      <charset val="128"/>
      <scheme val="minor"/>
    </font>
    <font>
      <b/>
      <sz val="11"/>
      <name val="游ゴシック"/>
      <family val="3"/>
      <charset val="128"/>
      <scheme val="minor"/>
    </font>
    <font>
      <b/>
      <i/>
      <sz val="11"/>
      <color theme="1"/>
      <name val="游ゴシック"/>
      <family val="3"/>
      <charset val="128"/>
      <scheme val="minor"/>
    </font>
    <font>
      <sz val="11"/>
      <name val="游ゴシック"/>
      <family val="3"/>
      <charset val="128"/>
      <scheme val="minor"/>
    </font>
    <font>
      <b/>
      <i/>
      <sz val="11"/>
      <name val="游ゴシック"/>
      <family val="3"/>
      <charset val="128"/>
      <scheme val="minor"/>
    </font>
    <font>
      <sz val="11"/>
      <color theme="1"/>
      <name val="游ゴシック"/>
      <family val="3"/>
      <charset val="128"/>
      <scheme val="minor"/>
    </font>
    <font>
      <b/>
      <sz val="9"/>
      <color indexed="81"/>
      <name val="MS P ゴシック"/>
      <family val="3"/>
      <charset val="128"/>
    </font>
    <font>
      <sz val="11"/>
      <color rgb="FFFF0000"/>
      <name val="游ゴシック"/>
      <family val="3"/>
      <charset val="128"/>
      <scheme val="minor"/>
    </font>
    <font>
      <sz val="9"/>
      <color indexed="81"/>
      <name val="MS P ゴシック"/>
      <family val="3"/>
      <charset val="128"/>
    </font>
    <font>
      <sz val="10"/>
      <color rgb="FF000000"/>
      <name val="Arial"/>
      <family val="2"/>
    </font>
    <font>
      <sz val="10"/>
      <color theme="1"/>
      <name val="Arial"/>
      <family val="2"/>
    </font>
    <font>
      <sz val="10"/>
      <color theme="1"/>
      <name val="ＭＳ Ｐゴシック"/>
      <family val="2"/>
      <charset val="128"/>
    </font>
    <font>
      <sz val="10"/>
      <color rgb="FF000000"/>
      <name val="游ゴシック"/>
      <family val="2"/>
      <charset val="128"/>
    </font>
    <font>
      <sz val="10"/>
      <color theme="1"/>
      <name val="游ゴシック"/>
      <family val="2"/>
      <charset val="128"/>
    </font>
    <font>
      <sz val="10"/>
      <color rgb="FF000000"/>
      <name val="ＭＳ Ｐゴシック"/>
      <family val="2"/>
      <charset val="128"/>
    </font>
    <font>
      <sz val="9"/>
      <color rgb="FFFF0000"/>
      <name val="Dotum"/>
      <family val="2"/>
      <charset val="129"/>
    </font>
    <font>
      <sz val="11"/>
      <color rgb="FFFF0000"/>
      <name val="Dotum"/>
      <family val="2"/>
      <charset val="129"/>
    </font>
    <font>
      <sz val="9"/>
      <name val="Dotum"/>
      <family val="2"/>
    </font>
    <font>
      <sz val="11"/>
      <name val="Dotum"/>
      <family val="2"/>
      <charset val="129"/>
    </font>
    <font>
      <sz val="9"/>
      <name val="Dotum"/>
      <family val="2"/>
      <charset val="129"/>
    </font>
    <font>
      <sz val="9"/>
      <name val="Dotum"/>
      <family val="2"/>
      <charset val="136"/>
    </font>
    <font>
      <sz val="9"/>
      <color rgb="FFFF0000"/>
      <name val="Dotum"/>
      <family val="2"/>
    </font>
    <font>
      <sz val="11"/>
      <color rgb="FFFF0000"/>
      <name val="ＭＳ Ｐゴシック"/>
      <family val="2"/>
      <charset val="128"/>
    </font>
    <font>
      <sz val="9"/>
      <color rgb="FFFF0000"/>
      <name val="Dotum"/>
      <family val="2"/>
      <charset val="136"/>
    </font>
    <font>
      <sz val="11"/>
      <color rgb="FFFF0000"/>
      <name val="ＭＳ ゴシック"/>
      <family val="3"/>
      <charset val="128"/>
    </font>
    <font>
      <sz val="11"/>
      <color rgb="FFFF0000"/>
      <name val="Dotum"/>
      <family val="2"/>
    </font>
    <font>
      <sz val="9"/>
      <color rgb="FFFF0000"/>
      <name val="ＭＳ Ｐゴシック"/>
      <family val="3"/>
      <charset val="128"/>
    </font>
    <font>
      <sz val="9"/>
      <color rgb="FFFF0000"/>
      <name val="游ゴシック"/>
      <family val="2"/>
      <charset val="128"/>
    </font>
    <font>
      <sz val="9"/>
      <color rgb="FFFF0000"/>
      <name val="ＭＳ Ｐゴシック"/>
      <family val="2"/>
      <charset val="128"/>
    </font>
    <font>
      <sz val="11"/>
      <name val="ＭＳ Ｐゴシック"/>
      <family val="2"/>
      <charset val="128"/>
    </font>
    <font>
      <sz val="9"/>
      <name val="ＭＳ Ｐゴシック"/>
      <family val="3"/>
      <charset val="128"/>
    </font>
    <font>
      <sz val="11"/>
      <color rgb="FFFF0000"/>
      <name val="游ゴシック"/>
      <family val="2"/>
      <charset val="128"/>
    </font>
    <font>
      <sz val="11"/>
      <color rgb="FFFF0000"/>
      <name val="Dotum"/>
      <family val="2"/>
      <charset val="128"/>
    </font>
    <font>
      <sz val="9"/>
      <name val="ＭＳ Ｐゴシック"/>
      <family val="2"/>
      <charset val="128"/>
    </font>
    <font>
      <sz val="11"/>
      <name val="Dotum"/>
      <family val="2"/>
    </font>
    <font>
      <sz val="11"/>
      <color rgb="FFFF0000"/>
      <name val="ＭＳ Ｐゴシック"/>
      <family val="3"/>
      <charset val="128"/>
    </font>
    <font>
      <sz val="11"/>
      <color theme="9"/>
      <name val="游ゴシック"/>
      <family val="3"/>
      <charset val="128"/>
      <scheme val="minor"/>
    </font>
    <font>
      <sz val="11"/>
      <color theme="1"/>
      <name val="游ゴシック"/>
      <family val="2"/>
      <charset val="128"/>
      <scheme val="minor"/>
    </font>
    <font>
      <sz val="9"/>
      <color rgb="FFFF0000"/>
      <name val="游ゴシック"/>
      <family val="3"/>
      <charset val="128"/>
      <scheme val="minor"/>
    </font>
    <font>
      <sz val="10"/>
      <color rgb="FFFF0000"/>
      <name val="ＭＳ Ｐゴシック"/>
      <family val="3"/>
      <charset val="128"/>
    </font>
    <font>
      <sz val="10"/>
      <name val="游ゴシック"/>
      <family val="3"/>
      <charset val="128"/>
      <scheme val="minor"/>
    </font>
    <font>
      <sz val="9"/>
      <name val="游ゴシック"/>
      <family val="3"/>
      <charset val="128"/>
      <scheme val="minor"/>
    </font>
    <font>
      <sz val="9"/>
      <color theme="1"/>
      <name val="游ゴシック"/>
      <family val="3"/>
      <charset val="128"/>
      <scheme val="minor"/>
    </font>
  </fonts>
  <fills count="11">
    <fill>
      <patternFill patternType="none"/>
    </fill>
    <fill>
      <patternFill patternType="gray125"/>
    </fill>
    <fill>
      <patternFill patternType="solid">
        <fgColor theme="2"/>
        <bgColor indexed="64"/>
      </patternFill>
    </fill>
    <fill>
      <patternFill patternType="solid">
        <fgColor theme="8" tint="0.59999389629810485"/>
        <bgColor indexed="64"/>
      </patternFill>
    </fill>
    <fill>
      <patternFill patternType="solid">
        <fgColor rgb="FFFFFF00"/>
        <bgColor indexed="64"/>
      </patternFill>
    </fill>
    <fill>
      <patternFill patternType="solid">
        <fgColor theme="5" tint="0.79998168889431442"/>
        <bgColor indexed="64"/>
      </patternFill>
    </fill>
    <fill>
      <patternFill patternType="solid">
        <fgColor theme="0"/>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rgb="FFFFC000"/>
        <bgColor indexed="64"/>
      </patternFill>
    </fill>
    <fill>
      <patternFill patternType="solid">
        <fgColor theme="7" tint="0.39997558519241921"/>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diagonalUp="1">
      <left style="thin">
        <color indexed="64"/>
      </left>
      <right style="thin">
        <color indexed="64"/>
      </right>
      <top style="thin">
        <color indexed="64"/>
      </top>
      <bottom style="thin">
        <color indexed="64"/>
      </bottom>
      <diagonal style="thin">
        <color indexed="64"/>
      </diagonal>
    </border>
    <border>
      <left/>
      <right/>
      <top/>
      <bottom style="thin">
        <color indexed="64"/>
      </bottom>
      <diagonal/>
    </border>
    <border>
      <left/>
      <right style="thin">
        <color indexed="64"/>
      </right>
      <top/>
      <bottom style="thin">
        <color indexed="64"/>
      </bottom>
      <diagonal/>
    </border>
    <border diagonalUp="1">
      <left/>
      <right style="thin">
        <color indexed="64"/>
      </right>
      <top/>
      <bottom/>
      <diagonal style="thin">
        <color indexed="64"/>
      </diagonal>
    </border>
    <border diagonalDown="1">
      <left style="thin">
        <color indexed="64"/>
      </left>
      <right style="thin">
        <color indexed="64"/>
      </right>
      <top style="thin">
        <color indexed="64"/>
      </top>
      <bottom style="thin">
        <color indexed="64"/>
      </bottom>
      <diagonal style="thin">
        <color indexed="64"/>
      </diagonal>
    </border>
    <border>
      <left style="thin">
        <color indexed="64"/>
      </left>
      <right/>
      <top/>
      <bottom/>
      <diagonal/>
    </border>
  </borders>
  <cellStyleXfs count="2">
    <xf numFmtId="0" fontId="0" fillId="0" borderId="0">
      <alignment vertical="center"/>
    </xf>
    <xf numFmtId="38" fontId="41" fillId="0" borderId="0" applyFont="0" applyFill="0" applyBorder="0" applyAlignment="0" applyProtection="0">
      <alignment vertical="center"/>
    </xf>
  </cellStyleXfs>
  <cellXfs count="159">
    <xf numFmtId="0" fontId="0" fillId="0" borderId="0" xfId="0">
      <alignment vertical="center"/>
    </xf>
    <xf numFmtId="0" fontId="0" fillId="0" borderId="0" xfId="0" applyAlignment="1">
      <alignment horizontal="center" vertical="center" shrinkToFit="1"/>
    </xf>
    <xf numFmtId="0" fontId="3" fillId="2" borderId="1" xfId="0" applyFont="1" applyFill="1" applyBorder="1" applyAlignment="1">
      <alignment horizontal="center" vertical="center" shrinkToFit="1"/>
    </xf>
    <xf numFmtId="0" fontId="0" fillId="0" borderId="1" xfId="0" applyBorder="1" applyAlignment="1">
      <alignment horizontal="center" vertical="center" shrinkToFit="1"/>
    </xf>
    <xf numFmtId="0" fontId="0" fillId="0" borderId="3" xfId="0" applyBorder="1" applyAlignment="1">
      <alignment horizontal="center" vertical="center" shrinkToFit="1"/>
    </xf>
    <xf numFmtId="0" fontId="0" fillId="0" borderId="4" xfId="0" applyBorder="1" applyAlignment="1">
      <alignment horizontal="center" vertical="center" shrinkToFit="1"/>
    </xf>
    <xf numFmtId="176" fontId="0" fillId="2" borderId="1" xfId="0" applyNumberFormat="1" applyFill="1" applyBorder="1" applyAlignment="1">
      <alignment horizontal="center" vertical="center" shrinkToFit="1"/>
    </xf>
    <xf numFmtId="176" fontId="1" fillId="2" borderId="1" xfId="0" applyNumberFormat="1" applyFont="1" applyFill="1" applyBorder="1" applyAlignment="1">
      <alignment horizontal="center" vertical="center" shrinkToFit="1"/>
    </xf>
    <xf numFmtId="176" fontId="5" fillId="3" borderId="1" xfId="0" applyNumberFormat="1" applyFont="1" applyFill="1" applyBorder="1" applyAlignment="1">
      <alignment horizontal="center" vertical="center" shrinkToFit="1"/>
    </xf>
    <xf numFmtId="176" fontId="1" fillId="3" borderId="1" xfId="0" applyNumberFormat="1" applyFont="1" applyFill="1" applyBorder="1" applyAlignment="1">
      <alignment horizontal="center" vertical="center" shrinkToFit="1"/>
    </xf>
    <xf numFmtId="176" fontId="0" fillId="3" borderId="1" xfId="0" applyNumberFormat="1" applyFill="1" applyBorder="1" applyAlignment="1">
      <alignment horizontal="center" vertical="center" shrinkToFit="1"/>
    </xf>
    <xf numFmtId="176" fontId="4" fillId="3" borderId="1" xfId="0" applyNumberFormat="1" applyFont="1" applyFill="1" applyBorder="1" applyAlignment="1">
      <alignment horizontal="center" vertical="center" shrinkToFit="1"/>
    </xf>
    <xf numFmtId="0" fontId="3" fillId="3" borderId="1" xfId="0" applyFont="1" applyFill="1" applyBorder="1" applyAlignment="1">
      <alignment horizontal="center" vertical="center" shrinkToFit="1"/>
    </xf>
    <xf numFmtId="0" fontId="0" fillId="3" borderId="1" xfId="0" applyFill="1" applyBorder="1" applyAlignment="1">
      <alignment horizontal="center" vertical="center" shrinkToFit="1"/>
    </xf>
    <xf numFmtId="176" fontId="3" fillId="2" borderId="1" xfId="0" applyNumberFormat="1" applyFont="1" applyFill="1" applyBorder="1" applyAlignment="1">
      <alignment horizontal="center" vertical="center" shrinkToFit="1"/>
    </xf>
    <xf numFmtId="0" fontId="0" fillId="2" borderId="1" xfId="0" applyFill="1" applyBorder="1" applyAlignment="1">
      <alignment horizontal="center" vertical="center" shrinkToFit="1"/>
    </xf>
    <xf numFmtId="176" fontId="4" fillId="2" borderId="1" xfId="0" applyNumberFormat="1" applyFont="1" applyFill="1" applyBorder="1" applyAlignment="1">
      <alignment horizontal="center" vertical="center" shrinkToFit="1"/>
    </xf>
    <xf numFmtId="56" fontId="0" fillId="0" borderId="0" xfId="0" applyNumberFormat="1" applyAlignment="1">
      <alignment horizontal="center" vertical="center" shrinkToFit="1"/>
    </xf>
    <xf numFmtId="0" fontId="4" fillId="0" borderId="1" xfId="0" applyFont="1" applyBorder="1" applyAlignment="1">
      <alignment horizontal="center" vertical="center" shrinkToFit="1"/>
    </xf>
    <xf numFmtId="0" fontId="7" fillId="0" borderId="1" xfId="0" applyFont="1" applyBorder="1" applyAlignment="1">
      <alignment horizontal="center" vertical="center" shrinkToFit="1"/>
    </xf>
    <xf numFmtId="0" fontId="9" fillId="0" borderId="2" xfId="0" applyFont="1" applyBorder="1">
      <alignment vertical="center"/>
    </xf>
    <xf numFmtId="0" fontId="0" fillId="0" borderId="3" xfId="0" applyBorder="1">
      <alignment vertical="center"/>
    </xf>
    <xf numFmtId="177" fontId="3" fillId="2" borderId="1" xfId="0" applyNumberFormat="1" applyFont="1" applyFill="1" applyBorder="1" applyAlignment="1">
      <alignment horizontal="center" vertical="center" shrinkToFit="1"/>
    </xf>
    <xf numFmtId="177" fontId="5" fillId="3" borderId="1" xfId="0" applyNumberFormat="1" applyFont="1" applyFill="1" applyBorder="1" applyAlignment="1">
      <alignment horizontal="center" vertical="center" shrinkToFit="1"/>
    </xf>
    <xf numFmtId="177" fontId="3" fillId="3" borderId="1" xfId="0" applyNumberFormat="1" applyFont="1" applyFill="1" applyBorder="1" applyAlignment="1">
      <alignment horizontal="center" vertical="center" shrinkToFit="1"/>
    </xf>
    <xf numFmtId="176" fontId="7" fillId="3" borderId="1" xfId="0" applyNumberFormat="1" applyFont="1" applyFill="1" applyBorder="1" applyAlignment="1">
      <alignment horizontal="center" vertical="center" shrinkToFit="1"/>
    </xf>
    <xf numFmtId="177" fontId="5" fillId="2" borderId="1" xfId="0" applyNumberFormat="1" applyFont="1" applyFill="1" applyBorder="1" applyAlignment="1">
      <alignment horizontal="center" vertical="center" shrinkToFit="1"/>
    </xf>
    <xf numFmtId="176" fontId="7" fillId="2" borderId="1" xfId="0" applyNumberFormat="1" applyFont="1" applyFill="1" applyBorder="1" applyAlignment="1">
      <alignment horizontal="center" vertical="center" shrinkToFit="1"/>
    </xf>
    <xf numFmtId="0" fontId="7" fillId="2" borderId="1" xfId="0" applyFont="1" applyFill="1" applyBorder="1" applyAlignment="1">
      <alignment horizontal="center" vertical="center" shrinkToFit="1"/>
    </xf>
    <xf numFmtId="0" fontId="11" fillId="0" borderId="1" xfId="0" applyFont="1" applyBorder="1" applyAlignment="1">
      <alignment horizontal="center" vertical="center" shrinkToFit="1"/>
    </xf>
    <xf numFmtId="176" fontId="11" fillId="3" borderId="1" xfId="0" applyNumberFormat="1" applyFont="1" applyFill="1" applyBorder="1" applyAlignment="1">
      <alignment horizontal="center" vertical="center" shrinkToFit="1"/>
    </xf>
    <xf numFmtId="176" fontId="11" fillId="2" borderId="1" xfId="0" applyNumberFormat="1" applyFont="1" applyFill="1" applyBorder="1" applyAlignment="1">
      <alignment horizontal="center" vertical="center" shrinkToFit="1"/>
    </xf>
    <xf numFmtId="0" fontId="3" fillId="0" borderId="1" xfId="0" applyFont="1" applyBorder="1" applyAlignment="1">
      <alignment horizontal="center" vertical="center" shrinkToFit="1"/>
    </xf>
    <xf numFmtId="0" fontId="9" fillId="0" borderId="3" xfId="0" applyFont="1" applyBorder="1">
      <alignment vertical="center"/>
    </xf>
    <xf numFmtId="178" fontId="0" fillId="0" borderId="0" xfId="0" applyNumberFormat="1" applyAlignment="1">
      <alignment horizontal="center" vertical="center" shrinkToFit="1"/>
    </xf>
    <xf numFmtId="0" fontId="9" fillId="0" borderId="1" xfId="0" applyFont="1" applyBorder="1" applyAlignment="1">
      <alignment horizontal="center" vertical="center" shrinkToFit="1"/>
    </xf>
    <xf numFmtId="0" fontId="7" fillId="3" borderId="1" xfId="0" applyFont="1" applyFill="1" applyBorder="1" applyAlignment="1">
      <alignment horizontal="center" vertical="center" shrinkToFit="1"/>
    </xf>
    <xf numFmtId="0" fontId="7" fillId="0" borderId="3" xfId="0" applyFont="1" applyBorder="1" applyAlignment="1">
      <alignment horizontal="center" vertical="center" shrinkToFit="1"/>
    </xf>
    <xf numFmtId="0" fontId="7" fillId="0" borderId="3" xfId="0" applyFont="1" applyBorder="1">
      <alignment vertical="center"/>
    </xf>
    <xf numFmtId="0" fontId="7" fillId="0" borderId="4" xfId="0" applyFont="1" applyBorder="1" applyAlignment="1">
      <alignment horizontal="center" vertical="center" shrinkToFit="1"/>
    </xf>
    <xf numFmtId="0" fontId="7" fillId="0" borderId="0" xfId="0" applyFont="1" applyAlignment="1">
      <alignment horizontal="center" vertical="center" shrinkToFit="1"/>
    </xf>
    <xf numFmtId="56" fontId="7" fillId="0" borderId="0" xfId="0" applyNumberFormat="1" applyFont="1" applyAlignment="1">
      <alignment horizontal="center" vertical="center" shrinkToFit="1"/>
    </xf>
    <xf numFmtId="0" fontId="7" fillId="0" borderId="2" xfId="0" applyFont="1" applyBorder="1">
      <alignment vertical="center"/>
    </xf>
    <xf numFmtId="178" fontId="7" fillId="0" borderId="0" xfId="0" applyNumberFormat="1" applyFont="1" applyAlignment="1">
      <alignment horizontal="center" vertical="center" shrinkToFit="1"/>
    </xf>
    <xf numFmtId="0" fontId="7" fillId="0" borderId="6" xfId="0" applyFont="1" applyBorder="1" applyAlignment="1">
      <alignment horizontal="center" vertical="center" shrinkToFit="1"/>
    </xf>
    <xf numFmtId="176" fontId="7" fillId="0" borderId="0" xfId="0" applyNumberFormat="1" applyFont="1" applyAlignment="1">
      <alignment horizontal="center" vertical="center" shrinkToFit="1"/>
    </xf>
    <xf numFmtId="176" fontId="11" fillId="0" borderId="0" xfId="0" applyNumberFormat="1" applyFont="1" applyAlignment="1">
      <alignment horizontal="center" vertical="center" shrinkToFit="1"/>
    </xf>
    <xf numFmtId="177" fontId="5" fillId="0" borderId="0" xfId="0" applyNumberFormat="1" applyFont="1" applyAlignment="1">
      <alignment horizontal="center" vertical="center" shrinkToFit="1"/>
    </xf>
    <xf numFmtId="0" fontId="7" fillId="0" borderId="7" xfId="0" applyFont="1" applyBorder="1">
      <alignment vertical="center"/>
    </xf>
    <xf numFmtId="0" fontId="7" fillId="0" borderId="0" xfId="0" applyFont="1">
      <alignment vertical="center"/>
    </xf>
    <xf numFmtId="0" fontId="11" fillId="0" borderId="0" xfId="0" applyFont="1">
      <alignment vertical="center"/>
    </xf>
    <xf numFmtId="0" fontId="7" fillId="0" borderId="8" xfId="0" applyFont="1" applyBorder="1">
      <alignment vertical="center"/>
    </xf>
    <xf numFmtId="178" fontId="7" fillId="2" borderId="1" xfId="0" applyNumberFormat="1" applyFont="1" applyFill="1" applyBorder="1" applyAlignment="1">
      <alignment horizontal="center" vertical="center" shrinkToFit="1"/>
    </xf>
    <xf numFmtId="0" fontId="7" fillId="0" borderId="2" xfId="0" applyFont="1" applyBorder="1" applyAlignment="1">
      <alignment vertical="center" shrinkToFit="1"/>
    </xf>
    <xf numFmtId="0" fontId="7" fillId="0" borderId="1" xfId="0" applyFont="1" applyBorder="1" applyAlignment="1">
      <alignment vertical="center" shrinkToFit="1"/>
    </xf>
    <xf numFmtId="178" fontId="7" fillId="0" borderId="0" xfId="0" applyNumberFormat="1" applyFont="1">
      <alignment vertical="center"/>
    </xf>
    <xf numFmtId="0" fontId="13" fillId="0" borderId="0" xfId="0" applyFont="1">
      <alignment vertical="center"/>
    </xf>
    <xf numFmtId="0" fontId="7" fillId="4" borderId="1" xfId="0" applyFont="1" applyFill="1" applyBorder="1" applyAlignment="1">
      <alignment horizontal="center" vertical="center" shrinkToFit="1"/>
    </xf>
    <xf numFmtId="0" fontId="7" fillId="5" borderId="1" xfId="0" applyFont="1" applyFill="1" applyBorder="1" applyAlignment="1">
      <alignment horizontal="center" vertical="center" shrinkToFit="1"/>
    </xf>
    <xf numFmtId="0" fontId="14" fillId="0" borderId="0" xfId="0" applyFont="1">
      <alignment vertical="center"/>
    </xf>
    <xf numFmtId="176" fontId="9" fillId="3" borderId="1" xfId="0" applyNumberFormat="1" applyFont="1" applyFill="1" applyBorder="1" applyAlignment="1">
      <alignment horizontal="center" vertical="center" shrinkToFit="1"/>
    </xf>
    <xf numFmtId="0" fontId="7" fillId="6" borderId="1" xfId="0" applyFont="1" applyFill="1" applyBorder="1" applyAlignment="1">
      <alignment horizontal="center" vertical="center" shrinkToFit="1"/>
    </xf>
    <xf numFmtId="178" fontId="7" fillId="0" borderId="0" xfId="0" applyNumberFormat="1" applyFont="1" applyAlignment="1">
      <alignment horizontal="left" vertical="center"/>
    </xf>
    <xf numFmtId="178" fontId="7" fillId="0" borderId="0" xfId="0" applyNumberFormat="1" applyFont="1" applyAlignment="1">
      <alignment vertical="center" shrinkToFit="1"/>
    </xf>
    <xf numFmtId="0" fontId="7" fillId="0" borderId="0" xfId="0" quotePrefix="1" applyFont="1" applyAlignment="1">
      <alignment horizontal="center" vertical="center" shrinkToFit="1"/>
    </xf>
    <xf numFmtId="3" fontId="7" fillId="0" borderId="0" xfId="0" applyNumberFormat="1" applyFont="1" applyAlignment="1">
      <alignment horizontal="center" vertical="center" shrinkToFit="1"/>
    </xf>
    <xf numFmtId="56" fontId="14" fillId="0" borderId="0" xfId="0" quotePrefix="1" applyNumberFormat="1" applyFont="1">
      <alignment vertical="center"/>
    </xf>
    <xf numFmtId="178" fontId="7" fillId="0" borderId="0" xfId="0" quotePrefix="1" applyNumberFormat="1" applyFont="1" applyAlignment="1">
      <alignment horizontal="center" vertical="center" shrinkToFit="1"/>
    </xf>
    <xf numFmtId="3" fontId="7" fillId="0" borderId="0" xfId="0" quotePrefix="1" applyNumberFormat="1" applyFont="1" applyAlignment="1">
      <alignment horizontal="center" vertical="center" shrinkToFit="1"/>
    </xf>
    <xf numFmtId="56" fontId="0" fillId="0" borderId="0" xfId="0" applyNumberFormat="1">
      <alignment vertical="center"/>
    </xf>
    <xf numFmtId="56" fontId="0" fillId="0" borderId="0" xfId="0" quotePrefix="1" applyNumberFormat="1">
      <alignment vertical="center"/>
    </xf>
    <xf numFmtId="0" fontId="7" fillId="0" borderId="0" xfId="0" applyFont="1" applyAlignment="1">
      <alignment vertical="center" shrinkToFit="1"/>
    </xf>
    <xf numFmtId="56" fontId="7" fillId="0" borderId="0" xfId="0" applyNumberFormat="1" applyFont="1" applyAlignment="1">
      <alignment vertical="center" shrinkToFit="1"/>
    </xf>
    <xf numFmtId="0" fontId="7" fillId="0" borderId="0" xfId="0" applyFont="1" applyAlignment="1">
      <alignment horizontal="center" vertical="center"/>
    </xf>
    <xf numFmtId="0" fontId="1" fillId="0" borderId="0" xfId="0" applyFont="1">
      <alignment vertical="center"/>
    </xf>
    <xf numFmtId="56" fontId="11" fillId="0" borderId="0" xfId="0" quotePrefix="1" applyNumberFormat="1" applyFont="1">
      <alignment vertical="center"/>
    </xf>
    <xf numFmtId="56" fontId="7" fillId="0" borderId="0" xfId="0" applyNumberFormat="1" applyFont="1">
      <alignment vertical="center"/>
    </xf>
    <xf numFmtId="56" fontId="7" fillId="0" borderId="0" xfId="0" quotePrefix="1" applyNumberFormat="1" applyFont="1">
      <alignment vertical="center"/>
    </xf>
    <xf numFmtId="0" fontId="11" fillId="0" borderId="0" xfId="0" applyFont="1" applyAlignment="1">
      <alignment horizontal="center" vertical="center"/>
    </xf>
    <xf numFmtId="56" fontId="11" fillId="0" borderId="0" xfId="0" applyNumberFormat="1" applyFont="1">
      <alignment vertical="center"/>
    </xf>
    <xf numFmtId="0" fontId="7" fillId="0" borderId="9" xfId="0" applyFont="1" applyBorder="1" applyAlignment="1">
      <alignment horizontal="center" vertical="center" shrinkToFit="1"/>
    </xf>
    <xf numFmtId="0" fontId="7" fillId="0" borderId="10" xfId="0" applyFont="1" applyBorder="1" applyAlignment="1">
      <alignment horizontal="center" vertical="center" shrinkToFit="1"/>
    </xf>
    <xf numFmtId="0" fontId="11" fillId="0" borderId="0" xfId="0" quotePrefix="1" applyFont="1">
      <alignment vertical="center"/>
    </xf>
    <xf numFmtId="0" fontId="19" fillId="0" borderId="0" xfId="0" applyFont="1">
      <alignment vertical="center"/>
    </xf>
    <xf numFmtId="0" fontId="20" fillId="0" borderId="0" xfId="0" applyFont="1">
      <alignment vertical="center"/>
    </xf>
    <xf numFmtId="0" fontId="8" fillId="0" borderId="0" xfId="0" applyFont="1" applyAlignment="1">
      <alignment horizontal="center" vertical="center" shrinkToFit="1"/>
    </xf>
    <xf numFmtId="0" fontId="21" fillId="0" borderId="0" xfId="0" applyFont="1">
      <alignment vertical="center"/>
    </xf>
    <xf numFmtId="0" fontId="22" fillId="0" borderId="0" xfId="0" applyFont="1">
      <alignment vertical="center"/>
    </xf>
    <xf numFmtId="0" fontId="23" fillId="0" borderId="0" xfId="0" applyFont="1">
      <alignment vertical="center"/>
    </xf>
    <xf numFmtId="56" fontId="22" fillId="0" borderId="0" xfId="0" quotePrefix="1" applyNumberFormat="1" applyFont="1">
      <alignment vertical="center"/>
    </xf>
    <xf numFmtId="0" fontId="25" fillId="0" borderId="0" xfId="0" applyFont="1">
      <alignment vertical="center"/>
    </xf>
    <xf numFmtId="0" fontId="26" fillId="0" borderId="0" xfId="0" applyFont="1">
      <alignment vertical="center"/>
    </xf>
    <xf numFmtId="0" fontId="29" fillId="0" borderId="0" xfId="0" applyFont="1">
      <alignment vertical="center"/>
    </xf>
    <xf numFmtId="56" fontId="20" fillId="0" borderId="0" xfId="0" quotePrefix="1" applyNumberFormat="1" applyFont="1">
      <alignment vertical="center"/>
    </xf>
    <xf numFmtId="0" fontId="30" fillId="0" borderId="0" xfId="0" applyFont="1">
      <alignment vertical="center"/>
    </xf>
    <xf numFmtId="0" fontId="32" fillId="0" borderId="0" xfId="0" applyFont="1">
      <alignment vertical="center"/>
    </xf>
    <xf numFmtId="0" fontId="33" fillId="0" borderId="0" xfId="0" applyFont="1">
      <alignment vertical="center"/>
    </xf>
    <xf numFmtId="0" fontId="34" fillId="0" borderId="0" xfId="0" applyFont="1">
      <alignment vertical="center"/>
    </xf>
    <xf numFmtId="56" fontId="35" fillId="0" borderId="0" xfId="0" quotePrefix="1" applyNumberFormat="1" applyFont="1">
      <alignment vertical="center"/>
    </xf>
    <xf numFmtId="56" fontId="36" fillId="0" borderId="0" xfId="0" quotePrefix="1" applyNumberFormat="1" applyFont="1">
      <alignment vertical="center"/>
    </xf>
    <xf numFmtId="56" fontId="29" fillId="0" borderId="0" xfId="0" quotePrefix="1" applyNumberFormat="1" applyFont="1">
      <alignment vertical="center"/>
    </xf>
    <xf numFmtId="0" fontId="37" fillId="0" borderId="0" xfId="0" applyFont="1">
      <alignment vertical="center"/>
    </xf>
    <xf numFmtId="56" fontId="38" fillId="0" borderId="0" xfId="0" quotePrefix="1" applyNumberFormat="1" applyFont="1">
      <alignment vertical="center"/>
    </xf>
    <xf numFmtId="56" fontId="26" fillId="0" borderId="0" xfId="0" quotePrefix="1" applyNumberFormat="1" applyFont="1">
      <alignment vertical="center"/>
    </xf>
    <xf numFmtId="0" fontId="39" fillId="0" borderId="0" xfId="0" applyFont="1">
      <alignment vertical="center"/>
    </xf>
    <xf numFmtId="0" fontId="40" fillId="0" borderId="0" xfId="0" applyFont="1" applyAlignment="1">
      <alignment horizontal="center" vertical="center" shrinkToFit="1"/>
    </xf>
    <xf numFmtId="3" fontId="40" fillId="0" borderId="0" xfId="0" quotePrefix="1" applyNumberFormat="1" applyFont="1" applyAlignment="1">
      <alignment horizontal="center" vertical="center" shrinkToFit="1"/>
    </xf>
    <xf numFmtId="0" fontId="40" fillId="0" borderId="0" xfId="0" quotePrefix="1" applyFont="1" applyAlignment="1">
      <alignment horizontal="center" vertical="center" shrinkToFit="1"/>
    </xf>
    <xf numFmtId="0" fontId="7" fillId="7" borderId="1" xfId="0" applyFont="1" applyFill="1" applyBorder="1" applyAlignment="1">
      <alignment horizontal="center" vertical="center" shrinkToFit="1"/>
    </xf>
    <xf numFmtId="0" fontId="7" fillId="8" borderId="1" xfId="0" applyFont="1" applyFill="1" applyBorder="1" applyAlignment="1">
      <alignment horizontal="center" vertical="center" shrinkToFit="1"/>
    </xf>
    <xf numFmtId="176" fontId="7" fillId="4" borderId="1" xfId="0" applyNumberFormat="1" applyFont="1" applyFill="1" applyBorder="1" applyAlignment="1">
      <alignment horizontal="center" vertical="center" shrinkToFit="1"/>
    </xf>
    <xf numFmtId="0" fontId="7" fillId="4" borderId="0" xfId="0" applyFont="1" applyFill="1">
      <alignment vertical="center"/>
    </xf>
    <xf numFmtId="0" fontId="7" fillId="9" borderId="1" xfId="0" applyFont="1" applyFill="1" applyBorder="1" applyAlignment="1">
      <alignment horizontal="center" vertical="center" shrinkToFit="1"/>
    </xf>
    <xf numFmtId="0" fontId="9" fillId="0" borderId="10" xfId="0" applyFont="1" applyBorder="1" applyAlignment="1">
      <alignment horizontal="center" vertical="center" shrinkToFit="1"/>
    </xf>
    <xf numFmtId="0" fontId="7" fillId="10" borderId="1" xfId="0" applyFont="1" applyFill="1" applyBorder="1" applyAlignment="1">
      <alignment horizontal="center" vertical="center" shrinkToFit="1"/>
    </xf>
    <xf numFmtId="56" fontId="39" fillId="0" borderId="0" xfId="0" applyNumberFormat="1" applyFont="1">
      <alignment vertical="center"/>
    </xf>
    <xf numFmtId="176" fontId="9" fillId="2" borderId="1" xfId="0" applyNumberFormat="1" applyFont="1" applyFill="1" applyBorder="1" applyAlignment="1">
      <alignment horizontal="center" vertical="center" shrinkToFit="1"/>
    </xf>
    <xf numFmtId="56" fontId="25" fillId="0" borderId="0" xfId="0" applyNumberFormat="1" applyFont="1">
      <alignment vertical="center"/>
    </xf>
    <xf numFmtId="56" fontId="32" fillId="0" borderId="0" xfId="0" applyNumberFormat="1" applyFont="1">
      <alignment vertical="center"/>
    </xf>
    <xf numFmtId="0" fontId="11" fillId="0" borderId="0" xfId="0" applyFont="1" applyAlignment="1">
      <alignment horizontal="left" vertical="center"/>
    </xf>
    <xf numFmtId="176" fontId="7" fillId="0" borderId="1" xfId="0" applyNumberFormat="1" applyFont="1" applyBorder="1" applyAlignment="1">
      <alignment horizontal="center" vertical="center" shrinkToFit="1"/>
    </xf>
    <xf numFmtId="178" fontId="19" fillId="0" borderId="0" xfId="0" applyNumberFormat="1" applyFont="1">
      <alignment vertical="center"/>
    </xf>
    <xf numFmtId="178" fontId="35" fillId="0" borderId="0" xfId="0" quotePrefix="1" applyNumberFormat="1" applyFont="1">
      <alignment vertical="center"/>
    </xf>
    <xf numFmtId="178" fontId="20" fillId="0" borderId="0" xfId="0" quotePrefix="1" applyNumberFormat="1" applyFont="1">
      <alignment vertical="center"/>
    </xf>
    <xf numFmtId="0" fontId="9" fillId="0" borderId="0" xfId="0" applyFont="1" applyAlignment="1">
      <alignment horizontal="center" vertical="center" shrinkToFit="1"/>
    </xf>
    <xf numFmtId="0" fontId="42" fillId="0" borderId="0" xfId="0" applyFont="1">
      <alignment vertical="center"/>
    </xf>
    <xf numFmtId="0" fontId="26" fillId="0" borderId="0" xfId="1" quotePrefix="1" applyNumberFormat="1" applyFont="1">
      <alignment vertical="center"/>
    </xf>
    <xf numFmtId="0" fontId="8" fillId="0" borderId="0" xfId="0" applyFont="1" applyAlignment="1">
      <alignment vertical="center" shrinkToFit="1"/>
    </xf>
    <xf numFmtId="0" fontId="8" fillId="0" borderId="0" xfId="0" applyFont="1" applyAlignment="1">
      <alignment horizontal="left" vertical="center" shrinkToFit="1"/>
    </xf>
    <xf numFmtId="0" fontId="8" fillId="0" borderId="0" xfId="0" applyFont="1" applyAlignment="1">
      <alignment horizontal="right" vertical="center" shrinkToFit="1"/>
    </xf>
    <xf numFmtId="0" fontId="43" fillId="0" borderId="0" xfId="0" applyFont="1">
      <alignment vertical="center"/>
    </xf>
    <xf numFmtId="178" fontId="44" fillId="0" borderId="0" xfId="0" applyNumberFormat="1" applyFont="1">
      <alignment vertical="center"/>
    </xf>
    <xf numFmtId="56" fontId="44" fillId="0" borderId="0" xfId="0" quotePrefix="1" applyNumberFormat="1" applyFont="1">
      <alignment vertical="center"/>
    </xf>
    <xf numFmtId="0" fontId="45" fillId="0" borderId="0" xfId="0" applyFont="1" applyAlignment="1">
      <alignment horizontal="center" vertical="center" shrinkToFit="1"/>
    </xf>
    <xf numFmtId="3" fontId="45" fillId="0" borderId="0" xfId="0" quotePrefix="1" applyNumberFormat="1" applyFont="1" applyAlignment="1">
      <alignment horizontal="center" vertical="center" shrinkToFit="1"/>
    </xf>
    <xf numFmtId="0" fontId="45" fillId="0" borderId="0" xfId="0" quotePrefix="1" applyFont="1" applyAlignment="1">
      <alignment horizontal="center" vertical="center" shrinkToFit="1"/>
    </xf>
    <xf numFmtId="0" fontId="46" fillId="0" borderId="0" xfId="0" applyFont="1" applyAlignment="1">
      <alignment horizontal="center" vertical="center" shrinkToFit="1"/>
    </xf>
    <xf numFmtId="14" fontId="11" fillId="0" borderId="0" xfId="0" applyNumberFormat="1" applyFont="1" applyAlignment="1">
      <alignment horizontal="center" vertical="center" shrinkToFit="1"/>
    </xf>
    <xf numFmtId="14" fontId="8" fillId="0" borderId="0" xfId="0" applyNumberFormat="1" applyFont="1" applyAlignment="1">
      <alignment horizontal="center" vertical="center" shrinkToFit="1"/>
    </xf>
    <xf numFmtId="14" fontId="5" fillId="2" borderId="1" xfId="0" applyNumberFormat="1" applyFont="1" applyFill="1" applyBorder="1" applyAlignment="1">
      <alignment horizontal="center" vertical="center" shrinkToFit="1"/>
    </xf>
    <xf numFmtId="14" fontId="5" fillId="3" borderId="0" xfId="0" applyNumberFormat="1" applyFont="1" applyFill="1" applyAlignment="1">
      <alignment horizontal="center" vertical="center" shrinkToFit="1"/>
    </xf>
    <xf numFmtId="14" fontId="5" fillId="2" borderId="0" xfId="0" applyNumberFormat="1" applyFont="1" applyFill="1" applyAlignment="1">
      <alignment horizontal="center" vertical="center" shrinkToFit="1"/>
    </xf>
    <xf numFmtId="56" fontId="19" fillId="0" borderId="0" xfId="0" applyNumberFormat="1" applyFont="1">
      <alignment vertical="center"/>
    </xf>
    <xf numFmtId="0" fontId="9" fillId="0" borderId="6" xfId="0" applyFont="1" applyBorder="1" applyAlignment="1">
      <alignment horizontal="center" vertical="center" shrinkToFit="1"/>
    </xf>
    <xf numFmtId="0" fontId="8" fillId="0" borderId="7" xfId="0" applyFont="1" applyBorder="1" applyAlignment="1">
      <alignment horizontal="center" vertical="center" shrinkToFit="1"/>
    </xf>
    <xf numFmtId="0" fontId="8" fillId="0" borderId="5" xfId="0" applyFont="1" applyBorder="1" applyAlignment="1">
      <alignment horizontal="center" vertical="center" shrinkToFit="1"/>
    </xf>
    <xf numFmtId="0" fontId="8" fillId="0" borderId="7" xfId="0" applyFont="1" applyBorder="1" applyAlignment="1">
      <alignment horizontal="left" vertical="center" shrinkToFit="1"/>
    </xf>
    <xf numFmtId="0" fontId="8" fillId="0" borderId="0" xfId="0" applyFont="1" applyAlignment="1">
      <alignment horizontal="center" vertical="center" shrinkToFit="1"/>
    </xf>
    <xf numFmtId="0" fontId="7" fillId="4" borderId="2" xfId="0" applyFont="1" applyFill="1" applyBorder="1" applyAlignment="1">
      <alignment horizontal="center" vertical="center" shrinkToFit="1"/>
    </xf>
    <xf numFmtId="0" fontId="7" fillId="4" borderId="3" xfId="0" applyFont="1" applyFill="1" applyBorder="1" applyAlignment="1">
      <alignment horizontal="center" vertical="center" shrinkToFit="1"/>
    </xf>
    <xf numFmtId="0" fontId="7" fillId="4" borderId="4" xfId="0" applyFont="1" applyFill="1" applyBorder="1" applyAlignment="1">
      <alignment horizontal="center" vertical="center" shrinkToFit="1"/>
    </xf>
    <xf numFmtId="177" fontId="5" fillId="0" borderId="0" xfId="0" applyNumberFormat="1" applyFont="1" applyAlignment="1">
      <alignment horizontal="center" vertical="center" shrinkToFit="1"/>
    </xf>
    <xf numFmtId="0" fontId="7" fillId="0" borderId="0" xfId="0" applyFont="1" applyAlignment="1">
      <alignment horizontal="center" vertical="center" shrinkToFit="1"/>
    </xf>
    <xf numFmtId="0" fontId="5" fillId="2" borderId="2" xfId="0" applyFont="1" applyFill="1" applyBorder="1" applyAlignment="1">
      <alignment horizontal="center" vertical="center" shrinkToFit="1"/>
    </xf>
    <xf numFmtId="0" fontId="5" fillId="2" borderId="3" xfId="0" applyFont="1" applyFill="1" applyBorder="1" applyAlignment="1">
      <alignment horizontal="center" vertical="center" shrinkToFit="1"/>
    </xf>
    <xf numFmtId="0" fontId="5" fillId="2" borderId="4" xfId="0" applyFont="1" applyFill="1" applyBorder="1" applyAlignment="1">
      <alignment horizontal="center" vertical="center" shrinkToFit="1"/>
    </xf>
    <xf numFmtId="0" fontId="6" fillId="0" borderId="0" xfId="0" applyFont="1" applyAlignment="1">
      <alignment horizontal="center" vertical="center" shrinkToFit="1"/>
    </xf>
    <xf numFmtId="14" fontId="5" fillId="3" borderId="11" xfId="0" applyNumberFormat="1" applyFont="1" applyFill="1" applyBorder="1" applyAlignment="1">
      <alignment horizontal="center" vertical="center" shrinkToFit="1"/>
    </xf>
    <xf numFmtId="14" fontId="5" fillId="2" borderId="11" xfId="0" applyNumberFormat="1" applyFont="1" applyFill="1" applyBorder="1" applyAlignment="1">
      <alignment horizontal="center" vertical="center" shrinkToFit="1"/>
    </xf>
  </cellXfs>
  <cellStyles count="2">
    <cellStyle name="桁区切り" xfId="1" builtinId="6"/>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s>
</file>

<file path=xl/drawings/drawing1.xml><?xml version="1.0" encoding="utf-8"?>
<xdr:wsDr xmlns:xdr="http://schemas.openxmlformats.org/drawingml/2006/spreadsheetDrawing" xmlns:a="http://schemas.openxmlformats.org/drawingml/2006/main">
  <xdr:twoCellAnchor>
    <xdr:from>
      <xdr:col>13</xdr:col>
      <xdr:colOff>439738</xdr:colOff>
      <xdr:row>23</xdr:row>
      <xdr:rowOff>182563</xdr:rowOff>
    </xdr:from>
    <xdr:to>
      <xdr:col>15</xdr:col>
      <xdr:colOff>90488</xdr:colOff>
      <xdr:row>27</xdr:row>
      <xdr:rowOff>1588</xdr:rowOff>
    </xdr:to>
    <xdr:grpSp>
      <xdr:nvGrpSpPr>
        <xdr:cNvPr id="8" name="グループ化 7">
          <a:extLst>
            <a:ext uri="{FF2B5EF4-FFF2-40B4-BE49-F238E27FC236}">
              <a16:creationId xmlns:a16="http://schemas.microsoft.com/office/drawing/2014/main" id="{0F016477-F27D-F28A-3FB3-C22A2C7ED1BC}"/>
            </a:ext>
          </a:extLst>
        </xdr:cNvPr>
        <xdr:cNvGrpSpPr/>
      </xdr:nvGrpSpPr>
      <xdr:grpSpPr>
        <a:xfrm>
          <a:off x="7007847" y="4978193"/>
          <a:ext cx="661228" cy="647286"/>
          <a:chOff x="7080250" y="5254625"/>
          <a:chExt cx="660400" cy="657225"/>
        </a:xfrm>
      </xdr:grpSpPr>
      <xdr:sp macro="" textlink="">
        <xdr:nvSpPr>
          <xdr:cNvPr id="2" name="楕円 1">
            <a:extLst>
              <a:ext uri="{FF2B5EF4-FFF2-40B4-BE49-F238E27FC236}">
                <a16:creationId xmlns:a16="http://schemas.microsoft.com/office/drawing/2014/main" id="{DA388CF0-B8DC-B546-3ABC-8C9E9C0A76CF}"/>
              </a:ext>
            </a:extLst>
          </xdr:cNvPr>
          <xdr:cNvSpPr/>
        </xdr:nvSpPr>
        <xdr:spPr>
          <a:xfrm>
            <a:off x="7080250" y="5254625"/>
            <a:ext cx="657225" cy="657225"/>
          </a:xfrm>
          <a:prstGeom prst="ellipse">
            <a:avLst/>
          </a:prstGeom>
          <a:solidFill>
            <a:srgbClr xmlns:mc="http://schemas.openxmlformats.org/markup-compatibility/2006" xmlns:a14="http://schemas.microsoft.com/office/drawing/2010/main" val="FFFFFF" mc:Ignorable="a14" a14:legacySpreadsheetColorIndex="65"/>
          </a:solidFill>
          <a:ln w="19050" cap="flat" cmpd="sng" algn="ctr">
            <a:solidFill>
              <a:srgbClr val="FF0000"/>
            </a:solidFill>
            <a:prstDash val="solid"/>
            <a:miter lim="800000"/>
            <a:headEnd type="none" w="med" len="med"/>
            <a:tailEnd type="none" w="med" len="me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3" name="直線コネクタ 2">
            <a:extLst>
              <a:ext uri="{FF2B5EF4-FFF2-40B4-BE49-F238E27FC236}">
                <a16:creationId xmlns:a16="http://schemas.microsoft.com/office/drawing/2014/main" id="{A8E33B86-B0F3-5331-466C-B2EC1FA2FEAB}"/>
              </a:ext>
            </a:extLst>
          </xdr:cNvPr>
          <xdr:cNvCxnSpPr/>
        </xdr:nvCxnSpPr>
        <xdr:spPr>
          <a:xfrm>
            <a:off x="7105650" y="5473700"/>
            <a:ext cx="606425" cy="0"/>
          </a:xfrm>
          <a:prstGeom prst="line">
            <a:avLst/>
          </a:prstGeom>
          <a:ln w="9525" cap="flat" cmpd="sng" algn="ctr">
            <a:solidFill>
              <a:srgbClr val="FF0000"/>
            </a:solidFill>
            <a:prstDash val="solid"/>
            <a:miter lim="800000"/>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xnSp macro="">
        <xdr:nvCxnSpPr>
          <xdr:cNvPr id="4" name="直線コネクタ 3">
            <a:extLst>
              <a:ext uri="{FF2B5EF4-FFF2-40B4-BE49-F238E27FC236}">
                <a16:creationId xmlns:a16="http://schemas.microsoft.com/office/drawing/2014/main" id="{31B29EE2-AF80-80AD-F868-F86387EF952B}"/>
              </a:ext>
            </a:extLst>
          </xdr:cNvPr>
          <xdr:cNvCxnSpPr/>
        </xdr:nvCxnSpPr>
        <xdr:spPr>
          <a:xfrm>
            <a:off x="7105650" y="5692775"/>
            <a:ext cx="606425" cy="0"/>
          </a:xfrm>
          <a:prstGeom prst="line">
            <a:avLst/>
          </a:prstGeom>
          <a:ln w="9525" cap="flat" cmpd="sng" algn="ctr">
            <a:solidFill>
              <a:srgbClr val="FF0000"/>
            </a:solidFill>
            <a:prstDash val="solid"/>
            <a:miter lim="800000"/>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sp macro="" textlink="">
        <xdr:nvSpPr>
          <xdr:cNvPr id="5" name="テキスト ボックス 4">
            <a:extLst>
              <a:ext uri="{FF2B5EF4-FFF2-40B4-BE49-F238E27FC236}">
                <a16:creationId xmlns:a16="http://schemas.microsoft.com/office/drawing/2014/main" id="{B1D892C1-2036-42C3-38BB-6CDFD94BBE74}"/>
              </a:ext>
            </a:extLst>
          </xdr:cNvPr>
          <xdr:cNvSpPr txBox="1"/>
        </xdr:nvSpPr>
        <xdr:spPr>
          <a:xfrm>
            <a:off x="7092950" y="5302250"/>
            <a:ext cx="6350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ja-JP" altLang="en-US" sz="900">
                <a:solidFill>
                  <a:srgbClr val="FF0000"/>
                </a:solidFill>
                <a:ea typeface="ＭＳ Ｐ明朝" panose="02020600040205080304" pitchFamily="18" charset="-128"/>
              </a:rPr>
              <a:t>製造課</a:t>
            </a:r>
          </a:p>
        </xdr:txBody>
      </xdr:sp>
      <xdr:sp macro="" textlink="">
        <xdr:nvSpPr>
          <xdr:cNvPr id="6" name="テキスト ボックス 5">
            <a:extLst>
              <a:ext uri="{FF2B5EF4-FFF2-40B4-BE49-F238E27FC236}">
                <a16:creationId xmlns:a16="http://schemas.microsoft.com/office/drawing/2014/main" id="{9D9260C5-3355-D9D6-CE18-F2B5241C181D}"/>
              </a:ext>
            </a:extLst>
          </xdr:cNvPr>
          <xdr:cNvSpPr txBox="1"/>
        </xdr:nvSpPr>
        <xdr:spPr>
          <a:xfrm>
            <a:off x="7080250" y="5500688"/>
            <a:ext cx="6604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en-US" altLang="ja-JP" sz="900">
                <a:solidFill>
                  <a:srgbClr val="FF0000"/>
                </a:solidFill>
                <a:ea typeface="ＭＳ Ｐ明朝" panose="02020600040205080304" pitchFamily="18" charset="-128"/>
              </a:rPr>
              <a:t>07/12/08</a:t>
            </a:r>
            <a:endParaRPr kumimoji="1" lang="ja-JP" altLang="en-US" sz="900">
              <a:solidFill>
                <a:srgbClr val="FF0000"/>
              </a:solidFill>
              <a:ea typeface="ＭＳ Ｐ明朝" panose="02020600040205080304" pitchFamily="18" charset="-128"/>
            </a:endParaRPr>
          </a:p>
        </xdr:txBody>
      </xdr:sp>
      <xdr:sp macro="" textlink="">
        <xdr:nvSpPr>
          <xdr:cNvPr id="7" name="テキスト ボックス 6">
            <a:extLst>
              <a:ext uri="{FF2B5EF4-FFF2-40B4-BE49-F238E27FC236}">
                <a16:creationId xmlns:a16="http://schemas.microsoft.com/office/drawing/2014/main" id="{C746CB67-D06D-F03A-5861-6583A5E47A9F}"/>
              </a:ext>
            </a:extLst>
          </xdr:cNvPr>
          <xdr:cNvSpPr txBox="1"/>
        </xdr:nvSpPr>
        <xdr:spPr>
          <a:xfrm>
            <a:off x="7092950" y="5702300"/>
            <a:ext cx="6350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ja-JP" altLang="en-US" sz="900">
                <a:solidFill>
                  <a:srgbClr val="FF0000"/>
                </a:solidFill>
                <a:ea typeface="ＭＳ Ｐ明朝" panose="02020600040205080304" pitchFamily="18" charset="-128"/>
              </a:rPr>
              <a:t>新井翔</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16</xdr:col>
      <xdr:colOff>68263</xdr:colOff>
      <xdr:row>17</xdr:row>
      <xdr:rowOff>11113</xdr:rowOff>
    </xdr:from>
    <xdr:to>
      <xdr:col>17</xdr:col>
      <xdr:colOff>223838</xdr:colOff>
      <xdr:row>20</xdr:row>
      <xdr:rowOff>39688</xdr:rowOff>
    </xdr:to>
    <xdr:grpSp>
      <xdr:nvGrpSpPr>
        <xdr:cNvPr id="8" name="グループ化 7">
          <a:extLst>
            <a:ext uri="{FF2B5EF4-FFF2-40B4-BE49-F238E27FC236}">
              <a16:creationId xmlns:a16="http://schemas.microsoft.com/office/drawing/2014/main" id="{78FFEF8A-FB91-D0CC-4938-31C91CE61F89}"/>
            </a:ext>
          </a:extLst>
        </xdr:cNvPr>
        <xdr:cNvGrpSpPr/>
      </xdr:nvGrpSpPr>
      <xdr:grpSpPr>
        <a:xfrm>
          <a:off x="8145463" y="3602038"/>
          <a:ext cx="660400" cy="657225"/>
          <a:chOff x="8089900" y="3578225"/>
          <a:chExt cx="660400" cy="657225"/>
        </a:xfrm>
      </xdr:grpSpPr>
      <xdr:sp macro="" textlink="">
        <xdr:nvSpPr>
          <xdr:cNvPr id="2" name="楕円 1">
            <a:extLst>
              <a:ext uri="{FF2B5EF4-FFF2-40B4-BE49-F238E27FC236}">
                <a16:creationId xmlns:a16="http://schemas.microsoft.com/office/drawing/2014/main" id="{B7814E01-2603-EDA7-F794-6D661E507960}"/>
              </a:ext>
            </a:extLst>
          </xdr:cNvPr>
          <xdr:cNvSpPr/>
        </xdr:nvSpPr>
        <xdr:spPr>
          <a:xfrm>
            <a:off x="8089900" y="3578225"/>
            <a:ext cx="657225" cy="657225"/>
          </a:xfrm>
          <a:prstGeom prst="ellipse">
            <a:avLst/>
          </a:prstGeom>
          <a:solidFill>
            <a:srgbClr xmlns:mc="http://schemas.openxmlformats.org/markup-compatibility/2006" xmlns:a14="http://schemas.microsoft.com/office/drawing/2010/main" val="FFFFFF" mc:Ignorable="a14" a14:legacySpreadsheetColorIndex="65"/>
          </a:solidFill>
          <a:ln w="19050" cap="flat" cmpd="sng" algn="ctr">
            <a:solidFill>
              <a:srgbClr val="FF0000"/>
            </a:solidFill>
            <a:prstDash val="solid"/>
            <a:miter lim="800000"/>
            <a:headEnd type="none" w="med" len="med"/>
            <a:tailEnd type="none" w="med" len="me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3" name="直線コネクタ 2">
            <a:extLst>
              <a:ext uri="{FF2B5EF4-FFF2-40B4-BE49-F238E27FC236}">
                <a16:creationId xmlns:a16="http://schemas.microsoft.com/office/drawing/2014/main" id="{A21D09CE-38B3-C2FD-0C23-72566B7EA8A1}"/>
              </a:ext>
            </a:extLst>
          </xdr:cNvPr>
          <xdr:cNvCxnSpPr/>
        </xdr:nvCxnSpPr>
        <xdr:spPr>
          <a:xfrm>
            <a:off x="8115300" y="3797300"/>
            <a:ext cx="606425" cy="0"/>
          </a:xfrm>
          <a:prstGeom prst="line">
            <a:avLst/>
          </a:prstGeom>
          <a:ln w="9525" cap="flat" cmpd="sng" algn="ctr">
            <a:solidFill>
              <a:srgbClr val="FF0000"/>
            </a:solidFill>
            <a:prstDash val="solid"/>
            <a:miter lim="800000"/>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xnSp macro="">
        <xdr:nvCxnSpPr>
          <xdr:cNvPr id="4" name="直線コネクタ 3">
            <a:extLst>
              <a:ext uri="{FF2B5EF4-FFF2-40B4-BE49-F238E27FC236}">
                <a16:creationId xmlns:a16="http://schemas.microsoft.com/office/drawing/2014/main" id="{B81C4E51-324F-2928-9CCA-AE5A162C35B1}"/>
              </a:ext>
            </a:extLst>
          </xdr:cNvPr>
          <xdr:cNvCxnSpPr/>
        </xdr:nvCxnSpPr>
        <xdr:spPr>
          <a:xfrm>
            <a:off x="8115300" y="4016375"/>
            <a:ext cx="606425" cy="0"/>
          </a:xfrm>
          <a:prstGeom prst="line">
            <a:avLst/>
          </a:prstGeom>
          <a:ln w="9525" cap="flat" cmpd="sng" algn="ctr">
            <a:solidFill>
              <a:srgbClr val="FF0000"/>
            </a:solidFill>
            <a:prstDash val="solid"/>
            <a:miter lim="800000"/>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sp macro="" textlink="">
        <xdr:nvSpPr>
          <xdr:cNvPr id="5" name="テキスト ボックス 4">
            <a:extLst>
              <a:ext uri="{FF2B5EF4-FFF2-40B4-BE49-F238E27FC236}">
                <a16:creationId xmlns:a16="http://schemas.microsoft.com/office/drawing/2014/main" id="{494686C3-8320-2185-BB8D-EB9149F495CD}"/>
              </a:ext>
            </a:extLst>
          </xdr:cNvPr>
          <xdr:cNvSpPr txBox="1"/>
        </xdr:nvSpPr>
        <xdr:spPr>
          <a:xfrm>
            <a:off x="8102600" y="3625850"/>
            <a:ext cx="6350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ja-JP" altLang="en-US" sz="900">
                <a:solidFill>
                  <a:srgbClr val="FF0000"/>
                </a:solidFill>
                <a:ea typeface="ＭＳ Ｐ明朝" panose="02020600040205080304" pitchFamily="18" charset="-128"/>
              </a:rPr>
              <a:t>製造課</a:t>
            </a:r>
          </a:p>
        </xdr:txBody>
      </xdr:sp>
      <xdr:sp macro="" textlink="">
        <xdr:nvSpPr>
          <xdr:cNvPr id="6" name="テキスト ボックス 5">
            <a:extLst>
              <a:ext uri="{FF2B5EF4-FFF2-40B4-BE49-F238E27FC236}">
                <a16:creationId xmlns:a16="http://schemas.microsoft.com/office/drawing/2014/main" id="{2971239C-FB9E-9597-0F31-07B6E7FD83FD}"/>
              </a:ext>
            </a:extLst>
          </xdr:cNvPr>
          <xdr:cNvSpPr txBox="1"/>
        </xdr:nvSpPr>
        <xdr:spPr>
          <a:xfrm>
            <a:off x="8089900" y="3824288"/>
            <a:ext cx="6604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en-US" altLang="ja-JP" sz="900">
                <a:solidFill>
                  <a:srgbClr val="FF0000"/>
                </a:solidFill>
                <a:ea typeface="ＭＳ Ｐ明朝" panose="02020600040205080304" pitchFamily="18" charset="-128"/>
              </a:rPr>
              <a:t>07/10/13</a:t>
            </a:r>
            <a:endParaRPr kumimoji="1" lang="ja-JP" altLang="en-US" sz="900">
              <a:solidFill>
                <a:srgbClr val="FF0000"/>
              </a:solidFill>
              <a:ea typeface="ＭＳ Ｐ明朝" panose="02020600040205080304" pitchFamily="18" charset="-128"/>
            </a:endParaRPr>
          </a:p>
        </xdr:txBody>
      </xdr:sp>
      <xdr:sp macro="" textlink="">
        <xdr:nvSpPr>
          <xdr:cNvPr id="7" name="テキスト ボックス 6">
            <a:extLst>
              <a:ext uri="{FF2B5EF4-FFF2-40B4-BE49-F238E27FC236}">
                <a16:creationId xmlns:a16="http://schemas.microsoft.com/office/drawing/2014/main" id="{58231FCB-9672-AA44-6769-ACFDFD3A7FCA}"/>
              </a:ext>
            </a:extLst>
          </xdr:cNvPr>
          <xdr:cNvSpPr txBox="1"/>
        </xdr:nvSpPr>
        <xdr:spPr>
          <a:xfrm>
            <a:off x="8102600" y="4025900"/>
            <a:ext cx="6350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ja-JP" altLang="en-US" sz="900">
                <a:solidFill>
                  <a:srgbClr val="FF0000"/>
                </a:solidFill>
                <a:ea typeface="ＭＳ Ｐ明朝" panose="02020600040205080304" pitchFamily="18" charset="-128"/>
              </a:rPr>
              <a:t>新井翔</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16</xdr:col>
      <xdr:colOff>187325</xdr:colOff>
      <xdr:row>23</xdr:row>
      <xdr:rowOff>182563</xdr:rowOff>
    </xdr:from>
    <xdr:to>
      <xdr:col>17</xdr:col>
      <xdr:colOff>342900</xdr:colOff>
      <xdr:row>27</xdr:row>
      <xdr:rowOff>1588</xdr:rowOff>
    </xdr:to>
    <xdr:grpSp>
      <xdr:nvGrpSpPr>
        <xdr:cNvPr id="8" name="グループ化 7">
          <a:extLst>
            <a:ext uri="{FF2B5EF4-FFF2-40B4-BE49-F238E27FC236}">
              <a16:creationId xmlns:a16="http://schemas.microsoft.com/office/drawing/2014/main" id="{F92C12EF-68D7-D33C-834A-91888DD78783}"/>
            </a:ext>
          </a:extLst>
        </xdr:cNvPr>
        <xdr:cNvGrpSpPr/>
      </xdr:nvGrpSpPr>
      <xdr:grpSpPr>
        <a:xfrm>
          <a:off x="8264525" y="5030788"/>
          <a:ext cx="660400" cy="657225"/>
          <a:chOff x="8089900" y="5045075"/>
          <a:chExt cx="660400" cy="657225"/>
        </a:xfrm>
      </xdr:grpSpPr>
      <xdr:sp macro="" textlink="">
        <xdr:nvSpPr>
          <xdr:cNvPr id="2" name="楕円 1">
            <a:extLst>
              <a:ext uri="{FF2B5EF4-FFF2-40B4-BE49-F238E27FC236}">
                <a16:creationId xmlns:a16="http://schemas.microsoft.com/office/drawing/2014/main" id="{F240920B-E96C-A6D5-FFA5-A63CF77C55F8}"/>
              </a:ext>
            </a:extLst>
          </xdr:cNvPr>
          <xdr:cNvSpPr/>
        </xdr:nvSpPr>
        <xdr:spPr>
          <a:xfrm>
            <a:off x="8089900" y="5045075"/>
            <a:ext cx="657225" cy="657225"/>
          </a:xfrm>
          <a:prstGeom prst="ellipse">
            <a:avLst/>
          </a:prstGeom>
          <a:solidFill>
            <a:srgbClr xmlns:mc="http://schemas.openxmlformats.org/markup-compatibility/2006" xmlns:a14="http://schemas.microsoft.com/office/drawing/2010/main" val="FFFFFF" mc:Ignorable="a14" a14:legacySpreadsheetColorIndex="65"/>
          </a:solidFill>
          <a:ln w="19050" cap="flat" cmpd="sng" algn="ctr">
            <a:solidFill>
              <a:srgbClr val="FF0000"/>
            </a:solidFill>
            <a:prstDash val="solid"/>
            <a:miter lim="800000"/>
            <a:headEnd type="none" w="med" len="med"/>
            <a:tailEnd type="none" w="med" len="me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3" name="直線コネクタ 2">
            <a:extLst>
              <a:ext uri="{FF2B5EF4-FFF2-40B4-BE49-F238E27FC236}">
                <a16:creationId xmlns:a16="http://schemas.microsoft.com/office/drawing/2014/main" id="{EAE53C0F-1B92-643D-83C0-7482EB24AD18}"/>
              </a:ext>
            </a:extLst>
          </xdr:cNvPr>
          <xdr:cNvCxnSpPr/>
        </xdr:nvCxnSpPr>
        <xdr:spPr>
          <a:xfrm>
            <a:off x="8115300" y="5264150"/>
            <a:ext cx="606425" cy="0"/>
          </a:xfrm>
          <a:prstGeom prst="line">
            <a:avLst/>
          </a:prstGeom>
          <a:ln w="9525" cap="flat" cmpd="sng" algn="ctr">
            <a:solidFill>
              <a:srgbClr val="FF0000"/>
            </a:solidFill>
            <a:prstDash val="solid"/>
            <a:miter lim="800000"/>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xnSp macro="">
        <xdr:nvCxnSpPr>
          <xdr:cNvPr id="4" name="直線コネクタ 3">
            <a:extLst>
              <a:ext uri="{FF2B5EF4-FFF2-40B4-BE49-F238E27FC236}">
                <a16:creationId xmlns:a16="http://schemas.microsoft.com/office/drawing/2014/main" id="{E22A3F88-892E-2BFA-C852-FF295798ED13}"/>
              </a:ext>
            </a:extLst>
          </xdr:cNvPr>
          <xdr:cNvCxnSpPr/>
        </xdr:nvCxnSpPr>
        <xdr:spPr>
          <a:xfrm>
            <a:off x="8115300" y="5483225"/>
            <a:ext cx="606425" cy="0"/>
          </a:xfrm>
          <a:prstGeom prst="line">
            <a:avLst/>
          </a:prstGeom>
          <a:ln w="9525" cap="flat" cmpd="sng" algn="ctr">
            <a:solidFill>
              <a:srgbClr val="FF0000"/>
            </a:solidFill>
            <a:prstDash val="solid"/>
            <a:miter lim="800000"/>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sp macro="" textlink="">
        <xdr:nvSpPr>
          <xdr:cNvPr id="5" name="テキスト ボックス 4">
            <a:extLst>
              <a:ext uri="{FF2B5EF4-FFF2-40B4-BE49-F238E27FC236}">
                <a16:creationId xmlns:a16="http://schemas.microsoft.com/office/drawing/2014/main" id="{5BFC3DAB-5286-4D5D-27C4-9F024E2AE347}"/>
              </a:ext>
            </a:extLst>
          </xdr:cNvPr>
          <xdr:cNvSpPr txBox="1"/>
        </xdr:nvSpPr>
        <xdr:spPr>
          <a:xfrm>
            <a:off x="8102600" y="5092700"/>
            <a:ext cx="6350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ja-JP" altLang="en-US" sz="900">
                <a:solidFill>
                  <a:srgbClr val="FF0000"/>
                </a:solidFill>
                <a:ea typeface="ＭＳ Ｐ明朝" panose="02020600040205080304" pitchFamily="18" charset="-128"/>
              </a:rPr>
              <a:t>製造課</a:t>
            </a:r>
          </a:p>
        </xdr:txBody>
      </xdr:sp>
      <xdr:sp macro="" textlink="">
        <xdr:nvSpPr>
          <xdr:cNvPr id="6" name="テキスト ボックス 5">
            <a:extLst>
              <a:ext uri="{FF2B5EF4-FFF2-40B4-BE49-F238E27FC236}">
                <a16:creationId xmlns:a16="http://schemas.microsoft.com/office/drawing/2014/main" id="{DD765F55-189C-8BC8-D58C-9CBF7208EC70}"/>
              </a:ext>
            </a:extLst>
          </xdr:cNvPr>
          <xdr:cNvSpPr txBox="1"/>
        </xdr:nvSpPr>
        <xdr:spPr>
          <a:xfrm>
            <a:off x="8089900" y="5291138"/>
            <a:ext cx="6604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en-US" altLang="ja-JP" sz="900">
                <a:solidFill>
                  <a:srgbClr val="FF0000"/>
                </a:solidFill>
                <a:ea typeface="ＭＳ Ｐ明朝" panose="02020600040205080304" pitchFamily="18" charset="-128"/>
              </a:rPr>
              <a:t>07/08/12</a:t>
            </a:r>
            <a:endParaRPr kumimoji="1" lang="ja-JP" altLang="en-US" sz="900">
              <a:solidFill>
                <a:srgbClr val="FF0000"/>
              </a:solidFill>
              <a:ea typeface="ＭＳ Ｐ明朝" panose="02020600040205080304" pitchFamily="18" charset="-128"/>
            </a:endParaRPr>
          </a:p>
        </xdr:txBody>
      </xdr:sp>
      <xdr:sp macro="" textlink="">
        <xdr:nvSpPr>
          <xdr:cNvPr id="7" name="テキスト ボックス 6">
            <a:extLst>
              <a:ext uri="{FF2B5EF4-FFF2-40B4-BE49-F238E27FC236}">
                <a16:creationId xmlns:a16="http://schemas.microsoft.com/office/drawing/2014/main" id="{B98C0F02-0301-D083-A1D6-FA3FD3189F4A}"/>
              </a:ext>
            </a:extLst>
          </xdr:cNvPr>
          <xdr:cNvSpPr txBox="1"/>
        </xdr:nvSpPr>
        <xdr:spPr>
          <a:xfrm>
            <a:off x="8102600" y="5492750"/>
            <a:ext cx="6350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ja-JP" altLang="en-US" sz="900">
                <a:solidFill>
                  <a:srgbClr val="FF0000"/>
                </a:solidFill>
                <a:ea typeface="ＭＳ Ｐ明朝" panose="02020600040205080304" pitchFamily="18" charset="-128"/>
              </a:rPr>
              <a:t>新井翔</a:t>
            </a:r>
          </a:p>
        </xdr:txBody>
      </xdr:sp>
    </xdr:grpSp>
    <xdr:clientData/>
  </xdr:twoCellAnchor>
</xdr:wsDr>
</file>

<file path=xl/drawings/drawing4.xml><?xml version="1.0" encoding="utf-8"?>
<xdr:wsDr xmlns:xdr="http://schemas.openxmlformats.org/drawingml/2006/spreadsheetDrawing" xmlns:a="http://schemas.openxmlformats.org/drawingml/2006/main">
  <xdr:twoCellAnchor>
    <xdr:from>
      <xdr:col>15</xdr:col>
      <xdr:colOff>153987</xdr:colOff>
      <xdr:row>24</xdr:row>
      <xdr:rowOff>15875</xdr:rowOff>
    </xdr:from>
    <xdr:to>
      <xdr:col>16</xdr:col>
      <xdr:colOff>304800</xdr:colOff>
      <xdr:row>27</xdr:row>
      <xdr:rowOff>49213</xdr:rowOff>
    </xdr:to>
    <xdr:grpSp>
      <xdr:nvGrpSpPr>
        <xdr:cNvPr id="8" name="グループ化 7">
          <a:extLst>
            <a:ext uri="{FF2B5EF4-FFF2-40B4-BE49-F238E27FC236}">
              <a16:creationId xmlns:a16="http://schemas.microsoft.com/office/drawing/2014/main" id="{40AB5255-6216-61A8-DEA6-0E578DFAC17E}"/>
            </a:ext>
          </a:extLst>
        </xdr:cNvPr>
        <xdr:cNvGrpSpPr/>
      </xdr:nvGrpSpPr>
      <xdr:grpSpPr>
        <a:xfrm>
          <a:off x="7773987" y="5127625"/>
          <a:ext cx="658813" cy="668338"/>
          <a:chOff x="7585075" y="5045075"/>
          <a:chExt cx="660400" cy="657225"/>
        </a:xfrm>
      </xdr:grpSpPr>
      <xdr:sp macro="" textlink="">
        <xdr:nvSpPr>
          <xdr:cNvPr id="2" name="楕円 1">
            <a:extLst>
              <a:ext uri="{FF2B5EF4-FFF2-40B4-BE49-F238E27FC236}">
                <a16:creationId xmlns:a16="http://schemas.microsoft.com/office/drawing/2014/main" id="{9283FE76-CA5A-AA82-D111-114F9AD7DC59}"/>
              </a:ext>
            </a:extLst>
          </xdr:cNvPr>
          <xdr:cNvSpPr/>
        </xdr:nvSpPr>
        <xdr:spPr>
          <a:xfrm>
            <a:off x="7585075" y="5045075"/>
            <a:ext cx="657225" cy="657225"/>
          </a:xfrm>
          <a:prstGeom prst="ellipse">
            <a:avLst/>
          </a:prstGeom>
          <a:solidFill>
            <a:srgbClr xmlns:mc="http://schemas.openxmlformats.org/markup-compatibility/2006" xmlns:a14="http://schemas.microsoft.com/office/drawing/2010/main" val="FFFFFF" mc:Ignorable="a14" a14:legacySpreadsheetColorIndex="65"/>
          </a:solidFill>
          <a:ln w="19050" cap="flat" cmpd="sng" algn="ctr">
            <a:solidFill>
              <a:srgbClr val="FF0000"/>
            </a:solidFill>
            <a:prstDash val="solid"/>
            <a:miter lim="800000"/>
            <a:headEnd type="none" w="med" len="med"/>
            <a:tailEnd type="none" w="med" len="me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3" name="直線コネクタ 2">
            <a:extLst>
              <a:ext uri="{FF2B5EF4-FFF2-40B4-BE49-F238E27FC236}">
                <a16:creationId xmlns:a16="http://schemas.microsoft.com/office/drawing/2014/main" id="{EFC03B85-443D-39F8-4AE1-FDF145B01047}"/>
              </a:ext>
            </a:extLst>
          </xdr:cNvPr>
          <xdr:cNvCxnSpPr/>
        </xdr:nvCxnSpPr>
        <xdr:spPr>
          <a:xfrm>
            <a:off x="7610475" y="5264150"/>
            <a:ext cx="606425" cy="0"/>
          </a:xfrm>
          <a:prstGeom prst="line">
            <a:avLst/>
          </a:prstGeom>
          <a:ln w="9525" cap="flat" cmpd="sng" algn="ctr">
            <a:solidFill>
              <a:srgbClr val="FF0000"/>
            </a:solidFill>
            <a:prstDash val="solid"/>
            <a:miter lim="800000"/>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xnSp macro="">
        <xdr:nvCxnSpPr>
          <xdr:cNvPr id="4" name="直線コネクタ 3">
            <a:extLst>
              <a:ext uri="{FF2B5EF4-FFF2-40B4-BE49-F238E27FC236}">
                <a16:creationId xmlns:a16="http://schemas.microsoft.com/office/drawing/2014/main" id="{C2B2E96B-88CB-E8AD-5780-C3360A46424A}"/>
              </a:ext>
            </a:extLst>
          </xdr:cNvPr>
          <xdr:cNvCxnSpPr/>
        </xdr:nvCxnSpPr>
        <xdr:spPr>
          <a:xfrm>
            <a:off x="7610475" y="5483225"/>
            <a:ext cx="606425" cy="0"/>
          </a:xfrm>
          <a:prstGeom prst="line">
            <a:avLst/>
          </a:prstGeom>
          <a:ln w="9525" cap="flat" cmpd="sng" algn="ctr">
            <a:solidFill>
              <a:srgbClr val="FF0000"/>
            </a:solidFill>
            <a:prstDash val="solid"/>
            <a:miter lim="800000"/>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sp macro="" textlink="">
        <xdr:nvSpPr>
          <xdr:cNvPr id="5" name="テキスト ボックス 4">
            <a:extLst>
              <a:ext uri="{FF2B5EF4-FFF2-40B4-BE49-F238E27FC236}">
                <a16:creationId xmlns:a16="http://schemas.microsoft.com/office/drawing/2014/main" id="{B1372B1F-B936-2955-815B-F7B09D409694}"/>
              </a:ext>
            </a:extLst>
          </xdr:cNvPr>
          <xdr:cNvSpPr txBox="1"/>
        </xdr:nvSpPr>
        <xdr:spPr>
          <a:xfrm>
            <a:off x="7597775" y="5092700"/>
            <a:ext cx="6350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ja-JP" altLang="en-US" sz="900">
                <a:solidFill>
                  <a:srgbClr val="FF0000"/>
                </a:solidFill>
                <a:ea typeface="ＭＳ Ｐ明朝" panose="02020600040205080304" pitchFamily="18" charset="-128"/>
              </a:rPr>
              <a:t>製造課</a:t>
            </a:r>
          </a:p>
        </xdr:txBody>
      </xdr:sp>
      <xdr:sp macro="" textlink="">
        <xdr:nvSpPr>
          <xdr:cNvPr id="6" name="テキスト ボックス 5">
            <a:extLst>
              <a:ext uri="{FF2B5EF4-FFF2-40B4-BE49-F238E27FC236}">
                <a16:creationId xmlns:a16="http://schemas.microsoft.com/office/drawing/2014/main" id="{47633B65-1789-1DA9-4D35-A5DFAF370D46}"/>
              </a:ext>
            </a:extLst>
          </xdr:cNvPr>
          <xdr:cNvSpPr txBox="1"/>
        </xdr:nvSpPr>
        <xdr:spPr>
          <a:xfrm>
            <a:off x="7585075" y="5291138"/>
            <a:ext cx="6604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en-US" altLang="ja-JP" sz="900">
                <a:solidFill>
                  <a:srgbClr val="FF0000"/>
                </a:solidFill>
                <a:ea typeface="ＭＳ Ｐ明朝" panose="02020600040205080304" pitchFamily="18" charset="-128"/>
              </a:rPr>
              <a:t>07/06/16</a:t>
            </a:r>
            <a:endParaRPr kumimoji="1" lang="ja-JP" altLang="en-US" sz="900">
              <a:solidFill>
                <a:srgbClr val="FF0000"/>
              </a:solidFill>
              <a:ea typeface="ＭＳ Ｐ明朝" panose="02020600040205080304" pitchFamily="18" charset="-128"/>
            </a:endParaRPr>
          </a:p>
        </xdr:txBody>
      </xdr:sp>
      <xdr:sp macro="" textlink="">
        <xdr:nvSpPr>
          <xdr:cNvPr id="7" name="テキスト ボックス 6">
            <a:extLst>
              <a:ext uri="{FF2B5EF4-FFF2-40B4-BE49-F238E27FC236}">
                <a16:creationId xmlns:a16="http://schemas.microsoft.com/office/drawing/2014/main" id="{AEDBA6F3-6E1D-5A93-9CFB-AC43A54CDBC0}"/>
              </a:ext>
            </a:extLst>
          </xdr:cNvPr>
          <xdr:cNvSpPr txBox="1"/>
        </xdr:nvSpPr>
        <xdr:spPr>
          <a:xfrm>
            <a:off x="7597775" y="5492750"/>
            <a:ext cx="6350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ja-JP" altLang="en-US" sz="900">
                <a:solidFill>
                  <a:srgbClr val="FF0000"/>
                </a:solidFill>
                <a:ea typeface="ＭＳ Ｐ明朝" panose="02020600040205080304" pitchFamily="18" charset="-128"/>
              </a:rPr>
              <a:t>新井翔</a:t>
            </a:r>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16</xdr:col>
      <xdr:colOff>211138</xdr:colOff>
      <xdr:row>25</xdr:row>
      <xdr:rowOff>106363</xdr:rowOff>
    </xdr:from>
    <xdr:to>
      <xdr:col>17</xdr:col>
      <xdr:colOff>366713</xdr:colOff>
      <xdr:row>28</xdr:row>
      <xdr:rowOff>134938</xdr:rowOff>
    </xdr:to>
    <xdr:grpSp>
      <xdr:nvGrpSpPr>
        <xdr:cNvPr id="8" name="グループ化 7">
          <a:extLst>
            <a:ext uri="{FF2B5EF4-FFF2-40B4-BE49-F238E27FC236}">
              <a16:creationId xmlns:a16="http://schemas.microsoft.com/office/drawing/2014/main" id="{292FCEA8-0498-A0D6-CD13-CD9175ABD4CF}"/>
            </a:ext>
          </a:extLst>
        </xdr:cNvPr>
        <xdr:cNvGrpSpPr/>
      </xdr:nvGrpSpPr>
      <xdr:grpSpPr>
        <a:xfrm>
          <a:off x="8288338" y="5373688"/>
          <a:ext cx="660400" cy="657225"/>
          <a:chOff x="8089900" y="5464175"/>
          <a:chExt cx="660400" cy="657225"/>
        </a:xfrm>
      </xdr:grpSpPr>
      <xdr:sp macro="" textlink="">
        <xdr:nvSpPr>
          <xdr:cNvPr id="2" name="楕円 1">
            <a:extLst>
              <a:ext uri="{FF2B5EF4-FFF2-40B4-BE49-F238E27FC236}">
                <a16:creationId xmlns:a16="http://schemas.microsoft.com/office/drawing/2014/main" id="{3CC22A11-9243-4363-420B-7FF339CED503}"/>
              </a:ext>
            </a:extLst>
          </xdr:cNvPr>
          <xdr:cNvSpPr/>
        </xdr:nvSpPr>
        <xdr:spPr>
          <a:xfrm>
            <a:off x="8089900" y="5464175"/>
            <a:ext cx="657225" cy="657225"/>
          </a:xfrm>
          <a:prstGeom prst="ellipse">
            <a:avLst/>
          </a:prstGeom>
          <a:solidFill>
            <a:srgbClr xmlns:mc="http://schemas.openxmlformats.org/markup-compatibility/2006" xmlns:a14="http://schemas.microsoft.com/office/drawing/2010/main" val="FFFFFF" mc:Ignorable="a14" a14:legacySpreadsheetColorIndex="65"/>
          </a:solidFill>
          <a:ln w="19050" cap="flat" cmpd="sng" algn="ctr">
            <a:solidFill>
              <a:srgbClr val="FF0000"/>
            </a:solidFill>
            <a:prstDash val="solid"/>
            <a:miter lim="800000"/>
            <a:headEnd type="none" w="med" len="med"/>
            <a:tailEnd type="none" w="med" len="me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3" name="直線コネクタ 2">
            <a:extLst>
              <a:ext uri="{FF2B5EF4-FFF2-40B4-BE49-F238E27FC236}">
                <a16:creationId xmlns:a16="http://schemas.microsoft.com/office/drawing/2014/main" id="{5ACC5587-B847-CF11-538D-55612B3EE1A0}"/>
              </a:ext>
            </a:extLst>
          </xdr:cNvPr>
          <xdr:cNvCxnSpPr/>
        </xdr:nvCxnSpPr>
        <xdr:spPr>
          <a:xfrm>
            <a:off x="8115300" y="5683250"/>
            <a:ext cx="606425" cy="0"/>
          </a:xfrm>
          <a:prstGeom prst="line">
            <a:avLst/>
          </a:prstGeom>
          <a:ln w="9525" cap="flat" cmpd="sng" algn="ctr">
            <a:solidFill>
              <a:srgbClr val="FF0000"/>
            </a:solidFill>
            <a:prstDash val="solid"/>
            <a:miter lim="800000"/>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xnSp macro="">
        <xdr:nvCxnSpPr>
          <xdr:cNvPr id="4" name="直線コネクタ 3">
            <a:extLst>
              <a:ext uri="{FF2B5EF4-FFF2-40B4-BE49-F238E27FC236}">
                <a16:creationId xmlns:a16="http://schemas.microsoft.com/office/drawing/2014/main" id="{D189BECA-C303-3808-40E8-547CEDEFB336}"/>
              </a:ext>
            </a:extLst>
          </xdr:cNvPr>
          <xdr:cNvCxnSpPr/>
        </xdr:nvCxnSpPr>
        <xdr:spPr>
          <a:xfrm>
            <a:off x="8115300" y="5902325"/>
            <a:ext cx="606425" cy="0"/>
          </a:xfrm>
          <a:prstGeom prst="line">
            <a:avLst/>
          </a:prstGeom>
          <a:ln w="9525" cap="flat" cmpd="sng" algn="ctr">
            <a:solidFill>
              <a:srgbClr val="FF0000"/>
            </a:solidFill>
            <a:prstDash val="solid"/>
            <a:miter lim="800000"/>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sp macro="" textlink="">
        <xdr:nvSpPr>
          <xdr:cNvPr id="5" name="テキスト ボックス 4">
            <a:extLst>
              <a:ext uri="{FF2B5EF4-FFF2-40B4-BE49-F238E27FC236}">
                <a16:creationId xmlns:a16="http://schemas.microsoft.com/office/drawing/2014/main" id="{444AA476-14F1-00C2-F9A5-A95F223355E3}"/>
              </a:ext>
            </a:extLst>
          </xdr:cNvPr>
          <xdr:cNvSpPr txBox="1"/>
        </xdr:nvSpPr>
        <xdr:spPr>
          <a:xfrm>
            <a:off x="8102600" y="5511800"/>
            <a:ext cx="6350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ja-JP" altLang="en-US" sz="900">
                <a:solidFill>
                  <a:srgbClr val="FF0000"/>
                </a:solidFill>
                <a:ea typeface="ＭＳ Ｐ明朝" panose="02020600040205080304" pitchFamily="18" charset="-128"/>
              </a:rPr>
              <a:t>製造課</a:t>
            </a:r>
          </a:p>
        </xdr:txBody>
      </xdr:sp>
      <xdr:sp macro="" textlink="">
        <xdr:nvSpPr>
          <xdr:cNvPr id="6" name="テキスト ボックス 5">
            <a:extLst>
              <a:ext uri="{FF2B5EF4-FFF2-40B4-BE49-F238E27FC236}">
                <a16:creationId xmlns:a16="http://schemas.microsoft.com/office/drawing/2014/main" id="{ADC8F2B2-2260-4525-42DD-845ED9AD7B9F}"/>
              </a:ext>
            </a:extLst>
          </xdr:cNvPr>
          <xdr:cNvSpPr txBox="1"/>
        </xdr:nvSpPr>
        <xdr:spPr>
          <a:xfrm>
            <a:off x="8089900" y="5710238"/>
            <a:ext cx="6604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en-US" altLang="ja-JP" sz="900">
                <a:solidFill>
                  <a:srgbClr val="FF0000"/>
                </a:solidFill>
                <a:ea typeface="ＭＳ Ｐ明朝" panose="02020600040205080304" pitchFamily="18" charset="-128"/>
              </a:rPr>
              <a:t>07/04/14</a:t>
            </a:r>
            <a:endParaRPr kumimoji="1" lang="ja-JP" altLang="en-US" sz="900">
              <a:solidFill>
                <a:srgbClr val="FF0000"/>
              </a:solidFill>
              <a:ea typeface="ＭＳ Ｐ明朝" panose="02020600040205080304" pitchFamily="18" charset="-128"/>
            </a:endParaRPr>
          </a:p>
        </xdr:txBody>
      </xdr:sp>
      <xdr:sp macro="" textlink="">
        <xdr:nvSpPr>
          <xdr:cNvPr id="7" name="テキスト ボックス 6">
            <a:extLst>
              <a:ext uri="{FF2B5EF4-FFF2-40B4-BE49-F238E27FC236}">
                <a16:creationId xmlns:a16="http://schemas.microsoft.com/office/drawing/2014/main" id="{50126000-42D1-F7A4-03A9-16E8CA162A7F}"/>
              </a:ext>
            </a:extLst>
          </xdr:cNvPr>
          <xdr:cNvSpPr txBox="1"/>
        </xdr:nvSpPr>
        <xdr:spPr>
          <a:xfrm>
            <a:off x="8102600" y="5911850"/>
            <a:ext cx="6350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ja-JP" altLang="en-US" sz="900">
                <a:solidFill>
                  <a:srgbClr val="FF0000"/>
                </a:solidFill>
                <a:ea typeface="ＭＳ Ｐ明朝" panose="02020600040205080304" pitchFamily="18" charset="-128"/>
              </a:rPr>
              <a:t>新井翔</a:t>
            </a:r>
          </a:p>
        </xdr:txBody>
      </xdr:sp>
    </xdr:grpSp>
    <xdr:clientData/>
  </xdr:twoCellAnchor>
</xdr:wsDr>
</file>

<file path=xl/drawings/drawing6.xml><?xml version="1.0" encoding="utf-8"?>
<xdr:wsDr xmlns:xdr="http://schemas.openxmlformats.org/drawingml/2006/spreadsheetDrawing" xmlns:a="http://schemas.openxmlformats.org/drawingml/2006/main">
  <xdr:twoCellAnchor>
    <xdr:from>
      <xdr:col>4</xdr:col>
      <xdr:colOff>153458</xdr:colOff>
      <xdr:row>2</xdr:row>
      <xdr:rowOff>15875</xdr:rowOff>
    </xdr:from>
    <xdr:to>
      <xdr:col>9</xdr:col>
      <xdr:colOff>248706</xdr:colOff>
      <xdr:row>4</xdr:row>
      <xdr:rowOff>179917</xdr:rowOff>
    </xdr:to>
    <xdr:sp macro="" textlink="">
      <xdr:nvSpPr>
        <xdr:cNvPr id="9" name="波線 8">
          <a:extLst>
            <a:ext uri="{FF2B5EF4-FFF2-40B4-BE49-F238E27FC236}">
              <a16:creationId xmlns:a16="http://schemas.microsoft.com/office/drawing/2014/main" id="{BB235F5D-5F87-F197-90DF-7086EC908E5D}"/>
            </a:ext>
          </a:extLst>
        </xdr:cNvPr>
        <xdr:cNvSpPr/>
      </xdr:nvSpPr>
      <xdr:spPr>
        <a:xfrm>
          <a:off x="2164291" y="449792"/>
          <a:ext cx="2608791" cy="587375"/>
        </a:xfrm>
        <a:prstGeom prst="wave">
          <a:avLst>
            <a:gd name="adj1" fmla="val 12500"/>
            <a:gd name="adj2" fmla="val 0"/>
          </a:avLst>
        </a:prstGeom>
        <a:solidFill>
          <a:srgbClr val="FFFF00"/>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100"/>
            <a:t>ここから新体制　最下部に記載</a:t>
          </a:r>
        </a:p>
      </xdr:txBody>
    </xdr:sp>
    <xdr:clientData/>
  </xdr:twoCellAnchor>
  <xdr:twoCellAnchor>
    <xdr:from>
      <xdr:col>16</xdr:col>
      <xdr:colOff>265804</xdr:colOff>
      <xdr:row>24</xdr:row>
      <xdr:rowOff>116302</xdr:rowOff>
    </xdr:from>
    <xdr:to>
      <xdr:col>17</xdr:col>
      <xdr:colOff>421793</xdr:colOff>
      <xdr:row>27</xdr:row>
      <xdr:rowOff>142393</xdr:rowOff>
    </xdr:to>
    <xdr:grpSp>
      <xdr:nvGrpSpPr>
        <xdr:cNvPr id="8" name="グループ化 7">
          <a:extLst>
            <a:ext uri="{FF2B5EF4-FFF2-40B4-BE49-F238E27FC236}">
              <a16:creationId xmlns:a16="http://schemas.microsoft.com/office/drawing/2014/main" id="{0B487E78-62AB-0C07-BBC8-EBFDFF5C7C71}"/>
            </a:ext>
          </a:extLst>
        </xdr:cNvPr>
        <xdr:cNvGrpSpPr/>
      </xdr:nvGrpSpPr>
      <xdr:grpSpPr>
        <a:xfrm>
          <a:off x="8266804" y="5283615"/>
          <a:ext cx="656052" cy="669028"/>
          <a:chOff x="8594725" y="5464175"/>
          <a:chExt cx="660400" cy="657225"/>
        </a:xfrm>
      </xdr:grpSpPr>
      <xdr:sp macro="" textlink="">
        <xdr:nvSpPr>
          <xdr:cNvPr id="2" name="楕円 1">
            <a:extLst>
              <a:ext uri="{FF2B5EF4-FFF2-40B4-BE49-F238E27FC236}">
                <a16:creationId xmlns:a16="http://schemas.microsoft.com/office/drawing/2014/main" id="{B6C84590-650A-B196-8EA8-DA3040ECA0E2}"/>
              </a:ext>
            </a:extLst>
          </xdr:cNvPr>
          <xdr:cNvSpPr/>
        </xdr:nvSpPr>
        <xdr:spPr>
          <a:xfrm>
            <a:off x="8594725" y="5464175"/>
            <a:ext cx="657225" cy="657225"/>
          </a:xfrm>
          <a:prstGeom prst="ellipse">
            <a:avLst/>
          </a:prstGeom>
          <a:solidFill>
            <a:srgbClr xmlns:mc="http://schemas.openxmlformats.org/markup-compatibility/2006" xmlns:a14="http://schemas.microsoft.com/office/drawing/2010/main" val="FFFFFF" mc:Ignorable="a14" a14:legacySpreadsheetColorIndex="65"/>
          </a:solidFill>
          <a:ln w="19050" cap="flat" cmpd="sng" algn="ctr">
            <a:solidFill>
              <a:srgbClr val="FF0000"/>
            </a:solidFill>
            <a:prstDash val="solid"/>
            <a:miter lim="800000"/>
            <a:headEnd type="none" w="med" len="med"/>
            <a:tailEnd type="none" w="med" len="me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3" name="直線コネクタ 2">
            <a:extLst>
              <a:ext uri="{FF2B5EF4-FFF2-40B4-BE49-F238E27FC236}">
                <a16:creationId xmlns:a16="http://schemas.microsoft.com/office/drawing/2014/main" id="{5B93DE70-8562-4F31-2063-504511A3B1EF}"/>
              </a:ext>
            </a:extLst>
          </xdr:cNvPr>
          <xdr:cNvCxnSpPr/>
        </xdr:nvCxnSpPr>
        <xdr:spPr>
          <a:xfrm>
            <a:off x="8620125" y="5683250"/>
            <a:ext cx="606425" cy="0"/>
          </a:xfrm>
          <a:prstGeom prst="line">
            <a:avLst/>
          </a:prstGeom>
          <a:ln w="9525" cap="flat" cmpd="sng" algn="ctr">
            <a:solidFill>
              <a:srgbClr val="FF0000"/>
            </a:solidFill>
            <a:prstDash val="solid"/>
            <a:miter lim="800000"/>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xnSp macro="">
        <xdr:nvCxnSpPr>
          <xdr:cNvPr id="4" name="直線コネクタ 3">
            <a:extLst>
              <a:ext uri="{FF2B5EF4-FFF2-40B4-BE49-F238E27FC236}">
                <a16:creationId xmlns:a16="http://schemas.microsoft.com/office/drawing/2014/main" id="{C0992961-CDE5-5F6E-B25F-5672B87171D4}"/>
              </a:ext>
            </a:extLst>
          </xdr:cNvPr>
          <xdr:cNvCxnSpPr/>
        </xdr:nvCxnSpPr>
        <xdr:spPr>
          <a:xfrm>
            <a:off x="8620125" y="5902325"/>
            <a:ext cx="606425" cy="0"/>
          </a:xfrm>
          <a:prstGeom prst="line">
            <a:avLst/>
          </a:prstGeom>
          <a:ln w="9525" cap="flat" cmpd="sng" algn="ctr">
            <a:solidFill>
              <a:srgbClr val="FF0000"/>
            </a:solidFill>
            <a:prstDash val="solid"/>
            <a:miter lim="800000"/>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sp macro="" textlink="">
        <xdr:nvSpPr>
          <xdr:cNvPr id="5" name="テキスト ボックス 4">
            <a:extLst>
              <a:ext uri="{FF2B5EF4-FFF2-40B4-BE49-F238E27FC236}">
                <a16:creationId xmlns:a16="http://schemas.microsoft.com/office/drawing/2014/main" id="{CCC964FD-4348-8401-7360-2179A3342019}"/>
              </a:ext>
            </a:extLst>
          </xdr:cNvPr>
          <xdr:cNvSpPr txBox="1"/>
        </xdr:nvSpPr>
        <xdr:spPr>
          <a:xfrm>
            <a:off x="8607425" y="5511800"/>
            <a:ext cx="6350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ja-JP" altLang="en-US" sz="900">
                <a:solidFill>
                  <a:srgbClr val="FF0000"/>
                </a:solidFill>
                <a:ea typeface="ＭＳ Ｐ明朝" panose="02020600040205080304" pitchFamily="18" charset="-128"/>
              </a:rPr>
              <a:t>製造課</a:t>
            </a:r>
          </a:p>
        </xdr:txBody>
      </xdr:sp>
      <xdr:sp macro="" textlink="">
        <xdr:nvSpPr>
          <xdr:cNvPr id="6" name="テキスト ボックス 5">
            <a:extLst>
              <a:ext uri="{FF2B5EF4-FFF2-40B4-BE49-F238E27FC236}">
                <a16:creationId xmlns:a16="http://schemas.microsoft.com/office/drawing/2014/main" id="{0879C5E0-0BC8-02F3-10B4-A856A64AC4B6}"/>
              </a:ext>
            </a:extLst>
          </xdr:cNvPr>
          <xdr:cNvSpPr txBox="1"/>
        </xdr:nvSpPr>
        <xdr:spPr>
          <a:xfrm>
            <a:off x="8594725" y="5710238"/>
            <a:ext cx="6604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en-US" altLang="ja-JP" sz="900">
                <a:solidFill>
                  <a:srgbClr val="FF0000"/>
                </a:solidFill>
                <a:ea typeface="ＭＳ Ｐ明朝" panose="02020600040205080304" pitchFamily="18" charset="-128"/>
              </a:rPr>
              <a:t>07/02/17</a:t>
            </a:r>
            <a:endParaRPr kumimoji="1" lang="ja-JP" altLang="en-US" sz="900">
              <a:solidFill>
                <a:srgbClr val="FF0000"/>
              </a:solidFill>
              <a:ea typeface="ＭＳ Ｐ明朝" panose="02020600040205080304" pitchFamily="18" charset="-128"/>
            </a:endParaRPr>
          </a:p>
        </xdr:txBody>
      </xdr:sp>
      <xdr:sp macro="" textlink="">
        <xdr:nvSpPr>
          <xdr:cNvPr id="7" name="テキスト ボックス 6">
            <a:extLst>
              <a:ext uri="{FF2B5EF4-FFF2-40B4-BE49-F238E27FC236}">
                <a16:creationId xmlns:a16="http://schemas.microsoft.com/office/drawing/2014/main" id="{FA30F2DB-547B-6499-C6F9-9B6C18B4C3C3}"/>
              </a:ext>
            </a:extLst>
          </xdr:cNvPr>
          <xdr:cNvSpPr txBox="1"/>
        </xdr:nvSpPr>
        <xdr:spPr>
          <a:xfrm>
            <a:off x="8607425" y="5911850"/>
            <a:ext cx="6350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ja-JP" altLang="en-US" sz="900">
                <a:solidFill>
                  <a:srgbClr val="FF0000"/>
                </a:solidFill>
                <a:ea typeface="ＭＳ Ｐ明朝" panose="02020600040205080304" pitchFamily="18" charset="-128"/>
              </a:rPr>
              <a:t>新井翔</a:t>
            </a:r>
          </a:p>
        </xdr:txBody>
      </xdr:sp>
    </xdr:grpSp>
    <xdr:clientData/>
  </xdr:twoCellAnchor>
</xdr:wsDr>
</file>

<file path=xl/drawings/drawing7.xml><?xml version="1.0" encoding="utf-8"?>
<xdr:wsDr xmlns:xdr="http://schemas.openxmlformats.org/drawingml/2006/spreadsheetDrawing" xmlns:a="http://schemas.openxmlformats.org/drawingml/2006/main">
  <xdr:twoCellAnchor>
    <xdr:from>
      <xdr:col>15</xdr:col>
      <xdr:colOff>439738</xdr:colOff>
      <xdr:row>22</xdr:row>
      <xdr:rowOff>182562</xdr:rowOff>
    </xdr:from>
    <xdr:to>
      <xdr:col>17</xdr:col>
      <xdr:colOff>90488</xdr:colOff>
      <xdr:row>26</xdr:row>
      <xdr:rowOff>1587</xdr:rowOff>
    </xdr:to>
    <xdr:grpSp>
      <xdr:nvGrpSpPr>
        <xdr:cNvPr id="8" name="グループ化 7">
          <a:extLst>
            <a:ext uri="{FF2B5EF4-FFF2-40B4-BE49-F238E27FC236}">
              <a16:creationId xmlns:a16="http://schemas.microsoft.com/office/drawing/2014/main" id="{0119BBE5-D530-4D51-91C7-0B5A4C832EF1}"/>
            </a:ext>
          </a:extLst>
        </xdr:cNvPr>
        <xdr:cNvGrpSpPr/>
      </xdr:nvGrpSpPr>
      <xdr:grpSpPr>
        <a:xfrm>
          <a:off x="8059738" y="4870979"/>
          <a:ext cx="666750" cy="665691"/>
          <a:chOff x="8089900" y="5030788"/>
          <a:chExt cx="660400" cy="657225"/>
        </a:xfrm>
      </xdr:grpSpPr>
      <xdr:sp macro="" textlink="">
        <xdr:nvSpPr>
          <xdr:cNvPr id="2" name="楕円 1">
            <a:extLst>
              <a:ext uri="{FF2B5EF4-FFF2-40B4-BE49-F238E27FC236}">
                <a16:creationId xmlns:a16="http://schemas.microsoft.com/office/drawing/2014/main" id="{CC67EA57-8107-55A7-5F16-61ED262531FA}"/>
              </a:ext>
            </a:extLst>
          </xdr:cNvPr>
          <xdr:cNvSpPr/>
        </xdr:nvSpPr>
        <xdr:spPr>
          <a:xfrm>
            <a:off x="8089900" y="5030788"/>
            <a:ext cx="657225" cy="657225"/>
          </a:xfrm>
          <a:prstGeom prst="ellipse">
            <a:avLst/>
          </a:prstGeom>
          <a:solidFill>
            <a:srgbClr xmlns:mc="http://schemas.openxmlformats.org/markup-compatibility/2006" xmlns:a14="http://schemas.microsoft.com/office/drawing/2010/main" val="FFFFFF" mc:Ignorable="a14" a14:legacySpreadsheetColorIndex="65"/>
          </a:solidFill>
          <a:ln w="19050" cap="flat" cmpd="sng" algn="ctr">
            <a:solidFill>
              <a:srgbClr val="FF0000"/>
            </a:solidFill>
            <a:prstDash val="solid"/>
            <a:miter lim="800000"/>
            <a:headEnd type="none" w="med" len="med"/>
            <a:tailEnd type="none" w="med" len="me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kern="1200"/>
          </a:p>
        </xdr:txBody>
      </xdr:sp>
      <xdr:cxnSp macro="">
        <xdr:nvCxnSpPr>
          <xdr:cNvPr id="3" name="直線コネクタ 2">
            <a:extLst>
              <a:ext uri="{FF2B5EF4-FFF2-40B4-BE49-F238E27FC236}">
                <a16:creationId xmlns:a16="http://schemas.microsoft.com/office/drawing/2014/main" id="{C22FE043-551B-19FC-8757-3D46DD929821}"/>
              </a:ext>
            </a:extLst>
          </xdr:cNvPr>
          <xdr:cNvCxnSpPr/>
        </xdr:nvCxnSpPr>
        <xdr:spPr>
          <a:xfrm>
            <a:off x="8115300" y="5249863"/>
            <a:ext cx="606425" cy="0"/>
          </a:xfrm>
          <a:prstGeom prst="line">
            <a:avLst/>
          </a:prstGeom>
          <a:ln w="9525" cap="flat" cmpd="sng" algn="ctr">
            <a:solidFill>
              <a:srgbClr val="FF0000"/>
            </a:solidFill>
            <a:prstDash val="solid"/>
            <a:miter lim="800000"/>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xnSp macro="">
        <xdr:nvCxnSpPr>
          <xdr:cNvPr id="4" name="直線コネクタ 3">
            <a:extLst>
              <a:ext uri="{FF2B5EF4-FFF2-40B4-BE49-F238E27FC236}">
                <a16:creationId xmlns:a16="http://schemas.microsoft.com/office/drawing/2014/main" id="{51245435-D4BB-6476-C364-044845AB1218}"/>
              </a:ext>
            </a:extLst>
          </xdr:cNvPr>
          <xdr:cNvCxnSpPr/>
        </xdr:nvCxnSpPr>
        <xdr:spPr>
          <a:xfrm>
            <a:off x="8115300" y="5468938"/>
            <a:ext cx="606425" cy="0"/>
          </a:xfrm>
          <a:prstGeom prst="line">
            <a:avLst/>
          </a:prstGeom>
          <a:ln w="9525" cap="flat" cmpd="sng" algn="ctr">
            <a:solidFill>
              <a:srgbClr val="FF0000"/>
            </a:solidFill>
            <a:prstDash val="solid"/>
            <a:miter lim="800000"/>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sp macro="" textlink="">
        <xdr:nvSpPr>
          <xdr:cNvPr id="5" name="テキスト ボックス 4">
            <a:extLst>
              <a:ext uri="{FF2B5EF4-FFF2-40B4-BE49-F238E27FC236}">
                <a16:creationId xmlns:a16="http://schemas.microsoft.com/office/drawing/2014/main" id="{E9017498-A0B0-08F8-65BF-420E20BF5DD2}"/>
              </a:ext>
            </a:extLst>
          </xdr:cNvPr>
          <xdr:cNvSpPr txBox="1"/>
        </xdr:nvSpPr>
        <xdr:spPr>
          <a:xfrm>
            <a:off x="8102600" y="5078413"/>
            <a:ext cx="6350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ja-JP" altLang="en-US" sz="900" kern="1200">
                <a:solidFill>
                  <a:srgbClr val="FF0000"/>
                </a:solidFill>
                <a:ea typeface="ＭＳ Ｐ明朝" panose="02020600040205080304" pitchFamily="18" charset="-128"/>
              </a:rPr>
              <a:t>生産部</a:t>
            </a:r>
          </a:p>
        </xdr:txBody>
      </xdr:sp>
      <xdr:sp macro="" textlink="">
        <xdr:nvSpPr>
          <xdr:cNvPr id="6" name="テキスト ボックス 5">
            <a:extLst>
              <a:ext uri="{FF2B5EF4-FFF2-40B4-BE49-F238E27FC236}">
                <a16:creationId xmlns:a16="http://schemas.microsoft.com/office/drawing/2014/main" id="{B0F51C85-77A1-8185-828F-EAD168FF9363}"/>
              </a:ext>
            </a:extLst>
          </xdr:cNvPr>
          <xdr:cNvSpPr txBox="1"/>
        </xdr:nvSpPr>
        <xdr:spPr>
          <a:xfrm>
            <a:off x="8089900" y="5276850"/>
            <a:ext cx="6604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en-US" altLang="ja-JP" sz="900" kern="1200">
                <a:solidFill>
                  <a:srgbClr val="FF0000"/>
                </a:solidFill>
                <a:ea typeface="ＭＳ Ｐ明朝" panose="02020600040205080304" pitchFamily="18" charset="-128"/>
              </a:rPr>
              <a:t>06/12/18</a:t>
            </a:r>
            <a:endParaRPr kumimoji="1" lang="ja-JP" altLang="en-US" sz="900" kern="1200">
              <a:solidFill>
                <a:srgbClr val="FF0000"/>
              </a:solidFill>
              <a:ea typeface="ＭＳ Ｐ明朝" panose="02020600040205080304" pitchFamily="18" charset="-128"/>
            </a:endParaRPr>
          </a:p>
        </xdr:txBody>
      </xdr:sp>
      <xdr:sp macro="" textlink="">
        <xdr:nvSpPr>
          <xdr:cNvPr id="7" name="テキスト ボックス 6">
            <a:extLst>
              <a:ext uri="{FF2B5EF4-FFF2-40B4-BE49-F238E27FC236}">
                <a16:creationId xmlns:a16="http://schemas.microsoft.com/office/drawing/2014/main" id="{DB322CAA-5765-CAC7-940E-1643FFA01311}"/>
              </a:ext>
            </a:extLst>
          </xdr:cNvPr>
          <xdr:cNvSpPr txBox="1"/>
        </xdr:nvSpPr>
        <xdr:spPr>
          <a:xfrm>
            <a:off x="8102600" y="5478463"/>
            <a:ext cx="6350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ja-JP" altLang="en-US" sz="900" kern="1200">
                <a:solidFill>
                  <a:srgbClr val="FF0000"/>
                </a:solidFill>
                <a:ea typeface="ＭＳ Ｐ明朝" panose="02020600040205080304" pitchFamily="18" charset="-128"/>
              </a:rPr>
              <a:t>髙田</a:t>
            </a:r>
          </a:p>
        </xdr:txBody>
      </xdr:sp>
    </xdr:grpSp>
    <xdr:clientData/>
  </xdr:twoCellAnchor>
</xdr:wsDr>
</file>

<file path=xl/drawings/drawing8.xml><?xml version="1.0" encoding="utf-8"?>
<xdr:wsDr xmlns:xdr="http://schemas.openxmlformats.org/drawingml/2006/spreadsheetDrawing" xmlns:a="http://schemas.openxmlformats.org/drawingml/2006/main">
  <xdr:twoCellAnchor>
    <xdr:from>
      <xdr:col>15</xdr:col>
      <xdr:colOff>439738</xdr:colOff>
      <xdr:row>23</xdr:row>
      <xdr:rowOff>182562</xdr:rowOff>
    </xdr:from>
    <xdr:to>
      <xdr:col>17</xdr:col>
      <xdr:colOff>90488</xdr:colOff>
      <xdr:row>27</xdr:row>
      <xdr:rowOff>1587</xdr:rowOff>
    </xdr:to>
    <xdr:grpSp>
      <xdr:nvGrpSpPr>
        <xdr:cNvPr id="8" name="グループ化 7">
          <a:extLst>
            <a:ext uri="{FF2B5EF4-FFF2-40B4-BE49-F238E27FC236}">
              <a16:creationId xmlns:a16="http://schemas.microsoft.com/office/drawing/2014/main" id="{9604B74B-DCA1-F039-A5BC-F473D8533571}"/>
            </a:ext>
          </a:extLst>
        </xdr:cNvPr>
        <xdr:cNvGrpSpPr/>
      </xdr:nvGrpSpPr>
      <xdr:grpSpPr>
        <a:xfrm>
          <a:off x="8059738" y="5082645"/>
          <a:ext cx="666750" cy="665692"/>
          <a:chOff x="8089900" y="5240338"/>
          <a:chExt cx="660400" cy="657225"/>
        </a:xfrm>
      </xdr:grpSpPr>
      <xdr:sp macro="" textlink="">
        <xdr:nvSpPr>
          <xdr:cNvPr id="2" name="楕円 1">
            <a:extLst>
              <a:ext uri="{FF2B5EF4-FFF2-40B4-BE49-F238E27FC236}">
                <a16:creationId xmlns:a16="http://schemas.microsoft.com/office/drawing/2014/main" id="{F85F8685-DF4F-7320-4F31-F0E87CCF70B3}"/>
              </a:ext>
            </a:extLst>
          </xdr:cNvPr>
          <xdr:cNvSpPr/>
        </xdr:nvSpPr>
        <xdr:spPr>
          <a:xfrm>
            <a:off x="8089900" y="5240338"/>
            <a:ext cx="657225" cy="657225"/>
          </a:xfrm>
          <a:prstGeom prst="ellipse">
            <a:avLst/>
          </a:prstGeom>
          <a:solidFill>
            <a:srgbClr xmlns:mc="http://schemas.openxmlformats.org/markup-compatibility/2006" xmlns:a14="http://schemas.microsoft.com/office/drawing/2010/main" val="FFFFFF" mc:Ignorable="a14" a14:legacySpreadsheetColorIndex="65"/>
          </a:solidFill>
          <a:ln w="19050" cap="flat" cmpd="sng" algn="ctr">
            <a:solidFill>
              <a:srgbClr val="FF0000"/>
            </a:solidFill>
            <a:prstDash val="solid"/>
            <a:miter lim="800000"/>
            <a:headEnd type="none" w="med" len="med"/>
            <a:tailEnd type="none" w="med" len="me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3" name="直線コネクタ 2">
            <a:extLst>
              <a:ext uri="{FF2B5EF4-FFF2-40B4-BE49-F238E27FC236}">
                <a16:creationId xmlns:a16="http://schemas.microsoft.com/office/drawing/2014/main" id="{F7144B87-6728-DDB0-DA63-A606BEF80041}"/>
              </a:ext>
            </a:extLst>
          </xdr:cNvPr>
          <xdr:cNvCxnSpPr/>
        </xdr:nvCxnSpPr>
        <xdr:spPr>
          <a:xfrm>
            <a:off x="8115300" y="5459413"/>
            <a:ext cx="606425" cy="0"/>
          </a:xfrm>
          <a:prstGeom prst="line">
            <a:avLst/>
          </a:prstGeom>
          <a:ln w="9525" cap="flat" cmpd="sng" algn="ctr">
            <a:solidFill>
              <a:srgbClr val="FF0000"/>
            </a:solidFill>
            <a:prstDash val="solid"/>
            <a:miter lim="800000"/>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xnSp macro="">
        <xdr:nvCxnSpPr>
          <xdr:cNvPr id="4" name="直線コネクタ 3">
            <a:extLst>
              <a:ext uri="{FF2B5EF4-FFF2-40B4-BE49-F238E27FC236}">
                <a16:creationId xmlns:a16="http://schemas.microsoft.com/office/drawing/2014/main" id="{17D64389-553B-0345-8771-460749E2EF39}"/>
              </a:ext>
            </a:extLst>
          </xdr:cNvPr>
          <xdr:cNvCxnSpPr/>
        </xdr:nvCxnSpPr>
        <xdr:spPr>
          <a:xfrm>
            <a:off x="8115300" y="5678488"/>
            <a:ext cx="606425" cy="0"/>
          </a:xfrm>
          <a:prstGeom prst="line">
            <a:avLst/>
          </a:prstGeom>
          <a:ln w="9525" cap="flat" cmpd="sng" algn="ctr">
            <a:solidFill>
              <a:srgbClr val="FF0000"/>
            </a:solidFill>
            <a:prstDash val="solid"/>
            <a:miter lim="800000"/>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sp macro="" textlink="">
        <xdr:nvSpPr>
          <xdr:cNvPr id="5" name="テキスト ボックス 4">
            <a:extLst>
              <a:ext uri="{FF2B5EF4-FFF2-40B4-BE49-F238E27FC236}">
                <a16:creationId xmlns:a16="http://schemas.microsoft.com/office/drawing/2014/main" id="{808DB349-25A1-0DEF-7ED5-DD51F19106EA}"/>
              </a:ext>
            </a:extLst>
          </xdr:cNvPr>
          <xdr:cNvSpPr txBox="1"/>
        </xdr:nvSpPr>
        <xdr:spPr>
          <a:xfrm>
            <a:off x="8102600" y="5287963"/>
            <a:ext cx="6350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ja-JP" altLang="en-US" sz="900">
                <a:solidFill>
                  <a:srgbClr val="FF0000"/>
                </a:solidFill>
                <a:ea typeface="ＭＳ Ｐ明朝" panose="02020600040205080304" pitchFamily="18" charset="-128"/>
              </a:rPr>
              <a:t>生産部</a:t>
            </a:r>
          </a:p>
        </xdr:txBody>
      </xdr:sp>
      <xdr:sp macro="" textlink="">
        <xdr:nvSpPr>
          <xdr:cNvPr id="6" name="テキスト ボックス 5">
            <a:extLst>
              <a:ext uri="{FF2B5EF4-FFF2-40B4-BE49-F238E27FC236}">
                <a16:creationId xmlns:a16="http://schemas.microsoft.com/office/drawing/2014/main" id="{8A4042F7-203A-FE47-860D-452353AFEE21}"/>
              </a:ext>
            </a:extLst>
          </xdr:cNvPr>
          <xdr:cNvSpPr txBox="1"/>
        </xdr:nvSpPr>
        <xdr:spPr>
          <a:xfrm>
            <a:off x="8089900" y="5486400"/>
            <a:ext cx="6604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en-US" altLang="ja-JP" sz="900">
                <a:solidFill>
                  <a:srgbClr val="FF0000"/>
                </a:solidFill>
                <a:ea typeface="ＭＳ Ｐ明朝" panose="02020600040205080304" pitchFamily="18" charset="-128"/>
              </a:rPr>
              <a:t>06/10/15</a:t>
            </a:r>
            <a:endParaRPr kumimoji="1" lang="ja-JP" altLang="en-US" sz="900">
              <a:solidFill>
                <a:srgbClr val="FF0000"/>
              </a:solidFill>
              <a:ea typeface="ＭＳ Ｐ明朝" panose="02020600040205080304" pitchFamily="18" charset="-128"/>
            </a:endParaRPr>
          </a:p>
        </xdr:txBody>
      </xdr:sp>
      <xdr:sp macro="" textlink="">
        <xdr:nvSpPr>
          <xdr:cNvPr id="7" name="テキスト ボックス 6">
            <a:extLst>
              <a:ext uri="{FF2B5EF4-FFF2-40B4-BE49-F238E27FC236}">
                <a16:creationId xmlns:a16="http://schemas.microsoft.com/office/drawing/2014/main" id="{E2426A76-168C-BDA2-0F0E-75039579328E}"/>
              </a:ext>
            </a:extLst>
          </xdr:cNvPr>
          <xdr:cNvSpPr txBox="1"/>
        </xdr:nvSpPr>
        <xdr:spPr>
          <a:xfrm>
            <a:off x="8102600" y="5688013"/>
            <a:ext cx="6350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ja-JP" altLang="en-US" sz="900">
                <a:solidFill>
                  <a:srgbClr val="FF0000"/>
                </a:solidFill>
                <a:ea typeface="ＭＳ Ｐ明朝" panose="02020600040205080304" pitchFamily="18" charset="-128"/>
              </a:rPr>
              <a:t>髙田</a:t>
            </a:r>
          </a:p>
        </xdr:txBody>
      </xdr:sp>
    </xdr:grpSp>
    <xdr:clientData/>
  </xdr:twoCellAnchor>
</xdr:wsDr>
</file>

<file path=xl/drawings/drawing9.xml><?xml version="1.0" encoding="utf-8"?>
<xdr:wsDr xmlns:xdr="http://schemas.openxmlformats.org/drawingml/2006/spreadsheetDrawing" xmlns:a="http://schemas.openxmlformats.org/drawingml/2006/main">
  <xdr:twoCellAnchor>
    <xdr:from>
      <xdr:col>16</xdr:col>
      <xdr:colOff>123264</xdr:colOff>
      <xdr:row>23</xdr:row>
      <xdr:rowOff>151280</xdr:rowOff>
    </xdr:from>
    <xdr:to>
      <xdr:col>17</xdr:col>
      <xdr:colOff>280458</xdr:colOff>
      <xdr:row>26</xdr:row>
      <xdr:rowOff>195045</xdr:rowOff>
    </xdr:to>
    <xdr:grpSp>
      <xdr:nvGrpSpPr>
        <xdr:cNvPr id="2" name="グループ化 1">
          <a:extLst>
            <a:ext uri="{FF2B5EF4-FFF2-40B4-BE49-F238E27FC236}">
              <a16:creationId xmlns:a16="http://schemas.microsoft.com/office/drawing/2014/main" id="{AF1C258C-0240-4553-82E6-D5C183A19F56}"/>
            </a:ext>
          </a:extLst>
        </xdr:cNvPr>
        <xdr:cNvGrpSpPr/>
      </xdr:nvGrpSpPr>
      <xdr:grpSpPr>
        <a:xfrm>
          <a:off x="8251264" y="5051363"/>
          <a:ext cx="665194" cy="678765"/>
          <a:chOff x="8089900" y="5816600"/>
          <a:chExt cx="660400" cy="657225"/>
        </a:xfrm>
      </xdr:grpSpPr>
      <xdr:sp macro="" textlink="">
        <xdr:nvSpPr>
          <xdr:cNvPr id="3" name="楕円 2">
            <a:extLst>
              <a:ext uri="{FF2B5EF4-FFF2-40B4-BE49-F238E27FC236}">
                <a16:creationId xmlns:a16="http://schemas.microsoft.com/office/drawing/2014/main" id="{9DA2E4B9-5742-C8D6-3DBF-EF39919CB6B9}"/>
              </a:ext>
            </a:extLst>
          </xdr:cNvPr>
          <xdr:cNvSpPr/>
        </xdr:nvSpPr>
        <xdr:spPr>
          <a:xfrm>
            <a:off x="8089900" y="5816600"/>
            <a:ext cx="657225" cy="657225"/>
          </a:xfrm>
          <a:prstGeom prst="ellipse">
            <a:avLst/>
          </a:prstGeom>
          <a:solidFill>
            <a:srgbClr xmlns:mc="http://schemas.openxmlformats.org/markup-compatibility/2006" xmlns:a14="http://schemas.microsoft.com/office/drawing/2010/main" val="FFFFFF" mc:Ignorable="a14" a14:legacySpreadsheetColorIndex="65"/>
          </a:solidFill>
          <a:ln w="19050" cap="flat" cmpd="sng" algn="ctr">
            <a:solidFill>
              <a:srgbClr val="FF0000"/>
            </a:solidFill>
            <a:prstDash val="solid"/>
            <a:miter lim="800000"/>
            <a:headEnd type="none" w="med" len="med"/>
            <a:tailEnd type="none" w="med" len="me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4" name="直線コネクタ 3">
            <a:extLst>
              <a:ext uri="{FF2B5EF4-FFF2-40B4-BE49-F238E27FC236}">
                <a16:creationId xmlns:a16="http://schemas.microsoft.com/office/drawing/2014/main" id="{D7A467B1-462F-7ED6-2876-875C3E693DB9}"/>
              </a:ext>
            </a:extLst>
          </xdr:cNvPr>
          <xdr:cNvCxnSpPr/>
        </xdr:nvCxnSpPr>
        <xdr:spPr>
          <a:xfrm>
            <a:off x="8115300" y="6035675"/>
            <a:ext cx="606425" cy="0"/>
          </a:xfrm>
          <a:prstGeom prst="line">
            <a:avLst/>
          </a:prstGeom>
          <a:ln w="9525" cap="flat" cmpd="sng" algn="ctr">
            <a:solidFill>
              <a:srgbClr val="FF0000"/>
            </a:solidFill>
            <a:prstDash val="solid"/>
            <a:miter lim="800000"/>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xnSp macro="">
        <xdr:nvCxnSpPr>
          <xdr:cNvPr id="5" name="直線コネクタ 4">
            <a:extLst>
              <a:ext uri="{FF2B5EF4-FFF2-40B4-BE49-F238E27FC236}">
                <a16:creationId xmlns:a16="http://schemas.microsoft.com/office/drawing/2014/main" id="{DED9C863-BFDF-A791-C439-FF28D5213E82}"/>
              </a:ext>
            </a:extLst>
          </xdr:cNvPr>
          <xdr:cNvCxnSpPr/>
        </xdr:nvCxnSpPr>
        <xdr:spPr>
          <a:xfrm>
            <a:off x="8115300" y="6254750"/>
            <a:ext cx="606425" cy="0"/>
          </a:xfrm>
          <a:prstGeom prst="line">
            <a:avLst/>
          </a:prstGeom>
          <a:ln w="9525" cap="flat" cmpd="sng" algn="ctr">
            <a:solidFill>
              <a:srgbClr val="FF0000"/>
            </a:solidFill>
            <a:prstDash val="solid"/>
            <a:miter lim="800000"/>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sp macro="" textlink="">
        <xdr:nvSpPr>
          <xdr:cNvPr id="6" name="テキスト ボックス 5">
            <a:extLst>
              <a:ext uri="{FF2B5EF4-FFF2-40B4-BE49-F238E27FC236}">
                <a16:creationId xmlns:a16="http://schemas.microsoft.com/office/drawing/2014/main" id="{F69B4BB1-6726-BBE7-EBE0-2A8D52A66779}"/>
              </a:ext>
            </a:extLst>
          </xdr:cNvPr>
          <xdr:cNvSpPr txBox="1"/>
        </xdr:nvSpPr>
        <xdr:spPr>
          <a:xfrm>
            <a:off x="8102600" y="5864225"/>
            <a:ext cx="6350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ja-JP" altLang="en-US" sz="900">
                <a:solidFill>
                  <a:srgbClr val="FF0000"/>
                </a:solidFill>
                <a:ea typeface="ＭＳ Ｐ明朝" panose="02020600040205080304" pitchFamily="18" charset="-128"/>
              </a:rPr>
              <a:t>生産部</a:t>
            </a:r>
          </a:p>
        </xdr:txBody>
      </xdr:sp>
      <xdr:sp macro="" textlink="">
        <xdr:nvSpPr>
          <xdr:cNvPr id="7" name="テキスト ボックス 6">
            <a:extLst>
              <a:ext uri="{FF2B5EF4-FFF2-40B4-BE49-F238E27FC236}">
                <a16:creationId xmlns:a16="http://schemas.microsoft.com/office/drawing/2014/main" id="{58DCFC31-AC26-EFB4-9F5B-83F62BE9B723}"/>
              </a:ext>
            </a:extLst>
          </xdr:cNvPr>
          <xdr:cNvSpPr txBox="1"/>
        </xdr:nvSpPr>
        <xdr:spPr>
          <a:xfrm>
            <a:off x="8089900" y="6062663"/>
            <a:ext cx="6604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en-US" altLang="ja-JP" sz="825">
                <a:solidFill>
                  <a:srgbClr val="FF0000"/>
                </a:solidFill>
                <a:ea typeface="ＭＳ Ｐ明朝" panose="02020600040205080304" pitchFamily="18" charset="-128"/>
              </a:rPr>
              <a:t>2024/8/19</a:t>
            </a:r>
            <a:endParaRPr kumimoji="1" lang="ja-JP" altLang="en-US" sz="825">
              <a:solidFill>
                <a:srgbClr val="FF0000"/>
              </a:solidFill>
              <a:ea typeface="ＭＳ Ｐ明朝" panose="02020600040205080304" pitchFamily="18" charset="-128"/>
            </a:endParaRPr>
          </a:p>
        </xdr:txBody>
      </xdr:sp>
      <xdr:sp macro="" textlink="">
        <xdr:nvSpPr>
          <xdr:cNvPr id="8" name="テキスト ボックス 7">
            <a:extLst>
              <a:ext uri="{FF2B5EF4-FFF2-40B4-BE49-F238E27FC236}">
                <a16:creationId xmlns:a16="http://schemas.microsoft.com/office/drawing/2014/main" id="{CF3E9697-D294-B809-531A-E97425A3D30B}"/>
              </a:ext>
            </a:extLst>
          </xdr:cNvPr>
          <xdr:cNvSpPr txBox="1"/>
        </xdr:nvSpPr>
        <xdr:spPr>
          <a:xfrm>
            <a:off x="8102600" y="6264275"/>
            <a:ext cx="6350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ja-JP" altLang="en-US" sz="900">
                <a:solidFill>
                  <a:srgbClr val="FF0000"/>
                </a:solidFill>
                <a:ea typeface="ＭＳ Ｐ明朝" panose="02020600040205080304" pitchFamily="18" charset="-128"/>
              </a:rPr>
              <a:t>髙田</a:t>
            </a:r>
          </a:p>
        </xdr:txBody>
      </xdr:sp>
    </xdr:grpSp>
    <xdr:clientData/>
  </xdr:twoCellAnchor>
</xdr:wsDr>
</file>

<file path=xl/drawings/drawing10.xml><?xml version="1.0" encoding="utf-8"?>
<xdr:wsDr xmlns:xdr="http://schemas.openxmlformats.org/drawingml/2006/spreadsheetDrawing" xmlns:a="http://schemas.openxmlformats.org/drawingml/2006/main">
  <xdr:twoCellAnchor>
    <xdr:from>
      <xdr:col>16</xdr:col>
      <xdr:colOff>122238</xdr:colOff>
      <xdr:row>27</xdr:row>
      <xdr:rowOff>23812</xdr:rowOff>
    </xdr:from>
    <xdr:to>
      <xdr:col>17</xdr:col>
      <xdr:colOff>280988</xdr:colOff>
      <xdr:row>30</xdr:row>
      <xdr:rowOff>54504</xdr:rowOff>
    </xdr:to>
    <xdr:grpSp>
      <xdr:nvGrpSpPr>
        <xdr:cNvPr id="8" name="グループ化 7">
          <a:extLst>
            <a:ext uri="{FF2B5EF4-FFF2-40B4-BE49-F238E27FC236}">
              <a16:creationId xmlns:a16="http://schemas.microsoft.com/office/drawing/2014/main" id="{9863267F-8867-6A0B-C9ED-97FCF3DD7F5F}"/>
            </a:ext>
          </a:extLst>
        </xdr:cNvPr>
        <xdr:cNvGrpSpPr/>
      </xdr:nvGrpSpPr>
      <xdr:grpSpPr>
        <a:xfrm>
          <a:off x="8250238" y="5707062"/>
          <a:ext cx="666750" cy="665692"/>
          <a:chOff x="8089900" y="5816600"/>
          <a:chExt cx="660400" cy="657225"/>
        </a:xfrm>
      </xdr:grpSpPr>
      <xdr:sp macro="" textlink="">
        <xdr:nvSpPr>
          <xdr:cNvPr id="2" name="楕円 1">
            <a:extLst>
              <a:ext uri="{FF2B5EF4-FFF2-40B4-BE49-F238E27FC236}">
                <a16:creationId xmlns:a16="http://schemas.microsoft.com/office/drawing/2014/main" id="{ED7A78F6-98E2-DFC5-FBC2-66014FCE68EA}"/>
              </a:ext>
            </a:extLst>
          </xdr:cNvPr>
          <xdr:cNvSpPr/>
        </xdr:nvSpPr>
        <xdr:spPr>
          <a:xfrm>
            <a:off x="8089900" y="5816600"/>
            <a:ext cx="657225" cy="657225"/>
          </a:xfrm>
          <a:prstGeom prst="ellipse">
            <a:avLst/>
          </a:prstGeom>
          <a:solidFill>
            <a:srgbClr xmlns:mc="http://schemas.openxmlformats.org/markup-compatibility/2006" xmlns:a14="http://schemas.microsoft.com/office/drawing/2010/main" val="FFFFFF" mc:Ignorable="a14" a14:legacySpreadsheetColorIndex="65"/>
          </a:solidFill>
          <a:ln w="19050" cap="flat" cmpd="sng" algn="ctr">
            <a:solidFill>
              <a:srgbClr val="FF0000"/>
            </a:solidFill>
            <a:prstDash val="solid"/>
            <a:miter lim="800000"/>
            <a:headEnd type="none" w="med" len="med"/>
            <a:tailEnd type="none" w="med" len="me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3" name="直線コネクタ 2">
            <a:extLst>
              <a:ext uri="{FF2B5EF4-FFF2-40B4-BE49-F238E27FC236}">
                <a16:creationId xmlns:a16="http://schemas.microsoft.com/office/drawing/2014/main" id="{FA6A6DF1-94A0-91E3-4D0C-C2DCEF79FCA7}"/>
              </a:ext>
            </a:extLst>
          </xdr:cNvPr>
          <xdr:cNvCxnSpPr/>
        </xdr:nvCxnSpPr>
        <xdr:spPr>
          <a:xfrm>
            <a:off x="8115300" y="6035675"/>
            <a:ext cx="606425" cy="0"/>
          </a:xfrm>
          <a:prstGeom prst="line">
            <a:avLst/>
          </a:prstGeom>
          <a:ln w="9525" cap="flat" cmpd="sng" algn="ctr">
            <a:solidFill>
              <a:srgbClr val="FF0000"/>
            </a:solidFill>
            <a:prstDash val="solid"/>
            <a:miter lim="800000"/>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xnSp macro="">
        <xdr:nvCxnSpPr>
          <xdr:cNvPr id="4" name="直線コネクタ 3">
            <a:extLst>
              <a:ext uri="{FF2B5EF4-FFF2-40B4-BE49-F238E27FC236}">
                <a16:creationId xmlns:a16="http://schemas.microsoft.com/office/drawing/2014/main" id="{CD76C1B0-AAFC-E4CB-5228-A41B48279E49}"/>
              </a:ext>
            </a:extLst>
          </xdr:cNvPr>
          <xdr:cNvCxnSpPr/>
        </xdr:nvCxnSpPr>
        <xdr:spPr>
          <a:xfrm>
            <a:off x="8115300" y="6254750"/>
            <a:ext cx="606425" cy="0"/>
          </a:xfrm>
          <a:prstGeom prst="line">
            <a:avLst/>
          </a:prstGeom>
          <a:ln w="9525" cap="flat" cmpd="sng" algn="ctr">
            <a:solidFill>
              <a:srgbClr val="FF0000"/>
            </a:solidFill>
            <a:prstDash val="solid"/>
            <a:miter lim="800000"/>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sp macro="" textlink="">
        <xdr:nvSpPr>
          <xdr:cNvPr id="5" name="テキスト ボックス 4">
            <a:extLst>
              <a:ext uri="{FF2B5EF4-FFF2-40B4-BE49-F238E27FC236}">
                <a16:creationId xmlns:a16="http://schemas.microsoft.com/office/drawing/2014/main" id="{8F919FA7-431B-FAB2-AF7D-C445204F3702}"/>
              </a:ext>
            </a:extLst>
          </xdr:cNvPr>
          <xdr:cNvSpPr txBox="1"/>
        </xdr:nvSpPr>
        <xdr:spPr>
          <a:xfrm>
            <a:off x="8102600" y="5864225"/>
            <a:ext cx="6350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ja-JP" altLang="en-US" sz="900">
                <a:solidFill>
                  <a:srgbClr val="FF0000"/>
                </a:solidFill>
                <a:ea typeface="ＭＳ Ｐ明朝" panose="02020600040205080304" pitchFamily="18" charset="-128"/>
              </a:rPr>
              <a:t>生産部</a:t>
            </a:r>
          </a:p>
        </xdr:txBody>
      </xdr:sp>
      <xdr:sp macro="" textlink="">
        <xdr:nvSpPr>
          <xdr:cNvPr id="6" name="テキスト ボックス 5">
            <a:extLst>
              <a:ext uri="{FF2B5EF4-FFF2-40B4-BE49-F238E27FC236}">
                <a16:creationId xmlns:a16="http://schemas.microsoft.com/office/drawing/2014/main" id="{05C4E7C8-8681-5E3B-231E-57D275A00B38}"/>
              </a:ext>
            </a:extLst>
          </xdr:cNvPr>
          <xdr:cNvSpPr txBox="1"/>
        </xdr:nvSpPr>
        <xdr:spPr>
          <a:xfrm>
            <a:off x="8089900" y="6062663"/>
            <a:ext cx="6604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en-US" altLang="ja-JP" sz="825">
                <a:solidFill>
                  <a:srgbClr val="FF0000"/>
                </a:solidFill>
                <a:ea typeface="ＭＳ Ｐ明朝" panose="02020600040205080304" pitchFamily="18" charset="-128"/>
              </a:rPr>
              <a:t>2024/6/18</a:t>
            </a:r>
            <a:endParaRPr kumimoji="1" lang="ja-JP" altLang="en-US" sz="825">
              <a:solidFill>
                <a:srgbClr val="FF0000"/>
              </a:solidFill>
              <a:ea typeface="ＭＳ Ｐ明朝" panose="02020600040205080304" pitchFamily="18" charset="-128"/>
            </a:endParaRPr>
          </a:p>
        </xdr:txBody>
      </xdr:sp>
      <xdr:sp macro="" textlink="">
        <xdr:nvSpPr>
          <xdr:cNvPr id="7" name="テキスト ボックス 6">
            <a:extLst>
              <a:ext uri="{FF2B5EF4-FFF2-40B4-BE49-F238E27FC236}">
                <a16:creationId xmlns:a16="http://schemas.microsoft.com/office/drawing/2014/main" id="{ADD64669-2FFE-C208-0C0B-DCD2EA7595E5}"/>
              </a:ext>
            </a:extLst>
          </xdr:cNvPr>
          <xdr:cNvSpPr txBox="1"/>
        </xdr:nvSpPr>
        <xdr:spPr>
          <a:xfrm>
            <a:off x="8102600" y="6264275"/>
            <a:ext cx="6350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ja-JP" altLang="en-US" sz="900">
                <a:solidFill>
                  <a:srgbClr val="FF0000"/>
                </a:solidFill>
                <a:ea typeface="ＭＳ Ｐ明朝" panose="02020600040205080304" pitchFamily="18" charset="-128"/>
              </a:rPr>
              <a:t>髙田</a:t>
            </a:r>
          </a:p>
        </xdr:txBody>
      </xdr:sp>
    </xdr:grpSp>
    <xdr:clientData/>
  </xdr:twoCellAnchor>
</xdr:wsDr>
</file>

<file path=xl/drawings/drawing11.xml><?xml version="1.0" encoding="utf-8"?>
<xdr:wsDr xmlns:xdr="http://schemas.openxmlformats.org/drawingml/2006/spreadsheetDrawing" xmlns:a="http://schemas.openxmlformats.org/drawingml/2006/main">
  <xdr:twoCellAnchor>
    <xdr:from>
      <xdr:col>16</xdr:col>
      <xdr:colOff>132822</xdr:colOff>
      <xdr:row>26</xdr:row>
      <xdr:rowOff>108480</xdr:rowOff>
    </xdr:from>
    <xdr:to>
      <xdr:col>17</xdr:col>
      <xdr:colOff>291572</xdr:colOff>
      <xdr:row>29</xdr:row>
      <xdr:rowOff>139171</xdr:rowOff>
    </xdr:to>
    <xdr:grpSp>
      <xdr:nvGrpSpPr>
        <xdr:cNvPr id="8" name="グループ化 7">
          <a:extLst>
            <a:ext uri="{FF2B5EF4-FFF2-40B4-BE49-F238E27FC236}">
              <a16:creationId xmlns:a16="http://schemas.microsoft.com/office/drawing/2014/main" id="{A7CA71A0-2284-EFD8-9688-68D110CDC84B}"/>
            </a:ext>
          </a:extLst>
        </xdr:cNvPr>
        <xdr:cNvGrpSpPr/>
      </xdr:nvGrpSpPr>
      <xdr:grpSpPr>
        <a:xfrm>
          <a:off x="8260822" y="5580063"/>
          <a:ext cx="666750" cy="665691"/>
          <a:chOff x="8089900" y="5607050"/>
          <a:chExt cx="660400" cy="657225"/>
        </a:xfrm>
      </xdr:grpSpPr>
      <xdr:sp macro="" textlink="">
        <xdr:nvSpPr>
          <xdr:cNvPr id="2" name="楕円 1">
            <a:extLst>
              <a:ext uri="{FF2B5EF4-FFF2-40B4-BE49-F238E27FC236}">
                <a16:creationId xmlns:a16="http://schemas.microsoft.com/office/drawing/2014/main" id="{78F626E7-2A07-9FF1-E417-F1B349044652}"/>
              </a:ext>
            </a:extLst>
          </xdr:cNvPr>
          <xdr:cNvSpPr/>
        </xdr:nvSpPr>
        <xdr:spPr>
          <a:xfrm>
            <a:off x="8089900" y="5607050"/>
            <a:ext cx="657225" cy="657225"/>
          </a:xfrm>
          <a:prstGeom prst="ellipse">
            <a:avLst/>
          </a:prstGeom>
          <a:solidFill>
            <a:srgbClr xmlns:mc="http://schemas.openxmlformats.org/markup-compatibility/2006" xmlns:a14="http://schemas.microsoft.com/office/drawing/2010/main" val="FFFFFF" mc:Ignorable="a14" a14:legacySpreadsheetColorIndex="65"/>
          </a:solidFill>
          <a:ln w="19050" cap="flat" cmpd="sng" algn="ctr">
            <a:solidFill>
              <a:srgbClr val="FF0000"/>
            </a:solidFill>
            <a:prstDash val="solid"/>
            <a:miter lim="800000"/>
            <a:headEnd type="none" w="med" len="med"/>
            <a:tailEnd type="none" w="med" len="me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3" name="直線コネクタ 2">
            <a:extLst>
              <a:ext uri="{FF2B5EF4-FFF2-40B4-BE49-F238E27FC236}">
                <a16:creationId xmlns:a16="http://schemas.microsoft.com/office/drawing/2014/main" id="{2001B66E-835C-2B92-64A4-891BDF9C439E}"/>
              </a:ext>
            </a:extLst>
          </xdr:cNvPr>
          <xdr:cNvCxnSpPr/>
        </xdr:nvCxnSpPr>
        <xdr:spPr>
          <a:xfrm>
            <a:off x="8115300" y="5826125"/>
            <a:ext cx="606425" cy="0"/>
          </a:xfrm>
          <a:prstGeom prst="line">
            <a:avLst/>
          </a:prstGeom>
          <a:ln w="9525" cap="flat" cmpd="sng" algn="ctr">
            <a:solidFill>
              <a:srgbClr val="FF0000"/>
            </a:solidFill>
            <a:prstDash val="solid"/>
            <a:miter lim="800000"/>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xnSp macro="">
        <xdr:nvCxnSpPr>
          <xdr:cNvPr id="4" name="直線コネクタ 3">
            <a:extLst>
              <a:ext uri="{FF2B5EF4-FFF2-40B4-BE49-F238E27FC236}">
                <a16:creationId xmlns:a16="http://schemas.microsoft.com/office/drawing/2014/main" id="{C18E4F21-B2E3-6EC4-4C26-CE02F21A1E61}"/>
              </a:ext>
            </a:extLst>
          </xdr:cNvPr>
          <xdr:cNvCxnSpPr/>
        </xdr:nvCxnSpPr>
        <xdr:spPr>
          <a:xfrm>
            <a:off x="8115300" y="6045200"/>
            <a:ext cx="606425" cy="0"/>
          </a:xfrm>
          <a:prstGeom prst="line">
            <a:avLst/>
          </a:prstGeom>
          <a:ln w="9525" cap="flat" cmpd="sng" algn="ctr">
            <a:solidFill>
              <a:srgbClr val="FF0000"/>
            </a:solidFill>
            <a:prstDash val="solid"/>
            <a:miter lim="800000"/>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sp macro="" textlink="">
        <xdr:nvSpPr>
          <xdr:cNvPr id="5" name="テキスト ボックス 4">
            <a:extLst>
              <a:ext uri="{FF2B5EF4-FFF2-40B4-BE49-F238E27FC236}">
                <a16:creationId xmlns:a16="http://schemas.microsoft.com/office/drawing/2014/main" id="{31CF45BC-9EEB-FD35-6284-F0B3F37322B7}"/>
              </a:ext>
            </a:extLst>
          </xdr:cNvPr>
          <xdr:cNvSpPr txBox="1"/>
        </xdr:nvSpPr>
        <xdr:spPr>
          <a:xfrm>
            <a:off x="8102600" y="5654675"/>
            <a:ext cx="6350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ja-JP" altLang="en-US" sz="900">
                <a:solidFill>
                  <a:srgbClr val="FF0000"/>
                </a:solidFill>
                <a:ea typeface="ＭＳ Ｐ明朝" panose="02020600040205080304" pitchFamily="18" charset="-128"/>
              </a:rPr>
              <a:t>生産部</a:t>
            </a:r>
          </a:p>
        </xdr:txBody>
      </xdr:sp>
      <xdr:sp macro="" textlink="">
        <xdr:nvSpPr>
          <xdr:cNvPr id="6" name="テキスト ボックス 5">
            <a:extLst>
              <a:ext uri="{FF2B5EF4-FFF2-40B4-BE49-F238E27FC236}">
                <a16:creationId xmlns:a16="http://schemas.microsoft.com/office/drawing/2014/main" id="{56DCAE84-EC89-D839-6D8E-0FB95BC1F0AD}"/>
              </a:ext>
            </a:extLst>
          </xdr:cNvPr>
          <xdr:cNvSpPr txBox="1"/>
        </xdr:nvSpPr>
        <xdr:spPr>
          <a:xfrm>
            <a:off x="8089900" y="5853113"/>
            <a:ext cx="6604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en-US" altLang="ja-JP" sz="825">
                <a:solidFill>
                  <a:srgbClr val="FF0000"/>
                </a:solidFill>
                <a:ea typeface="ＭＳ Ｐ明朝" panose="02020600040205080304" pitchFamily="18" charset="-128"/>
              </a:rPr>
              <a:t>2024/4/13</a:t>
            </a:r>
            <a:endParaRPr kumimoji="1" lang="ja-JP" altLang="en-US" sz="825">
              <a:solidFill>
                <a:srgbClr val="FF0000"/>
              </a:solidFill>
              <a:ea typeface="ＭＳ Ｐ明朝" panose="02020600040205080304" pitchFamily="18" charset="-128"/>
            </a:endParaRPr>
          </a:p>
        </xdr:txBody>
      </xdr:sp>
      <xdr:sp macro="" textlink="">
        <xdr:nvSpPr>
          <xdr:cNvPr id="7" name="テキスト ボックス 6">
            <a:extLst>
              <a:ext uri="{FF2B5EF4-FFF2-40B4-BE49-F238E27FC236}">
                <a16:creationId xmlns:a16="http://schemas.microsoft.com/office/drawing/2014/main" id="{F17E9FB6-7058-DB14-A06D-410153574E84}"/>
              </a:ext>
            </a:extLst>
          </xdr:cNvPr>
          <xdr:cNvSpPr txBox="1"/>
        </xdr:nvSpPr>
        <xdr:spPr>
          <a:xfrm>
            <a:off x="8102600" y="6054725"/>
            <a:ext cx="6350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ja-JP" altLang="en-US" sz="900">
                <a:solidFill>
                  <a:srgbClr val="FF0000"/>
                </a:solidFill>
                <a:ea typeface="ＭＳ Ｐ明朝" panose="02020600040205080304" pitchFamily="18" charset="-128"/>
              </a:rPr>
              <a:t>髙田</a:t>
            </a:r>
          </a:p>
        </xdr:txBody>
      </xdr:sp>
    </xdr:grpSp>
    <xdr:clientData/>
  </xdr:twoCellAnchor>
</xdr:wsDr>
</file>

<file path=xl/drawings/drawing12.xml><?xml version="1.0" encoding="utf-8"?>
<xdr:wsDr xmlns:xdr="http://schemas.openxmlformats.org/drawingml/2006/spreadsheetDrawing" xmlns:a="http://schemas.openxmlformats.org/drawingml/2006/main">
  <xdr:twoCellAnchor>
    <xdr:from>
      <xdr:col>16</xdr:col>
      <xdr:colOff>164571</xdr:colOff>
      <xdr:row>26</xdr:row>
      <xdr:rowOff>119063</xdr:rowOff>
    </xdr:from>
    <xdr:to>
      <xdr:col>17</xdr:col>
      <xdr:colOff>323321</xdr:colOff>
      <xdr:row>29</xdr:row>
      <xdr:rowOff>149755</xdr:rowOff>
    </xdr:to>
    <xdr:grpSp>
      <xdr:nvGrpSpPr>
        <xdr:cNvPr id="8" name="グループ化 7">
          <a:extLst>
            <a:ext uri="{FF2B5EF4-FFF2-40B4-BE49-F238E27FC236}">
              <a16:creationId xmlns:a16="http://schemas.microsoft.com/office/drawing/2014/main" id="{2A385EE9-2933-F143-6CD7-6BB182018431}"/>
            </a:ext>
          </a:extLst>
        </xdr:cNvPr>
        <xdr:cNvGrpSpPr/>
      </xdr:nvGrpSpPr>
      <xdr:grpSpPr>
        <a:xfrm>
          <a:off x="8292571" y="5590646"/>
          <a:ext cx="666750" cy="665692"/>
          <a:chOff x="8089900" y="5816600"/>
          <a:chExt cx="660400" cy="657225"/>
        </a:xfrm>
      </xdr:grpSpPr>
      <xdr:sp macro="" textlink="">
        <xdr:nvSpPr>
          <xdr:cNvPr id="2" name="楕円 1">
            <a:extLst>
              <a:ext uri="{FF2B5EF4-FFF2-40B4-BE49-F238E27FC236}">
                <a16:creationId xmlns:a16="http://schemas.microsoft.com/office/drawing/2014/main" id="{55F29387-5079-FBBF-10E7-9F47F11E6B9B}"/>
              </a:ext>
            </a:extLst>
          </xdr:cNvPr>
          <xdr:cNvSpPr/>
        </xdr:nvSpPr>
        <xdr:spPr>
          <a:xfrm>
            <a:off x="8089900" y="5816600"/>
            <a:ext cx="657225" cy="657225"/>
          </a:xfrm>
          <a:prstGeom prst="ellipse">
            <a:avLst/>
          </a:prstGeom>
          <a:solidFill>
            <a:srgbClr xmlns:mc="http://schemas.openxmlformats.org/markup-compatibility/2006" xmlns:a14="http://schemas.microsoft.com/office/drawing/2010/main" val="FFFFFF" mc:Ignorable="a14" a14:legacySpreadsheetColorIndex="65"/>
          </a:solidFill>
          <a:ln w="19050" cap="flat" cmpd="sng" algn="ctr">
            <a:solidFill>
              <a:srgbClr val="FF0000"/>
            </a:solidFill>
            <a:prstDash val="solid"/>
            <a:miter lim="800000"/>
            <a:headEnd type="none" w="med" len="med"/>
            <a:tailEnd type="none" w="med" len="me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3" name="直線コネクタ 2">
            <a:extLst>
              <a:ext uri="{FF2B5EF4-FFF2-40B4-BE49-F238E27FC236}">
                <a16:creationId xmlns:a16="http://schemas.microsoft.com/office/drawing/2014/main" id="{B4044238-E5F7-5104-2B50-2A81D7C22D62}"/>
              </a:ext>
            </a:extLst>
          </xdr:cNvPr>
          <xdr:cNvCxnSpPr/>
        </xdr:nvCxnSpPr>
        <xdr:spPr>
          <a:xfrm>
            <a:off x="8115300" y="6035675"/>
            <a:ext cx="606425" cy="0"/>
          </a:xfrm>
          <a:prstGeom prst="line">
            <a:avLst/>
          </a:prstGeom>
          <a:ln w="9525" cap="flat" cmpd="sng" algn="ctr">
            <a:solidFill>
              <a:srgbClr val="FF0000"/>
            </a:solidFill>
            <a:prstDash val="solid"/>
            <a:miter lim="800000"/>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xnSp macro="">
        <xdr:nvCxnSpPr>
          <xdr:cNvPr id="4" name="直線コネクタ 3">
            <a:extLst>
              <a:ext uri="{FF2B5EF4-FFF2-40B4-BE49-F238E27FC236}">
                <a16:creationId xmlns:a16="http://schemas.microsoft.com/office/drawing/2014/main" id="{A7E51AA0-0551-ED4E-878F-707F863B5F72}"/>
              </a:ext>
            </a:extLst>
          </xdr:cNvPr>
          <xdr:cNvCxnSpPr/>
        </xdr:nvCxnSpPr>
        <xdr:spPr>
          <a:xfrm>
            <a:off x="8115300" y="6254750"/>
            <a:ext cx="606425" cy="0"/>
          </a:xfrm>
          <a:prstGeom prst="line">
            <a:avLst/>
          </a:prstGeom>
          <a:ln w="9525" cap="flat" cmpd="sng" algn="ctr">
            <a:solidFill>
              <a:srgbClr val="FF0000"/>
            </a:solidFill>
            <a:prstDash val="solid"/>
            <a:miter lim="800000"/>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sp macro="" textlink="">
        <xdr:nvSpPr>
          <xdr:cNvPr id="5" name="テキスト ボックス 4">
            <a:extLst>
              <a:ext uri="{FF2B5EF4-FFF2-40B4-BE49-F238E27FC236}">
                <a16:creationId xmlns:a16="http://schemas.microsoft.com/office/drawing/2014/main" id="{D4084789-423F-73CD-4619-0EC0FCD59EDD}"/>
              </a:ext>
            </a:extLst>
          </xdr:cNvPr>
          <xdr:cNvSpPr txBox="1"/>
        </xdr:nvSpPr>
        <xdr:spPr>
          <a:xfrm>
            <a:off x="8102600" y="5864225"/>
            <a:ext cx="6350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ja-JP" altLang="en-US" sz="900">
                <a:solidFill>
                  <a:srgbClr val="FF0000"/>
                </a:solidFill>
                <a:ea typeface="ＭＳ Ｐ明朝" panose="02020600040205080304" pitchFamily="18" charset="-128"/>
              </a:rPr>
              <a:t>生産部</a:t>
            </a:r>
          </a:p>
        </xdr:txBody>
      </xdr:sp>
      <xdr:sp macro="" textlink="">
        <xdr:nvSpPr>
          <xdr:cNvPr id="6" name="テキスト ボックス 5">
            <a:extLst>
              <a:ext uri="{FF2B5EF4-FFF2-40B4-BE49-F238E27FC236}">
                <a16:creationId xmlns:a16="http://schemas.microsoft.com/office/drawing/2014/main" id="{94138B15-CFB8-255B-15B4-706187675776}"/>
              </a:ext>
            </a:extLst>
          </xdr:cNvPr>
          <xdr:cNvSpPr txBox="1"/>
        </xdr:nvSpPr>
        <xdr:spPr>
          <a:xfrm>
            <a:off x="8089900" y="6062663"/>
            <a:ext cx="6604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en-US" altLang="ja-JP" sz="825">
                <a:solidFill>
                  <a:srgbClr val="FF0000"/>
                </a:solidFill>
                <a:ea typeface="ＭＳ Ｐ明朝" panose="02020600040205080304" pitchFamily="18" charset="-128"/>
              </a:rPr>
              <a:t>2024/2/13</a:t>
            </a:r>
            <a:endParaRPr kumimoji="1" lang="ja-JP" altLang="en-US" sz="825">
              <a:solidFill>
                <a:srgbClr val="FF0000"/>
              </a:solidFill>
              <a:ea typeface="ＭＳ Ｐ明朝" panose="02020600040205080304" pitchFamily="18" charset="-128"/>
            </a:endParaRPr>
          </a:p>
        </xdr:txBody>
      </xdr:sp>
      <xdr:sp macro="" textlink="">
        <xdr:nvSpPr>
          <xdr:cNvPr id="7" name="テキスト ボックス 6">
            <a:extLst>
              <a:ext uri="{FF2B5EF4-FFF2-40B4-BE49-F238E27FC236}">
                <a16:creationId xmlns:a16="http://schemas.microsoft.com/office/drawing/2014/main" id="{7FE573F7-B9C5-8F68-E8D8-F25DD0B5D113}"/>
              </a:ext>
            </a:extLst>
          </xdr:cNvPr>
          <xdr:cNvSpPr txBox="1"/>
        </xdr:nvSpPr>
        <xdr:spPr>
          <a:xfrm>
            <a:off x="8102600" y="6264275"/>
            <a:ext cx="6350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ja-JP" altLang="en-US" sz="900">
                <a:solidFill>
                  <a:srgbClr val="FF0000"/>
                </a:solidFill>
                <a:ea typeface="ＭＳ Ｐ明朝" panose="02020600040205080304" pitchFamily="18" charset="-128"/>
              </a:rPr>
              <a:t>髙田</a:t>
            </a:r>
          </a:p>
        </xdr:txBody>
      </xdr:sp>
    </xdr:grpSp>
    <xdr:clientData/>
  </xdr:twoCellAnchor>
</xdr:wsDr>
</file>

<file path=xl/drawings/drawing13.xml><?xml version="1.0" encoding="utf-8"?>
<xdr:wsDr xmlns:xdr="http://schemas.openxmlformats.org/drawingml/2006/spreadsheetDrawing" xmlns:a="http://schemas.openxmlformats.org/drawingml/2006/main">
  <xdr:twoCellAnchor>
    <xdr:from>
      <xdr:col>16</xdr:col>
      <xdr:colOff>185738</xdr:colOff>
      <xdr:row>27</xdr:row>
      <xdr:rowOff>108479</xdr:rowOff>
    </xdr:from>
    <xdr:to>
      <xdr:col>17</xdr:col>
      <xdr:colOff>344488</xdr:colOff>
      <xdr:row>30</xdr:row>
      <xdr:rowOff>139171</xdr:rowOff>
    </xdr:to>
    <xdr:grpSp>
      <xdr:nvGrpSpPr>
        <xdr:cNvPr id="8" name="グループ化 7">
          <a:extLst>
            <a:ext uri="{FF2B5EF4-FFF2-40B4-BE49-F238E27FC236}">
              <a16:creationId xmlns:a16="http://schemas.microsoft.com/office/drawing/2014/main" id="{79324111-30FE-C93D-4D58-DF25F0F67494}"/>
            </a:ext>
          </a:extLst>
        </xdr:cNvPr>
        <xdr:cNvGrpSpPr/>
      </xdr:nvGrpSpPr>
      <xdr:grpSpPr>
        <a:xfrm>
          <a:off x="8313738" y="5791729"/>
          <a:ext cx="666750" cy="665692"/>
          <a:chOff x="8089900" y="5816600"/>
          <a:chExt cx="660400" cy="657225"/>
        </a:xfrm>
      </xdr:grpSpPr>
      <xdr:sp macro="" textlink="">
        <xdr:nvSpPr>
          <xdr:cNvPr id="2" name="楕円 1">
            <a:extLst>
              <a:ext uri="{FF2B5EF4-FFF2-40B4-BE49-F238E27FC236}">
                <a16:creationId xmlns:a16="http://schemas.microsoft.com/office/drawing/2014/main" id="{4E12748A-C65F-6D30-B376-DD90B1C1219E}"/>
              </a:ext>
            </a:extLst>
          </xdr:cNvPr>
          <xdr:cNvSpPr/>
        </xdr:nvSpPr>
        <xdr:spPr>
          <a:xfrm>
            <a:off x="8089900" y="5816600"/>
            <a:ext cx="657225" cy="657225"/>
          </a:xfrm>
          <a:prstGeom prst="ellipse">
            <a:avLst/>
          </a:prstGeom>
          <a:solidFill>
            <a:srgbClr xmlns:mc="http://schemas.openxmlformats.org/markup-compatibility/2006" xmlns:a14="http://schemas.microsoft.com/office/drawing/2010/main" val="FFFFFF" mc:Ignorable="a14" a14:legacySpreadsheetColorIndex="65"/>
          </a:solidFill>
          <a:ln w="19050" cap="flat" cmpd="sng" algn="ctr">
            <a:solidFill>
              <a:srgbClr val="FF0000"/>
            </a:solidFill>
            <a:prstDash val="solid"/>
            <a:miter lim="800000"/>
            <a:headEnd type="none" w="med" len="med"/>
            <a:tailEnd type="none" w="med" len="me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3" name="直線コネクタ 2">
            <a:extLst>
              <a:ext uri="{FF2B5EF4-FFF2-40B4-BE49-F238E27FC236}">
                <a16:creationId xmlns:a16="http://schemas.microsoft.com/office/drawing/2014/main" id="{155D8173-BE37-E49A-B1F3-CB60BB84F60F}"/>
              </a:ext>
            </a:extLst>
          </xdr:cNvPr>
          <xdr:cNvCxnSpPr/>
        </xdr:nvCxnSpPr>
        <xdr:spPr>
          <a:xfrm>
            <a:off x="8115300" y="6035675"/>
            <a:ext cx="606425" cy="0"/>
          </a:xfrm>
          <a:prstGeom prst="line">
            <a:avLst/>
          </a:prstGeom>
          <a:ln w="9525" cap="flat" cmpd="sng" algn="ctr">
            <a:solidFill>
              <a:srgbClr val="FF0000"/>
            </a:solidFill>
            <a:prstDash val="solid"/>
            <a:miter lim="800000"/>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xnSp macro="">
        <xdr:nvCxnSpPr>
          <xdr:cNvPr id="4" name="直線コネクタ 3">
            <a:extLst>
              <a:ext uri="{FF2B5EF4-FFF2-40B4-BE49-F238E27FC236}">
                <a16:creationId xmlns:a16="http://schemas.microsoft.com/office/drawing/2014/main" id="{059A24AE-FB47-15B0-2339-82CEFD093E92}"/>
              </a:ext>
            </a:extLst>
          </xdr:cNvPr>
          <xdr:cNvCxnSpPr/>
        </xdr:nvCxnSpPr>
        <xdr:spPr>
          <a:xfrm>
            <a:off x="8115300" y="6254750"/>
            <a:ext cx="606425" cy="0"/>
          </a:xfrm>
          <a:prstGeom prst="line">
            <a:avLst/>
          </a:prstGeom>
          <a:ln w="9525" cap="flat" cmpd="sng" algn="ctr">
            <a:solidFill>
              <a:srgbClr val="FF0000"/>
            </a:solidFill>
            <a:prstDash val="solid"/>
            <a:miter lim="800000"/>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sp macro="" textlink="">
        <xdr:nvSpPr>
          <xdr:cNvPr id="5" name="テキスト ボックス 4">
            <a:extLst>
              <a:ext uri="{FF2B5EF4-FFF2-40B4-BE49-F238E27FC236}">
                <a16:creationId xmlns:a16="http://schemas.microsoft.com/office/drawing/2014/main" id="{D39B6860-C1C8-41A1-0DCE-82A8843DB71E}"/>
              </a:ext>
            </a:extLst>
          </xdr:cNvPr>
          <xdr:cNvSpPr txBox="1"/>
        </xdr:nvSpPr>
        <xdr:spPr>
          <a:xfrm>
            <a:off x="8102600" y="5864225"/>
            <a:ext cx="6350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ja-JP" altLang="en-US" sz="900">
                <a:solidFill>
                  <a:srgbClr val="FF0000"/>
                </a:solidFill>
                <a:ea typeface="ＭＳ Ｐ明朝" panose="02020600040205080304" pitchFamily="18" charset="-128"/>
              </a:rPr>
              <a:t>生産部</a:t>
            </a:r>
          </a:p>
        </xdr:txBody>
      </xdr:sp>
      <xdr:sp macro="" textlink="">
        <xdr:nvSpPr>
          <xdr:cNvPr id="6" name="テキスト ボックス 5">
            <a:extLst>
              <a:ext uri="{FF2B5EF4-FFF2-40B4-BE49-F238E27FC236}">
                <a16:creationId xmlns:a16="http://schemas.microsoft.com/office/drawing/2014/main" id="{A550B6DA-2E6B-5407-C9B5-9D833D2E6924}"/>
              </a:ext>
            </a:extLst>
          </xdr:cNvPr>
          <xdr:cNvSpPr txBox="1"/>
        </xdr:nvSpPr>
        <xdr:spPr>
          <a:xfrm>
            <a:off x="8089900" y="6062663"/>
            <a:ext cx="6604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en-US" altLang="ja-JP" sz="825">
                <a:solidFill>
                  <a:srgbClr val="FF0000"/>
                </a:solidFill>
                <a:ea typeface="ＭＳ Ｐ明朝" panose="02020600040205080304" pitchFamily="18" charset="-128"/>
              </a:rPr>
              <a:t>2023/12/18</a:t>
            </a:r>
            <a:endParaRPr kumimoji="1" lang="ja-JP" altLang="en-US" sz="825">
              <a:solidFill>
                <a:srgbClr val="FF0000"/>
              </a:solidFill>
              <a:ea typeface="ＭＳ Ｐ明朝" panose="02020600040205080304" pitchFamily="18" charset="-128"/>
            </a:endParaRPr>
          </a:p>
        </xdr:txBody>
      </xdr:sp>
      <xdr:sp macro="" textlink="">
        <xdr:nvSpPr>
          <xdr:cNvPr id="7" name="テキスト ボックス 6">
            <a:extLst>
              <a:ext uri="{FF2B5EF4-FFF2-40B4-BE49-F238E27FC236}">
                <a16:creationId xmlns:a16="http://schemas.microsoft.com/office/drawing/2014/main" id="{EC3E8284-A71B-54B6-5256-5BD40530FAD1}"/>
              </a:ext>
            </a:extLst>
          </xdr:cNvPr>
          <xdr:cNvSpPr txBox="1"/>
        </xdr:nvSpPr>
        <xdr:spPr>
          <a:xfrm>
            <a:off x="8102600" y="6264275"/>
            <a:ext cx="6350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ja-JP" altLang="en-US" sz="900">
                <a:solidFill>
                  <a:srgbClr val="FF0000"/>
                </a:solidFill>
                <a:ea typeface="ＭＳ Ｐ明朝" panose="02020600040205080304" pitchFamily="18" charset="-128"/>
              </a:rPr>
              <a:t>髙田</a:t>
            </a:r>
          </a:p>
        </xdr:txBody>
      </xdr:sp>
    </xdr:grpSp>
    <xdr:clientData/>
  </xdr:twoCellAnchor>
</xdr:wsDr>
</file>

<file path=xl/drawings/drawing14.xml><?xml version="1.0" encoding="utf-8"?>
<xdr:wsDr xmlns:xdr="http://schemas.openxmlformats.org/drawingml/2006/spreadsheetDrawing" xmlns:a="http://schemas.openxmlformats.org/drawingml/2006/main">
  <xdr:twoCellAnchor>
    <xdr:from>
      <xdr:col>15</xdr:col>
      <xdr:colOff>439738</xdr:colOff>
      <xdr:row>26</xdr:row>
      <xdr:rowOff>182563</xdr:rowOff>
    </xdr:from>
    <xdr:to>
      <xdr:col>17</xdr:col>
      <xdr:colOff>90488</xdr:colOff>
      <xdr:row>30</xdr:row>
      <xdr:rowOff>1588</xdr:rowOff>
    </xdr:to>
    <xdr:grpSp>
      <xdr:nvGrpSpPr>
        <xdr:cNvPr id="8" name="グループ化 7">
          <a:extLst>
            <a:ext uri="{FF2B5EF4-FFF2-40B4-BE49-F238E27FC236}">
              <a16:creationId xmlns:a16="http://schemas.microsoft.com/office/drawing/2014/main" id="{7BA66844-2C54-EFA4-A032-AF7E33FE3902}"/>
            </a:ext>
          </a:extLst>
        </xdr:cNvPr>
        <xdr:cNvGrpSpPr/>
      </xdr:nvGrpSpPr>
      <xdr:grpSpPr>
        <a:xfrm>
          <a:off x="8059738" y="5654146"/>
          <a:ext cx="666750" cy="665692"/>
          <a:chOff x="8089900" y="5816600"/>
          <a:chExt cx="660400" cy="657225"/>
        </a:xfrm>
      </xdr:grpSpPr>
      <xdr:sp macro="" textlink="">
        <xdr:nvSpPr>
          <xdr:cNvPr id="2" name="楕円 1">
            <a:extLst>
              <a:ext uri="{FF2B5EF4-FFF2-40B4-BE49-F238E27FC236}">
                <a16:creationId xmlns:a16="http://schemas.microsoft.com/office/drawing/2014/main" id="{5F6499CD-2189-9A75-F8BA-60AB70E92FF6}"/>
              </a:ext>
            </a:extLst>
          </xdr:cNvPr>
          <xdr:cNvSpPr/>
        </xdr:nvSpPr>
        <xdr:spPr>
          <a:xfrm>
            <a:off x="8089900" y="5816600"/>
            <a:ext cx="657225" cy="657225"/>
          </a:xfrm>
          <a:prstGeom prst="ellipse">
            <a:avLst/>
          </a:prstGeom>
          <a:solidFill>
            <a:srgbClr xmlns:mc="http://schemas.openxmlformats.org/markup-compatibility/2006" xmlns:a14="http://schemas.microsoft.com/office/drawing/2010/main" val="FFFFFF" mc:Ignorable="a14" a14:legacySpreadsheetColorIndex="65"/>
          </a:solidFill>
          <a:ln w="19050" cap="flat" cmpd="sng" algn="ctr">
            <a:solidFill>
              <a:srgbClr val="FF0000"/>
            </a:solidFill>
            <a:prstDash val="solid"/>
            <a:miter lim="800000"/>
            <a:headEnd type="none" w="med" len="med"/>
            <a:tailEnd type="none" w="med" len="me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3" name="直線コネクタ 2">
            <a:extLst>
              <a:ext uri="{FF2B5EF4-FFF2-40B4-BE49-F238E27FC236}">
                <a16:creationId xmlns:a16="http://schemas.microsoft.com/office/drawing/2014/main" id="{017E1E2A-C082-57BA-BEC0-D9756682B77A}"/>
              </a:ext>
            </a:extLst>
          </xdr:cNvPr>
          <xdr:cNvCxnSpPr/>
        </xdr:nvCxnSpPr>
        <xdr:spPr>
          <a:xfrm>
            <a:off x="8115300" y="6035675"/>
            <a:ext cx="606425" cy="0"/>
          </a:xfrm>
          <a:prstGeom prst="line">
            <a:avLst/>
          </a:prstGeom>
          <a:ln w="9525" cap="flat" cmpd="sng" algn="ctr">
            <a:solidFill>
              <a:srgbClr val="FF0000"/>
            </a:solidFill>
            <a:prstDash val="solid"/>
            <a:miter lim="800000"/>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xnSp macro="">
        <xdr:nvCxnSpPr>
          <xdr:cNvPr id="4" name="直線コネクタ 3">
            <a:extLst>
              <a:ext uri="{FF2B5EF4-FFF2-40B4-BE49-F238E27FC236}">
                <a16:creationId xmlns:a16="http://schemas.microsoft.com/office/drawing/2014/main" id="{4A5393FB-F17C-614A-57AA-1DB43B516EA8}"/>
              </a:ext>
            </a:extLst>
          </xdr:cNvPr>
          <xdr:cNvCxnSpPr/>
        </xdr:nvCxnSpPr>
        <xdr:spPr>
          <a:xfrm>
            <a:off x="8115300" y="6254750"/>
            <a:ext cx="606425" cy="0"/>
          </a:xfrm>
          <a:prstGeom prst="line">
            <a:avLst/>
          </a:prstGeom>
          <a:ln w="9525" cap="flat" cmpd="sng" algn="ctr">
            <a:solidFill>
              <a:srgbClr val="FF0000"/>
            </a:solidFill>
            <a:prstDash val="solid"/>
            <a:miter lim="800000"/>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sp macro="" textlink="">
        <xdr:nvSpPr>
          <xdr:cNvPr id="5" name="テキスト ボックス 4">
            <a:extLst>
              <a:ext uri="{FF2B5EF4-FFF2-40B4-BE49-F238E27FC236}">
                <a16:creationId xmlns:a16="http://schemas.microsoft.com/office/drawing/2014/main" id="{E0F71AD8-F165-BD6E-7423-82B213CB9D7F}"/>
              </a:ext>
            </a:extLst>
          </xdr:cNvPr>
          <xdr:cNvSpPr txBox="1"/>
        </xdr:nvSpPr>
        <xdr:spPr>
          <a:xfrm>
            <a:off x="8102600" y="5864225"/>
            <a:ext cx="6350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ja-JP" altLang="en-US" sz="900">
                <a:solidFill>
                  <a:srgbClr val="FF0000"/>
                </a:solidFill>
                <a:ea typeface="ＭＳ Ｐ明朝" panose="02020600040205080304" pitchFamily="18" charset="-128"/>
              </a:rPr>
              <a:t>生産部</a:t>
            </a:r>
          </a:p>
        </xdr:txBody>
      </xdr:sp>
      <xdr:sp macro="" textlink="">
        <xdr:nvSpPr>
          <xdr:cNvPr id="6" name="テキスト ボックス 5">
            <a:extLst>
              <a:ext uri="{FF2B5EF4-FFF2-40B4-BE49-F238E27FC236}">
                <a16:creationId xmlns:a16="http://schemas.microsoft.com/office/drawing/2014/main" id="{FF936F1A-6950-CB42-DD07-61D7E4E71D7C}"/>
              </a:ext>
            </a:extLst>
          </xdr:cNvPr>
          <xdr:cNvSpPr txBox="1"/>
        </xdr:nvSpPr>
        <xdr:spPr>
          <a:xfrm>
            <a:off x="8089900" y="6062663"/>
            <a:ext cx="6604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en-US" altLang="ja-JP" sz="825">
                <a:solidFill>
                  <a:srgbClr val="FF0000"/>
                </a:solidFill>
                <a:ea typeface="ＭＳ Ｐ明朝" panose="02020600040205080304" pitchFamily="18" charset="-128"/>
              </a:rPr>
              <a:t>2023/10/17</a:t>
            </a:r>
            <a:endParaRPr kumimoji="1" lang="ja-JP" altLang="en-US" sz="825">
              <a:solidFill>
                <a:srgbClr val="FF0000"/>
              </a:solidFill>
              <a:ea typeface="ＭＳ Ｐ明朝" panose="02020600040205080304" pitchFamily="18" charset="-128"/>
            </a:endParaRPr>
          </a:p>
        </xdr:txBody>
      </xdr:sp>
      <xdr:sp macro="" textlink="">
        <xdr:nvSpPr>
          <xdr:cNvPr id="7" name="テキスト ボックス 6">
            <a:extLst>
              <a:ext uri="{FF2B5EF4-FFF2-40B4-BE49-F238E27FC236}">
                <a16:creationId xmlns:a16="http://schemas.microsoft.com/office/drawing/2014/main" id="{A1B37B7D-9A29-4D7F-E7A0-E5BDD77147F6}"/>
              </a:ext>
            </a:extLst>
          </xdr:cNvPr>
          <xdr:cNvSpPr txBox="1"/>
        </xdr:nvSpPr>
        <xdr:spPr>
          <a:xfrm>
            <a:off x="8102600" y="6264275"/>
            <a:ext cx="6350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ja-JP" altLang="en-US" sz="900">
                <a:solidFill>
                  <a:srgbClr val="FF0000"/>
                </a:solidFill>
                <a:ea typeface="ＭＳ Ｐ明朝" panose="02020600040205080304" pitchFamily="18" charset="-128"/>
              </a:rPr>
              <a:t>髙田</a:t>
            </a:r>
          </a:p>
        </xdr:txBody>
      </xdr:sp>
    </xdr:grpSp>
    <xdr:clientData/>
  </xdr:twoCellAnchor>
</xdr:wsDr>
</file>

<file path=xl/drawings/drawing15.xml><?xml version="1.0" encoding="utf-8"?>
<xdr:wsDr xmlns:xdr="http://schemas.openxmlformats.org/drawingml/2006/spreadsheetDrawing" xmlns:a="http://schemas.openxmlformats.org/drawingml/2006/main">
  <xdr:twoCellAnchor>
    <xdr:from>
      <xdr:col>6</xdr:col>
      <xdr:colOff>19050</xdr:colOff>
      <xdr:row>26</xdr:row>
      <xdr:rowOff>190500</xdr:rowOff>
    </xdr:from>
    <xdr:to>
      <xdr:col>12</xdr:col>
      <xdr:colOff>9525</xdr:colOff>
      <xdr:row>33</xdr:row>
      <xdr:rowOff>171450</xdr:rowOff>
    </xdr:to>
    <xdr:cxnSp macro="">
      <xdr:nvCxnSpPr>
        <xdr:cNvPr id="12" name="直線コネクタ 11">
          <a:extLst>
            <a:ext uri="{FF2B5EF4-FFF2-40B4-BE49-F238E27FC236}">
              <a16:creationId xmlns:a16="http://schemas.microsoft.com/office/drawing/2014/main" id="{D8F6BC74-5AA1-0198-7B2A-39C22091EDB4}"/>
            </a:ext>
          </a:extLst>
        </xdr:cNvPr>
        <xdr:cNvCxnSpPr/>
      </xdr:nvCxnSpPr>
      <xdr:spPr>
        <a:xfrm flipH="1">
          <a:off x="3048000" y="5600700"/>
          <a:ext cx="3019425" cy="144780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439738</xdr:colOff>
      <xdr:row>26</xdr:row>
      <xdr:rowOff>182563</xdr:rowOff>
    </xdr:from>
    <xdr:to>
      <xdr:col>17</xdr:col>
      <xdr:colOff>90488</xdr:colOff>
      <xdr:row>30</xdr:row>
      <xdr:rowOff>1588</xdr:rowOff>
    </xdr:to>
    <xdr:grpSp>
      <xdr:nvGrpSpPr>
        <xdr:cNvPr id="8" name="グループ化 7">
          <a:extLst>
            <a:ext uri="{FF2B5EF4-FFF2-40B4-BE49-F238E27FC236}">
              <a16:creationId xmlns:a16="http://schemas.microsoft.com/office/drawing/2014/main" id="{C918AE17-38AB-1943-5066-4507C755D559}"/>
            </a:ext>
          </a:extLst>
        </xdr:cNvPr>
        <xdr:cNvGrpSpPr/>
      </xdr:nvGrpSpPr>
      <xdr:grpSpPr>
        <a:xfrm>
          <a:off x="7959475" y="5616826"/>
          <a:ext cx="653381" cy="661236"/>
          <a:chOff x="8089900" y="5816600"/>
          <a:chExt cx="660400" cy="657225"/>
        </a:xfrm>
      </xdr:grpSpPr>
      <xdr:sp macro="" textlink="">
        <xdr:nvSpPr>
          <xdr:cNvPr id="2" name="楕円 1">
            <a:extLst>
              <a:ext uri="{FF2B5EF4-FFF2-40B4-BE49-F238E27FC236}">
                <a16:creationId xmlns:a16="http://schemas.microsoft.com/office/drawing/2014/main" id="{DFF568EA-055E-9692-6973-039E0DC4018D}"/>
              </a:ext>
            </a:extLst>
          </xdr:cNvPr>
          <xdr:cNvSpPr/>
        </xdr:nvSpPr>
        <xdr:spPr>
          <a:xfrm>
            <a:off x="8089900" y="5816600"/>
            <a:ext cx="657225" cy="657225"/>
          </a:xfrm>
          <a:prstGeom prst="ellipse">
            <a:avLst/>
          </a:prstGeom>
          <a:solidFill>
            <a:srgbClr xmlns:mc="http://schemas.openxmlformats.org/markup-compatibility/2006" xmlns:a14="http://schemas.microsoft.com/office/drawing/2010/main" val="FFFFFF" mc:Ignorable="a14" a14:legacySpreadsheetColorIndex="65"/>
          </a:solidFill>
          <a:ln w="19050" cap="flat" cmpd="sng" algn="ctr">
            <a:solidFill>
              <a:srgbClr val="FF0000"/>
            </a:solidFill>
            <a:prstDash val="solid"/>
            <a:miter lim="800000"/>
            <a:headEnd type="none" w="med" len="med"/>
            <a:tailEnd type="none" w="med" len="me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3" name="直線コネクタ 2">
            <a:extLst>
              <a:ext uri="{FF2B5EF4-FFF2-40B4-BE49-F238E27FC236}">
                <a16:creationId xmlns:a16="http://schemas.microsoft.com/office/drawing/2014/main" id="{1EDFAF89-32F5-7F20-0CFA-3559C1301D2D}"/>
              </a:ext>
            </a:extLst>
          </xdr:cNvPr>
          <xdr:cNvCxnSpPr/>
        </xdr:nvCxnSpPr>
        <xdr:spPr>
          <a:xfrm>
            <a:off x="8115300" y="6035675"/>
            <a:ext cx="606425" cy="0"/>
          </a:xfrm>
          <a:prstGeom prst="line">
            <a:avLst/>
          </a:prstGeom>
          <a:ln w="9525" cap="flat" cmpd="sng" algn="ctr">
            <a:solidFill>
              <a:srgbClr val="FF0000"/>
            </a:solidFill>
            <a:prstDash val="solid"/>
            <a:miter lim="800000"/>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xnSp macro="">
        <xdr:nvCxnSpPr>
          <xdr:cNvPr id="4" name="直線コネクタ 3">
            <a:extLst>
              <a:ext uri="{FF2B5EF4-FFF2-40B4-BE49-F238E27FC236}">
                <a16:creationId xmlns:a16="http://schemas.microsoft.com/office/drawing/2014/main" id="{5BB33922-773E-B7BB-EC76-1CC2AD7C8B35}"/>
              </a:ext>
            </a:extLst>
          </xdr:cNvPr>
          <xdr:cNvCxnSpPr/>
        </xdr:nvCxnSpPr>
        <xdr:spPr>
          <a:xfrm>
            <a:off x="8115300" y="6254750"/>
            <a:ext cx="606425" cy="0"/>
          </a:xfrm>
          <a:prstGeom prst="line">
            <a:avLst/>
          </a:prstGeom>
          <a:ln w="9525" cap="flat" cmpd="sng" algn="ctr">
            <a:solidFill>
              <a:srgbClr val="FF0000"/>
            </a:solidFill>
            <a:prstDash val="solid"/>
            <a:miter lim="800000"/>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sp macro="" textlink="">
        <xdr:nvSpPr>
          <xdr:cNvPr id="5" name="テキスト ボックス 4">
            <a:extLst>
              <a:ext uri="{FF2B5EF4-FFF2-40B4-BE49-F238E27FC236}">
                <a16:creationId xmlns:a16="http://schemas.microsoft.com/office/drawing/2014/main" id="{DA0558B2-2256-3D4A-FBBF-86263C3C4549}"/>
              </a:ext>
            </a:extLst>
          </xdr:cNvPr>
          <xdr:cNvSpPr txBox="1"/>
        </xdr:nvSpPr>
        <xdr:spPr>
          <a:xfrm>
            <a:off x="8102600" y="5864225"/>
            <a:ext cx="6350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ja-JP" altLang="en-US" sz="900">
                <a:solidFill>
                  <a:srgbClr val="FF0000"/>
                </a:solidFill>
                <a:ea typeface="ＭＳ Ｐ明朝" panose="02020600040205080304" pitchFamily="18" charset="-128"/>
              </a:rPr>
              <a:t>生産部</a:t>
            </a:r>
          </a:p>
        </xdr:txBody>
      </xdr:sp>
      <xdr:sp macro="" textlink="">
        <xdr:nvSpPr>
          <xdr:cNvPr id="6" name="テキスト ボックス 5">
            <a:extLst>
              <a:ext uri="{FF2B5EF4-FFF2-40B4-BE49-F238E27FC236}">
                <a16:creationId xmlns:a16="http://schemas.microsoft.com/office/drawing/2014/main" id="{C478B6F8-B689-ECA6-0657-F3B78D9B4541}"/>
              </a:ext>
            </a:extLst>
          </xdr:cNvPr>
          <xdr:cNvSpPr txBox="1"/>
        </xdr:nvSpPr>
        <xdr:spPr>
          <a:xfrm>
            <a:off x="8089900" y="6062663"/>
            <a:ext cx="6604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en-US" altLang="ja-JP" sz="825">
                <a:solidFill>
                  <a:srgbClr val="FF0000"/>
                </a:solidFill>
                <a:ea typeface="ＭＳ Ｐ明朝" panose="02020600040205080304" pitchFamily="18" charset="-128"/>
              </a:rPr>
              <a:t>2023/6/16</a:t>
            </a:r>
            <a:endParaRPr kumimoji="1" lang="ja-JP" altLang="en-US" sz="825">
              <a:solidFill>
                <a:srgbClr val="FF0000"/>
              </a:solidFill>
              <a:ea typeface="ＭＳ Ｐ明朝" panose="02020600040205080304" pitchFamily="18" charset="-128"/>
            </a:endParaRPr>
          </a:p>
        </xdr:txBody>
      </xdr:sp>
      <xdr:sp macro="" textlink="">
        <xdr:nvSpPr>
          <xdr:cNvPr id="7" name="テキスト ボックス 6">
            <a:extLst>
              <a:ext uri="{FF2B5EF4-FFF2-40B4-BE49-F238E27FC236}">
                <a16:creationId xmlns:a16="http://schemas.microsoft.com/office/drawing/2014/main" id="{5DDAA970-F829-495B-5FB5-EB8D387AF1BF}"/>
              </a:ext>
            </a:extLst>
          </xdr:cNvPr>
          <xdr:cNvSpPr txBox="1"/>
        </xdr:nvSpPr>
        <xdr:spPr>
          <a:xfrm>
            <a:off x="8102600" y="6264275"/>
            <a:ext cx="6350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ja-JP" altLang="en-US" sz="900">
                <a:solidFill>
                  <a:srgbClr val="FF0000"/>
                </a:solidFill>
                <a:ea typeface="ＭＳ Ｐ明朝" panose="02020600040205080304" pitchFamily="18" charset="-128"/>
              </a:rPr>
              <a:t>髙田</a:t>
            </a:r>
          </a:p>
        </xdr:txBody>
      </xdr:sp>
    </xdr:grpSp>
    <xdr:clientData/>
  </xdr:twoCellAnchor>
</xdr:wsDr>
</file>

<file path=xl/drawings/drawing16.xml><?xml version="1.0" encoding="utf-8"?>
<xdr:wsDr xmlns:xdr="http://schemas.openxmlformats.org/drawingml/2006/spreadsheetDrawing" xmlns:a="http://schemas.openxmlformats.org/drawingml/2006/main">
  <xdr:twoCellAnchor>
    <xdr:from>
      <xdr:col>15</xdr:col>
      <xdr:colOff>9525</xdr:colOff>
      <xdr:row>2</xdr:row>
      <xdr:rowOff>0</xdr:rowOff>
    </xdr:from>
    <xdr:to>
      <xdr:col>18</xdr:col>
      <xdr:colOff>19050</xdr:colOff>
      <xdr:row>9</xdr:row>
      <xdr:rowOff>0</xdr:rowOff>
    </xdr:to>
    <xdr:cxnSp macro="">
      <xdr:nvCxnSpPr>
        <xdr:cNvPr id="3" name="直線コネクタ 2">
          <a:extLst>
            <a:ext uri="{FF2B5EF4-FFF2-40B4-BE49-F238E27FC236}">
              <a16:creationId xmlns:a16="http://schemas.microsoft.com/office/drawing/2014/main" id="{A8C83865-47FC-610B-7F8E-310AE3BF4767}"/>
            </a:ext>
          </a:extLst>
        </xdr:cNvPr>
        <xdr:cNvCxnSpPr/>
      </xdr:nvCxnSpPr>
      <xdr:spPr>
        <a:xfrm flipV="1">
          <a:off x="7581900" y="447675"/>
          <a:ext cx="1524000" cy="146685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9525</xdr:colOff>
      <xdr:row>10</xdr:row>
      <xdr:rowOff>0</xdr:rowOff>
    </xdr:from>
    <xdr:to>
      <xdr:col>3</xdr:col>
      <xdr:colOff>0</xdr:colOff>
      <xdr:row>16</xdr:row>
      <xdr:rowOff>200025</xdr:rowOff>
    </xdr:to>
    <xdr:cxnSp macro="">
      <xdr:nvCxnSpPr>
        <xdr:cNvPr id="4" name="直線コネクタ 3">
          <a:extLst>
            <a:ext uri="{FF2B5EF4-FFF2-40B4-BE49-F238E27FC236}">
              <a16:creationId xmlns:a16="http://schemas.microsoft.com/office/drawing/2014/main" id="{5243B506-87A7-4AF4-A489-1502AB31E4EA}"/>
            </a:ext>
          </a:extLst>
        </xdr:cNvPr>
        <xdr:cNvCxnSpPr/>
      </xdr:nvCxnSpPr>
      <xdr:spPr>
        <a:xfrm flipV="1">
          <a:off x="514350" y="2124075"/>
          <a:ext cx="1000125" cy="14573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439738</xdr:colOff>
      <xdr:row>26</xdr:row>
      <xdr:rowOff>182563</xdr:rowOff>
    </xdr:from>
    <xdr:to>
      <xdr:col>17</xdr:col>
      <xdr:colOff>90488</xdr:colOff>
      <xdr:row>30</xdr:row>
      <xdr:rowOff>1588</xdr:rowOff>
    </xdr:to>
    <xdr:grpSp>
      <xdr:nvGrpSpPr>
        <xdr:cNvPr id="10" name="グループ化 9">
          <a:extLst>
            <a:ext uri="{FF2B5EF4-FFF2-40B4-BE49-F238E27FC236}">
              <a16:creationId xmlns:a16="http://schemas.microsoft.com/office/drawing/2014/main" id="{348A239C-4693-1533-517B-87294BFFFF5A}"/>
            </a:ext>
          </a:extLst>
        </xdr:cNvPr>
        <xdr:cNvGrpSpPr/>
      </xdr:nvGrpSpPr>
      <xdr:grpSpPr>
        <a:xfrm>
          <a:off x="8012113" y="5592763"/>
          <a:ext cx="660400" cy="657225"/>
          <a:chOff x="8089900" y="5816600"/>
          <a:chExt cx="660400" cy="657225"/>
        </a:xfrm>
      </xdr:grpSpPr>
      <xdr:sp macro="" textlink="">
        <xdr:nvSpPr>
          <xdr:cNvPr id="2" name="楕円 1">
            <a:extLst>
              <a:ext uri="{FF2B5EF4-FFF2-40B4-BE49-F238E27FC236}">
                <a16:creationId xmlns:a16="http://schemas.microsoft.com/office/drawing/2014/main" id="{24376672-13CA-D0A4-EA11-7BE4E7B580C0}"/>
              </a:ext>
            </a:extLst>
          </xdr:cNvPr>
          <xdr:cNvSpPr/>
        </xdr:nvSpPr>
        <xdr:spPr>
          <a:xfrm>
            <a:off x="8089900" y="5816600"/>
            <a:ext cx="657225" cy="657225"/>
          </a:xfrm>
          <a:prstGeom prst="ellipse">
            <a:avLst/>
          </a:prstGeom>
          <a:solidFill>
            <a:srgbClr xmlns:mc="http://schemas.openxmlformats.org/markup-compatibility/2006" xmlns:a14="http://schemas.microsoft.com/office/drawing/2010/main" val="FFFFFF" mc:Ignorable="a14" a14:legacySpreadsheetColorIndex="65"/>
          </a:solidFill>
          <a:ln w="19050" cap="flat" cmpd="sng" algn="ctr">
            <a:solidFill>
              <a:srgbClr val="FF0000"/>
            </a:solidFill>
            <a:prstDash val="solid"/>
            <a:miter lim="800000"/>
            <a:headEnd type="none" w="med" len="med"/>
            <a:tailEnd type="non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5" name="直線コネクタ 4">
            <a:extLst>
              <a:ext uri="{FF2B5EF4-FFF2-40B4-BE49-F238E27FC236}">
                <a16:creationId xmlns:a16="http://schemas.microsoft.com/office/drawing/2014/main" id="{53A9561D-3645-96EE-B08C-353297CC149B}"/>
              </a:ext>
            </a:extLst>
          </xdr:cNvPr>
          <xdr:cNvCxnSpPr/>
        </xdr:nvCxnSpPr>
        <xdr:spPr>
          <a:xfrm>
            <a:off x="8115300" y="6035675"/>
            <a:ext cx="606425" cy="0"/>
          </a:xfrm>
          <a:prstGeom prst="line">
            <a:avLst/>
          </a:prstGeom>
          <a:ln w="9525" cap="flat" cmpd="sng" algn="ctr">
            <a:solidFill>
              <a:srgbClr val="FF0000"/>
            </a:solidFill>
            <a:prstDash val="solid"/>
            <a:miter lim="800000"/>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xnSp macro="">
        <xdr:nvCxnSpPr>
          <xdr:cNvPr id="6" name="直線コネクタ 5">
            <a:extLst>
              <a:ext uri="{FF2B5EF4-FFF2-40B4-BE49-F238E27FC236}">
                <a16:creationId xmlns:a16="http://schemas.microsoft.com/office/drawing/2014/main" id="{F90DB50F-F59F-6AC6-1CF1-1135D0FD4464}"/>
              </a:ext>
            </a:extLst>
          </xdr:cNvPr>
          <xdr:cNvCxnSpPr/>
        </xdr:nvCxnSpPr>
        <xdr:spPr>
          <a:xfrm>
            <a:off x="8115300" y="6254750"/>
            <a:ext cx="606425" cy="0"/>
          </a:xfrm>
          <a:prstGeom prst="line">
            <a:avLst/>
          </a:prstGeom>
          <a:ln w="9525" cap="flat" cmpd="sng" algn="ctr">
            <a:solidFill>
              <a:srgbClr val="FF0000"/>
            </a:solidFill>
            <a:prstDash val="solid"/>
            <a:miter lim="800000"/>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sp macro="" textlink="">
        <xdr:nvSpPr>
          <xdr:cNvPr id="7" name="テキスト ボックス 6">
            <a:extLst>
              <a:ext uri="{FF2B5EF4-FFF2-40B4-BE49-F238E27FC236}">
                <a16:creationId xmlns:a16="http://schemas.microsoft.com/office/drawing/2014/main" id="{E303009D-5A73-3100-9FFD-EF529622C98C}"/>
              </a:ext>
            </a:extLst>
          </xdr:cNvPr>
          <xdr:cNvSpPr txBox="1"/>
        </xdr:nvSpPr>
        <xdr:spPr>
          <a:xfrm>
            <a:off x="8102600" y="5864225"/>
            <a:ext cx="6350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ja-JP" altLang="en-US" sz="900">
                <a:solidFill>
                  <a:srgbClr val="FF0000"/>
                </a:solidFill>
                <a:ea typeface="ＭＳ Ｐ明朝" panose="02020600040205080304" pitchFamily="18" charset="-128"/>
              </a:rPr>
              <a:t>生産部</a:t>
            </a:r>
          </a:p>
        </xdr:txBody>
      </xdr:sp>
      <xdr:sp macro="" textlink="">
        <xdr:nvSpPr>
          <xdr:cNvPr id="8" name="テキスト ボックス 7">
            <a:extLst>
              <a:ext uri="{FF2B5EF4-FFF2-40B4-BE49-F238E27FC236}">
                <a16:creationId xmlns:a16="http://schemas.microsoft.com/office/drawing/2014/main" id="{B033F4AE-6A25-7E05-07FE-F7DC611DFA62}"/>
              </a:ext>
            </a:extLst>
          </xdr:cNvPr>
          <xdr:cNvSpPr txBox="1"/>
        </xdr:nvSpPr>
        <xdr:spPr>
          <a:xfrm>
            <a:off x="8089900" y="6062663"/>
            <a:ext cx="6604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en-US" altLang="ja-JP" sz="825">
                <a:solidFill>
                  <a:srgbClr val="FF0000"/>
                </a:solidFill>
                <a:ea typeface="ＭＳ Ｐ明朝" panose="02020600040205080304" pitchFamily="18" charset="-128"/>
              </a:rPr>
              <a:t>2023/4/13</a:t>
            </a:r>
            <a:endParaRPr kumimoji="1" lang="ja-JP" altLang="en-US" sz="825">
              <a:solidFill>
                <a:srgbClr val="FF0000"/>
              </a:solidFill>
              <a:ea typeface="ＭＳ Ｐ明朝" panose="02020600040205080304" pitchFamily="18" charset="-128"/>
            </a:endParaRPr>
          </a:p>
        </xdr:txBody>
      </xdr:sp>
      <xdr:sp macro="" textlink="">
        <xdr:nvSpPr>
          <xdr:cNvPr id="9" name="テキスト ボックス 8">
            <a:extLst>
              <a:ext uri="{FF2B5EF4-FFF2-40B4-BE49-F238E27FC236}">
                <a16:creationId xmlns:a16="http://schemas.microsoft.com/office/drawing/2014/main" id="{7C7A2D92-6B35-D16A-F5C1-CE90CE1DC0AE}"/>
              </a:ext>
            </a:extLst>
          </xdr:cNvPr>
          <xdr:cNvSpPr txBox="1"/>
        </xdr:nvSpPr>
        <xdr:spPr>
          <a:xfrm>
            <a:off x="8102600" y="6264275"/>
            <a:ext cx="6350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ja-JP" altLang="en-US" sz="900">
                <a:solidFill>
                  <a:srgbClr val="FF0000"/>
                </a:solidFill>
                <a:ea typeface="ＭＳ Ｐ明朝" panose="02020600040205080304" pitchFamily="18" charset="-128"/>
              </a:rPr>
              <a:t>髙田</a:t>
            </a:r>
          </a:p>
        </xdr:txBody>
      </xdr:sp>
    </xdr:grpSp>
    <xdr:clientData/>
  </xdr:twoCellAnchor>
</xdr:wsDr>
</file>

<file path=xl/drawings/drawing17.xml><?xml version="1.0" encoding="utf-8"?>
<xdr:wsDr xmlns:xdr="http://schemas.openxmlformats.org/drawingml/2006/spreadsheetDrawing" xmlns:a="http://schemas.openxmlformats.org/drawingml/2006/main">
  <xdr:twoCellAnchor>
    <xdr:from>
      <xdr:col>15</xdr:col>
      <xdr:colOff>439738</xdr:colOff>
      <xdr:row>26</xdr:row>
      <xdr:rowOff>182563</xdr:rowOff>
    </xdr:from>
    <xdr:to>
      <xdr:col>17</xdr:col>
      <xdr:colOff>90488</xdr:colOff>
      <xdr:row>30</xdr:row>
      <xdr:rowOff>1588</xdr:rowOff>
    </xdr:to>
    <xdr:grpSp>
      <xdr:nvGrpSpPr>
        <xdr:cNvPr id="9" name="グループ化 8">
          <a:extLst>
            <a:ext uri="{FF2B5EF4-FFF2-40B4-BE49-F238E27FC236}">
              <a16:creationId xmlns:a16="http://schemas.microsoft.com/office/drawing/2014/main" id="{0C167311-A70C-47FE-93A3-EF059889959E}"/>
            </a:ext>
          </a:extLst>
        </xdr:cNvPr>
        <xdr:cNvGrpSpPr/>
      </xdr:nvGrpSpPr>
      <xdr:grpSpPr>
        <a:xfrm>
          <a:off x="8012113" y="5592763"/>
          <a:ext cx="660400" cy="657225"/>
          <a:chOff x="8089900" y="5816600"/>
          <a:chExt cx="660400" cy="657225"/>
        </a:xfrm>
      </xdr:grpSpPr>
      <xdr:sp macro="" textlink="">
        <xdr:nvSpPr>
          <xdr:cNvPr id="10" name="楕円 9">
            <a:extLst>
              <a:ext uri="{FF2B5EF4-FFF2-40B4-BE49-F238E27FC236}">
                <a16:creationId xmlns:a16="http://schemas.microsoft.com/office/drawing/2014/main" id="{6811E62D-3EB4-70E0-76C5-BE02455ACE4E}"/>
              </a:ext>
            </a:extLst>
          </xdr:cNvPr>
          <xdr:cNvSpPr/>
        </xdr:nvSpPr>
        <xdr:spPr>
          <a:xfrm>
            <a:off x="8089900" y="5816600"/>
            <a:ext cx="657225" cy="657225"/>
          </a:xfrm>
          <a:prstGeom prst="ellipse">
            <a:avLst/>
          </a:prstGeom>
          <a:solidFill>
            <a:srgbClr xmlns:mc="http://schemas.openxmlformats.org/markup-compatibility/2006" xmlns:a14="http://schemas.microsoft.com/office/drawing/2010/main" val="FFFFFF" mc:Ignorable="a14" a14:legacySpreadsheetColorIndex="65"/>
          </a:solidFill>
          <a:ln w="19050" cap="flat" cmpd="sng" algn="ctr">
            <a:solidFill>
              <a:srgbClr val="FF0000"/>
            </a:solidFill>
            <a:prstDash val="solid"/>
            <a:miter lim="800000"/>
            <a:headEnd type="none" w="med" len="med"/>
            <a:tailEnd type="non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11" name="直線コネクタ 10">
            <a:extLst>
              <a:ext uri="{FF2B5EF4-FFF2-40B4-BE49-F238E27FC236}">
                <a16:creationId xmlns:a16="http://schemas.microsoft.com/office/drawing/2014/main" id="{F1904DDB-577F-DA5A-0772-448E4E6D4629}"/>
              </a:ext>
            </a:extLst>
          </xdr:cNvPr>
          <xdr:cNvCxnSpPr/>
        </xdr:nvCxnSpPr>
        <xdr:spPr>
          <a:xfrm>
            <a:off x="8115300" y="6035675"/>
            <a:ext cx="606425" cy="0"/>
          </a:xfrm>
          <a:prstGeom prst="line">
            <a:avLst/>
          </a:prstGeom>
          <a:ln w="9525" cap="flat" cmpd="sng" algn="ctr">
            <a:solidFill>
              <a:srgbClr val="FF0000"/>
            </a:solidFill>
            <a:prstDash val="solid"/>
            <a:miter lim="800000"/>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xnSp macro="">
        <xdr:nvCxnSpPr>
          <xdr:cNvPr id="12" name="直線コネクタ 11">
            <a:extLst>
              <a:ext uri="{FF2B5EF4-FFF2-40B4-BE49-F238E27FC236}">
                <a16:creationId xmlns:a16="http://schemas.microsoft.com/office/drawing/2014/main" id="{C1885B7F-C6E6-CF42-38B1-AEE237DA00F3}"/>
              </a:ext>
            </a:extLst>
          </xdr:cNvPr>
          <xdr:cNvCxnSpPr/>
        </xdr:nvCxnSpPr>
        <xdr:spPr>
          <a:xfrm>
            <a:off x="8115300" y="6254750"/>
            <a:ext cx="606425" cy="0"/>
          </a:xfrm>
          <a:prstGeom prst="line">
            <a:avLst/>
          </a:prstGeom>
          <a:ln w="9525" cap="flat" cmpd="sng" algn="ctr">
            <a:solidFill>
              <a:srgbClr val="FF0000"/>
            </a:solidFill>
            <a:prstDash val="solid"/>
            <a:miter lim="800000"/>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sp macro="" textlink="">
        <xdr:nvSpPr>
          <xdr:cNvPr id="13" name="テキスト ボックス 12">
            <a:extLst>
              <a:ext uri="{FF2B5EF4-FFF2-40B4-BE49-F238E27FC236}">
                <a16:creationId xmlns:a16="http://schemas.microsoft.com/office/drawing/2014/main" id="{EF2EB698-1367-BF3B-8030-90149E4AB348}"/>
              </a:ext>
            </a:extLst>
          </xdr:cNvPr>
          <xdr:cNvSpPr txBox="1"/>
        </xdr:nvSpPr>
        <xdr:spPr>
          <a:xfrm>
            <a:off x="8102600" y="5864225"/>
            <a:ext cx="6350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ja-JP" altLang="en-US" sz="900">
                <a:solidFill>
                  <a:srgbClr val="FF0000"/>
                </a:solidFill>
                <a:ea typeface="ＭＳ Ｐ明朝" panose="02020600040205080304" pitchFamily="18" charset="-128"/>
              </a:rPr>
              <a:t>製造課</a:t>
            </a:r>
          </a:p>
        </xdr:txBody>
      </xdr:sp>
      <xdr:sp macro="" textlink="">
        <xdr:nvSpPr>
          <xdr:cNvPr id="14" name="テキスト ボックス 13">
            <a:extLst>
              <a:ext uri="{FF2B5EF4-FFF2-40B4-BE49-F238E27FC236}">
                <a16:creationId xmlns:a16="http://schemas.microsoft.com/office/drawing/2014/main" id="{FE043E0F-A5C3-0D07-89AB-B2E41D388253}"/>
              </a:ext>
            </a:extLst>
          </xdr:cNvPr>
          <xdr:cNvSpPr txBox="1"/>
        </xdr:nvSpPr>
        <xdr:spPr>
          <a:xfrm>
            <a:off x="8089900" y="6062663"/>
            <a:ext cx="6604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en-US" altLang="ja-JP" sz="825">
                <a:solidFill>
                  <a:srgbClr val="FF0000"/>
                </a:solidFill>
                <a:ea typeface="ＭＳ Ｐ明朝" panose="02020600040205080304" pitchFamily="18" charset="-128"/>
              </a:rPr>
              <a:t>2023/2/14</a:t>
            </a:r>
            <a:endParaRPr kumimoji="1" lang="ja-JP" altLang="en-US" sz="825">
              <a:solidFill>
                <a:srgbClr val="FF0000"/>
              </a:solidFill>
              <a:ea typeface="ＭＳ Ｐ明朝" panose="02020600040205080304" pitchFamily="18" charset="-128"/>
            </a:endParaRPr>
          </a:p>
        </xdr:txBody>
      </xdr:sp>
      <xdr:sp macro="" textlink="">
        <xdr:nvSpPr>
          <xdr:cNvPr id="15" name="テキスト ボックス 14">
            <a:extLst>
              <a:ext uri="{FF2B5EF4-FFF2-40B4-BE49-F238E27FC236}">
                <a16:creationId xmlns:a16="http://schemas.microsoft.com/office/drawing/2014/main" id="{5150F234-3211-E145-E6F4-2FF7E342E881}"/>
              </a:ext>
            </a:extLst>
          </xdr:cNvPr>
          <xdr:cNvSpPr txBox="1"/>
        </xdr:nvSpPr>
        <xdr:spPr>
          <a:xfrm>
            <a:off x="8102600" y="6264275"/>
            <a:ext cx="6350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ja-JP" altLang="en-US" sz="900">
                <a:solidFill>
                  <a:srgbClr val="FF0000"/>
                </a:solidFill>
                <a:ea typeface="ＭＳ Ｐ明朝" panose="02020600040205080304" pitchFamily="18" charset="-128"/>
              </a:rPr>
              <a:t>髙田</a:t>
            </a:r>
          </a:p>
        </xdr:txBody>
      </xdr:sp>
    </xdr:grpSp>
    <xdr:clientData/>
  </xdr:twoCellAnchor>
</xdr:wsDr>
</file>

<file path=xl/drawings/drawing18.xml><?xml version="1.0" encoding="utf-8"?>
<xdr:wsDr xmlns:xdr="http://schemas.openxmlformats.org/drawingml/2006/spreadsheetDrawing" xmlns:a="http://schemas.openxmlformats.org/drawingml/2006/main">
  <xdr:twoCellAnchor>
    <xdr:from>
      <xdr:col>9</xdr:col>
      <xdr:colOff>9525</xdr:colOff>
      <xdr:row>1</xdr:row>
      <xdr:rowOff>200025</xdr:rowOff>
    </xdr:from>
    <xdr:to>
      <xdr:col>12</xdr:col>
      <xdr:colOff>19050</xdr:colOff>
      <xdr:row>9</xdr:row>
      <xdr:rowOff>19050</xdr:rowOff>
    </xdr:to>
    <xdr:cxnSp macro="">
      <xdr:nvCxnSpPr>
        <xdr:cNvPr id="10" name="直線コネクタ 9">
          <a:extLst>
            <a:ext uri="{FF2B5EF4-FFF2-40B4-BE49-F238E27FC236}">
              <a16:creationId xmlns:a16="http://schemas.microsoft.com/office/drawing/2014/main" id="{7A36C405-0D82-9C83-5C76-EB779A0E344C}"/>
            </a:ext>
          </a:extLst>
        </xdr:cNvPr>
        <xdr:cNvCxnSpPr/>
      </xdr:nvCxnSpPr>
      <xdr:spPr>
        <a:xfrm>
          <a:off x="4552950" y="438150"/>
          <a:ext cx="1524000" cy="14954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19050</xdr:colOff>
      <xdr:row>2</xdr:row>
      <xdr:rowOff>19050</xdr:rowOff>
    </xdr:from>
    <xdr:to>
      <xdr:col>16</xdr:col>
      <xdr:colOff>19050</xdr:colOff>
      <xdr:row>9</xdr:row>
      <xdr:rowOff>0</xdr:rowOff>
    </xdr:to>
    <xdr:cxnSp macro="">
      <xdr:nvCxnSpPr>
        <xdr:cNvPr id="12" name="直線コネクタ 11">
          <a:extLst>
            <a:ext uri="{FF2B5EF4-FFF2-40B4-BE49-F238E27FC236}">
              <a16:creationId xmlns:a16="http://schemas.microsoft.com/office/drawing/2014/main" id="{C212EF1A-5E06-3932-77AD-1B228E5C4C46}"/>
            </a:ext>
          </a:extLst>
        </xdr:cNvPr>
        <xdr:cNvCxnSpPr/>
      </xdr:nvCxnSpPr>
      <xdr:spPr>
        <a:xfrm>
          <a:off x="6581775" y="466725"/>
          <a:ext cx="1514475" cy="144780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439738</xdr:colOff>
      <xdr:row>26</xdr:row>
      <xdr:rowOff>182563</xdr:rowOff>
    </xdr:from>
    <xdr:to>
      <xdr:col>17</xdr:col>
      <xdr:colOff>90488</xdr:colOff>
      <xdr:row>30</xdr:row>
      <xdr:rowOff>1588</xdr:rowOff>
    </xdr:to>
    <xdr:grpSp>
      <xdr:nvGrpSpPr>
        <xdr:cNvPr id="8" name="グループ化 7">
          <a:extLst>
            <a:ext uri="{FF2B5EF4-FFF2-40B4-BE49-F238E27FC236}">
              <a16:creationId xmlns:a16="http://schemas.microsoft.com/office/drawing/2014/main" id="{21E0A487-B8FF-201E-1E61-AB319DFCDB71}"/>
            </a:ext>
          </a:extLst>
        </xdr:cNvPr>
        <xdr:cNvGrpSpPr/>
      </xdr:nvGrpSpPr>
      <xdr:grpSpPr>
        <a:xfrm>
          <a:off x="8012113" y="5592763"/>
          <a:ext cx="660400" cy="657225"/>
          <a:chOff x="8089900" y="5816600"/>
          <a:chExt cx="660400" cy="657225"/>
        </a:xfrm>
      </xdr:grpSpPr>
      <xdr:sp macro="" textlink="">
        <xdr:nvSpPr>
          <xdr:cNvPr id="2" name="楕円 1">
            <a:extLst>
              <a:ext uri="{FF2B5EF4-FFF2-40B4-BE49-F238E27FC236}">
                <a16:creationId xmlns:a16="http://schemas.microsoft.com/office/drawing/2014/main" id="{7D283D60-5F72-335A-00F2-C53F2A2A1D25}"/>
              </a:ext>
            </a:extLst>
          </xdr:cNvPr>
          <xdr:cNvSpPr/>
        </xdr:nvSpPr>
        <xdr:spPr>
          <a:xfrm>
            <a:off x="8089900" y="5816600"/>
            <a:ext cx="657225" cy="657225"/>
          </a:xfrm>
          <a:prstGeom prst="ellipse">
            <a:avLst/>
          </a:prstGeom>
          <a:solidFill>
            <a:srgbClr xmlns:mc="http://schemas.openxmlformats.org/markup-compatibility/2006" xmlns:a14="http://schemas.microsoft.com/office/drawing/2010/main" val="FFFFFF" mc:Ignorable="a14" a14:legacySpreadsheetColorIndex="65"/>
          </a:solidFill>
          <a:ln w="19050" cap="flat" cmpd="sng" algn="ctr">
            <a:solidFill>
              <a:srgbClr val="FF0000"/>
            </a:solidFill>
            <a:prstDash val="solid"/>
            <a:miter lim="800000"/>
            <a:headEnd type="none" w="med" len="med"/>
            <a:tailEnd type="non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3" name="直線コネクタ 2">
            <a:extLst>
              <a:ext uri="{FF2B5EF4-FFF2-40B4-BE49-F238E27FC236}">
                <a16:creationId xmlns:a16="http://schemas.microsoft.com/office/drawing/2014/main" id="{D1366B79-204F-A1DE-BF64-AA8D104D6589}"/>
              </a:ext>
            </a:extLst>
          </xdr:cNvPr>
          <xdr:cNvCxnSpPr/>
        </xdr:nvCxnSpPr>
        <xdr:spPr>
          <a:xfrm>
            <a:off x="8115300" y="6035675"/>
            <a:ext cx="606425" cy="0"/>
          </a:xfrm>
          <a:prstGeom prst="line">
            <a:avLst/>
          </a:prstGeom>
          <a:ln w="9525" cap="flat" cmpd="sng" algn="ctr">
            <a:solidFill>
              <a:srgbClr val="FF0000"/>
            </a:solidFill>
            <a:prstDash val="solid"/>
            <a:miter lim="800000"/>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xnSp macro="">
        <xdr:nvCxnSpPr>
          <xdr:cNvPr id="4" name="直線コネクタ 3">
            <a:extLst>
              <a:ext uri="{FF2B5EF4-FFF2-40B4-BE49-F238E27FC236}">
                <a16:creationId xmlns:a16="http://schemas.microsoft.com/office/drawing/2014/main" id="{1F8EA789-89B9-72A8-68BE-E19A2664F6E3}"/>
              </a:ext>
            </a:extLst>
          </xdr:cNvPr>
          <xdr:cNvCxnSpPr/>
        </xdr:nvCxnSpPr>
        <xdr:spPr>
          <a:xfrm>
            <a:off x="8115300" y="6254750"/>
            <a:ext cx="606425" cy="0"/>
          </a:xfrm>
          <a:prstGeom prst="line">
            <a:avLst/>
          </a:prstGeom>
          <a:ln w="9525" cap="flat" cmpd="sng" algn="ctr">
            <a:solidFill>
              <a:srgbClr val="FF0000"/>
            </a:solidFill>
            <a:prstDash val="solid"/>
            <a:miter lim="800000"/>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sp macro="" textlink="">
        <xdr:nvSpPr>
          <xdr:cNvPr id="5" name="テキスト ボックス 4">
            <a:extLst>
              <a:ext uri="{FF2B5EF4-FFF2-40B4-BE49-F238E27FC236}">
                <a16:creationId xmlns:a16="http://schemas.microsoft.com/office/drawing/2014/main" id="{8E2BECC1-6A77-1302-937E-1FCC39CCD5F1}"/>
              </a:ext>
            </a:extLst>
          </xdr:cNvPr>
          <xdr:cNvSpPr txBox="1"/>
        </xdr:nvSpPr>
        <xdr:spPr>
          <a:xfrm>
            <a:off x="8102600" y="5864225"/>
            <a:ext cx="6350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ja-JP" altLang="en-US" sz="900">
                <a:solidFill>
                  <a:srgbClr val="FF0000"/>
                </a:solidFill>
                <a:ea typeface="ＭＳ Ｐ明朝" panose="02020600040205080304" pitchFamily="18" charset="-128"/>
              </a:rPr>
              <a:t>製造課</a:t>
            </a:r>
          </a:p>
        </xdr:txBody>
      </xdr:sp>
      <xdr:sp macro="" textlink="">
        <xdr:nvSpPr>
          <xdr:cNvPr id="6" name="テキスト ボックス 5">
            <a:extLst>
              <a:ext uri="{FF2B5EF4-FFF2-40B4-BE49-F238E27FC236}">
                <a16:creationId xmlns:a16="http://schemas.microsoft.com/office/drawing/2014/main" id="{11332676-5801-031E-5E6C-051813178CFD}"/>
              </a:ext>
            </a:extLst>
          </xdr:cNvPr>
          <xdr:cNvSpPr txBox="1"/>
        </xdr:nvSpPr>
        <xdr:spPr>
          <a:xfrm>
            <a:off x="8089900" y="6062663"/>
            <a:ext cx="6604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en-US" altLang="ja-JP" sz="825">
                <a:solidFill>
                  <a:srgbClr val="FF0000"/>
                </a:solidFill>
                <a:ea typeface="ＭＳ Ｐ明朝" panose="02020600040205080304" pitchFamily="18" charset="-128"/>
              </a:rPr>
              <a:t>2022/12/16</a:t>
            </a:r>
            <a:endParaRPr kumimoji="1" lang="ja-JP" altLang="en-US" sz="825">
              <a:solidFill>
                <a:srgbClr val="FF0000"/>
              </a:solidFill>
              <a:ea typeface="ＭＳ Ｐ明朝" panose="02020600040205080304" pitchFamily="18" charset="-128"/>
            </a:endParaRPr>
          </a:p>
        </xdr:txBody>
      </xdr:sp>
      <xdr:sp macro="" textlink="">
        <xdr:nvSpPr>
          <xdr:cNvPr id="7" name="テキスト ボックス 6">
            <a:extLst>
              <a:ext uri="{FF2B5EF4-FFF2-40B4-BE49-F238E27FC236}">
                <a16:creationId xmlns:a16="http://schemas.microsoft.com/office/drawing/2014/main" id="{F789712E-070C-FCE6-8F2C-D8A9D6B72746}"/>
              </a:ext>
            </a:extLst>
          </xdr:cNvPr>
          <xdr:cNvSpPr txBox="1"/>
        </xdr:nvSpPr>
        <xdr:spPr>
          <a:xfrm>
            <a:off x="8102600" y="6264275"/>
            <a:ext cx="6350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ja-JP" altLang="en-US" sz="900">
                <a:solidFill>
                  <a:srgbClr val="FF0000"/>
                </a:solidFill>
                <a:ea typeface="ＭＳ Ｐ明朝" panose="02020600040205080304" pitchFamily="18" charset="-128"/>
              </a:rPr>
              <a:t>髙田</a:t>
            </a:r>
          </a:p>
        </xdr:txBody>
      </xdr:sp>
    </xdr:grpSp>
    <xdr:clientData/>
  </xdr:twoCellAnchor>
</xdr:wsDr>
</file>

<file path=xl/drawings/drawing19.xml><?xml version="1.0" encoding="utf-8"?>
<xdr:wsDr xmlns:xdr="http://schemas.openxmlformats.org/drawingml/2006/spreadsheetDrawing" xmlns:a="http://schemas.openxmlformats.org/drawingml/2006/main">
  <xdr:twoCellAnchor>
    <xdr:from>
      <xdr:col>15</xdr:col>
      <xdr:colOff>439738</xdr:colOff>
      <xdr:row>26</xdr:row>
      <xdr:rowOff>182563</xdr:rowOff>
    </xdr:from>
    <xdr:to>
      <xdr:col>17</xdr:col>
      <xdr:colOff>90488</xdr:colOff>
      <xdr:row>30</xdr:row>
      <xdr:rowOff>1588</xdr:rowOff>
    </xdr:to>
    <xdr:grpSp>
      <xdr:nvGrpSpPr>
        <xdr:cNvPr id="8" name="グループ化 7">
          <a:extLst>
            <a:ext uri="{FF2B5EF4-FFF2-40B4-BE49-F238E27FC236}">
              <a16:creationId xmlns:a16="http://schemas.microsoft.com/office/drawing/2014/main" id="{8FA13E26-4071-7969-F1AA-4B4FD704D73A}"/>
            </a:ext>
          </a:extLst>
        </xdr:cNvPr>
        <xdr:cNvGrpSpPr/>
      </xdr:nvGrpSpPr>
      <xdr:grpSpPr>
        <a:xfrm>
          <a:off x="8012113" y="5592763"/>
          <a:ext cx="660400" cy="657225"/>
          <a:chOff x="8089900" y="5816600"/>
          <a:chExt cx="660400" cy="657225"/>
        </a:xfrm>
      </xdr:grpSpPr>
      <xdr:sp macro="" textlink="">
        <xdr:nvSpPr>
          <xdr:cNvPr id="2" name="楕円 1">
            <a:extLst>
              <a:ext uri="{FF2B5EF4-FFF2-40B4-BE49-F238E27FC236}">
                <a16:creationId xmlns:a16="http://schemas.microsoft.com/office/drawing/2014/main" id="{7C18B9F2-D7D7-3E86-0851-E254FC841076}"/>
              </a:ext>
            </a:extLst>
          </xdr:cNvPr>
          <xdr:cNvSpPr/>
        </xdr:nvSpPr>
        <xdr:spPr>
          <a:xfrm>
            <a:off x="8089900" y="5816600"/>
            <a:ext cx="657225" cy="657225"/>
          </a:xfrm>
          <a:prstGeom prst="ellipse">
            <a:avLst/>
          </a:prstGeom>
          <a:solidFill>
            <a:srgbClr xmlns:mc="http://schemas.openxmlformats.org/markup-compatibility/2006" xmlns:a14="http://schemas.microsoft.com/office/drawing/2010/main" val="FFFFFF" mc:Ignorable="a14" a14:legacySpreadsheetColorIndex="65"/>
          </a:solidFill>
          <a:ln w="19050" cap="flat" cmpd="sng" algn="ctr">
            <a:solidFill>
              <a:srgbClr val="FF0000"/>
            </a:solidFill>
            <a:prstDash val="solid"/>
            <a:miter lim="800000"/>
            <a:headEnd type="none" w="med" len="med"/>
            <a:tailEnd type="non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3" name="直線コネクタ 2">
            <a:extLst>
              <a:ext uri="{FF2B5EF4-FFF2-40B4-BE49-F238E27FC236}">
                <a16:creationId xmlns:a16="http://schemas.microsoft.com/office/drawing/2014/main" id="{F5CA9B13-2279-EBD5-030F-D2BDE47F0A49}"/>
              </a:ext>
            </a:extLst>
          </xdr:cNvPr>
          <xdr:cNvCxnSpPr/>
        </xdr:nvCxnSpPr>
        <xdr:spPr>
          <a:xfrm>
            <a:off x="8115300" y="6035675"/>
            <a:ext cx="606425" cy="0"/>
          </a:xfrm>
          <a:prstGeom prst="line">
            <a:avLst/>
          </a:prstGeom>
          <a:ln w="9525" cap="flat" cmpd="sng" algn="ctr">
            <a:solidFill>
              <a:srgbClr val="FF0000"/>
            </a:solidFill>
            <a:prstDash val="solid"/>
            <a:miter lim="800000"/>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xnSp macro="">
        <xdr:nvCxnSpPr>
          <xdr:cNvPr id="4" name="直線コネクタ 3">
            <a:extLst>
              <a:ext uri="{FF2B5EF4-FFF2-40B4-BE49-F238E27FC236}">
                <a16:creationId xmlns:a16="http://schemas.microsoft.com/office/drawing/2014/main" id="{F159C65C-099C-C84C-ADE5-616D27AE8DA7}"/>
              </a:ext>
            </a:extLst>
          </xdr:cNvPr>
          <xdr:cNvCxnSpPr/>
        </xdr:nvCxnSpPr>
        <xdr:spPr>
          <a:xfrm>
            <a:off x="8115300" y="6254750"/>
            <a:ext cx="606425" cy="0"/>
          </a:xfrm>
          <a:prstGeom prst="line">
            <a:avLst/>
          </a:prstGeom>
          <a:ln w="9525" cap="flat" cmpd="sng" algn="ctr">
            <a:solidFill>
              <a:srgbClr val="FF0000"/>
            </a:solidFill>
            <a:prstDash val="solid"/>
            <a:miter lim="800000"/>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sp macro="" textlink="">
        <xdr:nvSpPr>
          <xdr:cNvPr id="5" name="テキスト ボックス 4">
            <a:extLst>
              <a:ext uri="{FF2B5EF4-FFF2-40B4-BE49-F238E27FC236}">
                <a16:creationId xmlns:a16="http://schemas.microsoft.com/office/drawing/2014/main" id="{E6B96055-9255-B11B-E4A4-297E2E5E06F5}"/>
              </a:ext>
            </a:extLst>
          </xdr:cNvPr>
          <xdr:cNvSpPr txBox="1"/>
        </xdr:nvSpPr>
        <xdr:spPr>
          <a:xfrm>
            <a:off x="8102600" y="5864225"/>
            <a:ext cx="6350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ja-JP" altLang="en-US" sz="900">
                <a:solidFill>
                  <a:srgbClr val="FF0000"/>
                </a:solidFill>
                <a:ea typeface="ＭＳ Ｐ明朝" panose="02020600040205080304" pitchFamily="18" charset="-128"/>
              </a:rPr>
              <a:t>製造課</a:t>
            </a:r>
          </a:p>
        </xdr:txBody>
      </xdr:sp>
      <xdr:sp macro="" textlink="">
        <xdr:nvSpPr>
          <xdr:cNvPr id="6" name="テキスト ボックス 5">
            <a:extLst>
              <a:ext uri="{FF2B5EF4-FFF2-40B4-BE49-F238E27FC236}">
                <a16:creationId xmlns:a16="http://schemas.microsoft.com/office/drawing/2014/main" id="{933D24F3-EA6C-5CED-402F-843477B5CE61}"/>
              </a:ext>
            </a:extLst>
          </xdr:cNvPr>
          <xdr:cNvSpPr txBox="1"/>
        </xdr:nvSpPr>
        <xdr:spPr>
          <a:xfrm>
            <a:off x="8089900" y="6062663"/>
            <a:ext cx="6604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en-US" altLang="ja-JP" sz="825">
                <a:solidFill>
                  <a:srgbClr val="FF0000"/>
                </a:solidFill>
                <a:ea typeface="ＭＳ Ｐ明朝" panose="02020600040205080304" pitchFamily="18" charset="-128"/>
              </a:rPr>
              <a:t>2022/10/17</a:t>
            </a:r>
            <a:endParaRPr kumimoji="1" lang="ja-JP" altLang="en-US" sz="825">
              <a:solidFill>
                <a:srgbClr val="FF0000"/>
              </a:solidFill>
              <a:ea typeface="ＭＳ Ｐ明朝" panose="02020600040205080304" pitchFamily="18" charset="-128"/>
            </a:endParaRPr>
          </a:p>
        </xdr:txBody>
      </xdr:sp>
      <xdr:sp macro="" textlink="">
        <xdr:nvSpPr>
          <xdr:cNvPr id="7" name="テキスト ボックス 6">
            <a:extLst>
              <a:ext uri="{FF2B5EF4-FFF2-40B4-BE49-F238E27FC236}">
                <a16:creationId xmlns:a16="http://schemas.microsoft.com/office/drawing/2014/main" id="{16F61707-3F24-2E3A-058B-35CCBB47FC71}"/>
              </a:ext>
            </a:extLst>
          </xdr:cNvPr>
          <xdr:cNvSpPr txBox="1"/>
        </xdr:nvSpPr>
        <xdr:spPr>
          <a:xfrm>
            <a:off x="8102600" y="6264275"/>
            <a:ext cx="6350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ja-JP" altLang="en-US" sz="900">
                <a:solidFill>
                  <a:srgbClr val="FF0000"/>
                </a:solidFill>
                <a:ea typeface="ＭＳ Ｐ明朝" panose="02020600040205080304" pitchFamily="18" charset="-128"/>
              </a:rPr>
              <a:t>髙田</a:t>
            </a:r>
          </a:p>
        </xdr:txBody>
      </xdr:sp>
    </xdr:grpSp>
    <xdr:clientData/>
  </xdr:twoCellAnchor>
</xdr:wsDr>
</file>

<file path=xl/drawings/drawing20.xml><?xml version="1.0" encoding="utf-8"?>
<xdr:wsDr xmlns:xdr="http://schemas.openxmlformats.org/drawingml/2006/spreadsheetDrawing" xmlns:a="http://schemas.openxmlformats.org/drawingml/2006/main">
  <xdr:twoCellAnchor>
    <xdr:from>
      <xdr:col>16</xdr:col>
      <xdr:colOff>187325</xdr:colOff>
      <xdr:row>26</xdr:row>
      <xdr:rowOff>182563</xdr:rowOff>
    </xdr:from>
    <xdr:to>
      <xdr:col>17</xdr:col>
      <xdr:colOff>342900</xdr:colOff>
      <xdr:row>30</xdr:row>
      <xdr:rowOff>1588</xdr:rowOff>
    </xdr:to>
    <xdr:grpSp>
      <xdr:nvGrpSpPr>
        <xdr:cNvPr id="8" name="グループ化 7">
          <a:extLst>
            <a:ext uri="{FF2B5EF4-FFF2-40B4-BE49-F238E27FC236}">
              <a16:creationId xmlns:a16="http://schemas.microsoft.com/office/drawing/2014/main" id="{3465C401-5B72-D05D-D50C-B66350617326}"/>
            </a:ext>
          </a:extLst>
        </xdr:cNvPr>
        <xdr:cNvGrpSpPr/>
      </xdr:nvGrpSpPr>
      <xdr:grpSpPr>
        <a:xfrm>
          <a:off x="8264525" y="5592763"/>
          <a:ext cx="660400" cy="657225"/>
          <a:chOff x="8089900" y="5607050"/>
          <a:chExt cx="660400" cy="657225"/>
        </a:xfrm>
      </xdr:grpSpPr>
      <xdr:sp macro="" textlink="">
        <xdr:nvSpPr>
          <xdr:cNvPr id="2" name="楕円 1">
            <a:extLst>
              <a:ext uri="{FF2B5EF4-FFF2-40B4-BE49-F238E27FC236}">
                <a16:creationId xmlns:a16="http://schemas.microsoft.com/office/drawing/2014/main" id="{C6AA039C-B2CA-072A-9D4D-2DEF220AB968}"/>
              </a:ext>
            </a:extLst>
          </xdr:cNvPr>
          <xdr:cNvSpPr/>
        </xdr:nvSpPr>
        <xdr:spPr>
          <a:xfrm>
            <a:off x="8089900" y="5607050"/>
            <a:ext cx="657225" cy="657225"/>
          </a:xfrm>
          <a:prstGeom prst="ellipse">
            <a:avLst/>
          </a:prstGeom>
          <a:solidFill>
            <a:srgbClr xmlns:mc="http://schemas.openxmlformats.org/markup-compatibility/2006" xmlns:a14="http://schemas.microsoft.com/office/drawing/2010/main" val="FFFFFF" mc:Ignorable="a14" a14:legacySpreadsheetColorIndex="65"/>
          </a:solidFill>
          <a:ln w="19050" cap="flat" cmpd="sng" algn="ctr">
            <a:solidFill>
              <a:srgbClr val="FF0000"/>
            </a:solidFill>
            <a:prstDash val="solid"/>
            <a:miter lim="800000"/>
            <a:headEnd type="none" w="med" len="med"/>
            <a:tailEnd type="non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3" name="直線コネクタ 2">
            <a:extLst>
              <a:ext uri="{FF2B5EF4-FFF2-40B4-BE49-F238E27FC236}">
                <a16:creationId xmlns:a16="http://schemas.microsoft.com/office/drawing/2014/main" id="{C033AF1F-7D02-233E-179E-0C7ABD5E4D5F}"/>
              </a:ext>
            </a:extLst>
          </xdr:cNvPr>
          <xdr:cNvCxnSpPr/>
        </xdr:nvCxnSpPr>
        <xdr:spPr>
          <a:xfrm>
            <a:off x="8115300" y="5826125"/>
            <a:ext cx="606425" cy="0"/>
          </a:xfrm>
          <a:prstGeom prst="line">
            <a:avLst/>
          </a:prstGeom>
          <a:ln w="9525" cap="flat" cmpd="sng" algn="ctr">
            <a:solidFill>
              <a:srgbClr val="FF0000"/>
            </a:solidFill>
            <a:prstDash val="solid"/>
            <a:miter lim="800000"/>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xnSp macro="">
        <xdr:nvCxnSpPr>
          <xdr:cNvPr id="4" name="直線コネクタ 3">
            <a:extLst>
              <a:ext uri="{FF2B5EF4-FFF2-40B4-BE49-F238E27FC236}">
                <a16:creationId xmlns:a16="http://schemas.microsoft.com/office/drawing/2014/main" id="{D7C52054-82F9-E66F-0148-98F0290850BD}"/>
              </a:ext>
            </a:extLst>
          </xdr:cNvPr>
          <xdr:cNvCxnSpPr/>
        </xdr:nvCxnSpPr>
        <xdr:spPr>
          <a:xfrm>
            <a:off x="8115300" y="6045200"/>
            <a:ext cx="606425" cy="0"/>
          </a:xfrm>
          <a:prstGeom prst="line">
            <a:avLst/>
          </a:prstGeom>
          <a:ln w="9525" cap="flat" cmpd="sng" algn="ctr">
            <a:solidFill>
              <a:srgbClr val="FF0000"/>
            </a:solidFill>
            <a:prstDash val="solid"/>
            <a:miter lim="800000"/>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sp macro="" textlink="">
        <xdr:nvSpPr>
          <xdr:cNvPr id="5" name="テキスト ボックス 4">
            <a:extLst>
              <a:ext uri="{FF2B5EF4-FFF2-40B4-BE49-F238E27FC236}">
                <a16:creationId xmlns:a16="http://schemas.microsoft.com/office/drawing/2014/main" id="{2EF61B7C-4308-2E4C-0C3E-120D15B6ABEE}"/>
              </a:ext>
            </a:extLst>
          </xdr:cNvPr>
          <xdr:cNvSpPr txBox="1"/>
        </xdr:nvSpPr>
        <xdr:spPr>
          <a:xfrm>
            <a:off x="8102600" y="5654675"/>
            <a:ext cx="6350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ja-JP" altLang="en-US" sz="900">
                <a:solidFill>
                  <a:srgbClr val="FF0000"/>
                </a:solidFill>
                <a:ea typeface="ＭＳ Ｐ明朝" panose="02020600040205080304" pitchFamily="18" charset="-128"/>
              </a:rPr>
              <a:t>製造課</a:t>
            </a:r>
          </a:p>
        </xdr:txBody>
      </xdr:sp>
      <xdr:sp macro="" textlink="">
        <xdr:nvSpPr>
          <xdr:cNvPr id="6" name="テキスト ボックス 5">
            <a:extLst>
              <a:ext uri="{FF2B5EF4-FFF2-40B4-BE49-F238E27FC236}">
                <a16:creationId xmlns:a16="http://schemas.microsoft.com/office/drawing/2014/main" id="{B4C7046F-3AE5-EF3C-4C03-31EF3C7F4467}"/>
              </a:ext>
            </a:extLst>
          </xdr:cNvPr>
          <xdr:cNvSpPr txBox="1"/>
        </xdr:nvSpPr>
        <xdr:spPr>
          <a:xfrm>
            <a:off x="8089900" y="5853113"/>
            <a:ext cx="6604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en-US" altLang="ja-JP" sz="900">
                <a:solidFill>
                  <a:srgbClr val="FF0000"/>
                </a:solidFill>
                <a:ea typeface="ＭＳ Ｐ明朝" panose="02020600040205080304" pitchFamily="18" charset="-128"/>
              </a:rPr>
              <a:t>22/08/03</a:t>
            </a:r>
            <a:endParaRPr kumimoji="1" lang="ja-JP" altLang="en-US" sz="900">
              <a:solidFill>
                <a:srgbClr val="FF0000"/>
              </a:solidFill>
              <a:ea typeface="ＭＳ Ｐ明朝" panose="02020600040205080304" pitchFamily="18" charset="-128"/>
            </a:endParaRPr>
          </a:p>
        </xdr:txBody>
      </xdr:sp>
      <xdr:sp macro="" textlink="">
        <xdr:nvSpPr>
          <xdr:cNvPr id="7" name="テキスト ボックス 6">
            <a:extLst>
              <a:ext uri="{FF2B5EF4-FFF2-40B4-BE49-F238E27FC236}">
                <a16:creationId xmlns:a16="http://schemas.microsoft.com/office/drawing/2014/main" id="{E3AD5E3E-2B7C-6383-AD7B-8585F0A74A52}"/>
              </a:ext>
            </a:extLst>
          </xdr:cNvPr>
          <xdr:cNvSpPr txBox="1"/>
        </xdr:nvSpPr>
        <xdr:spPr>
          <a:xfrm>
            <a:off x="8102600" y="6054725"/>
            <a:ext cx="6350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ja-JP" altLang="en-US" sz="900">
                <a:solidFill>
                  <a:srgbClr val="FF0000"/>
                </a:solidFill>
                <a:ea typeface="ＭＳ Ｐ明朝" panose="02020600040205080304" pitchFamily="18" charset="-128"/>
              </a:rPr>
              <a:t>新井翔</a:t>
            </a:r>
          </a:p>
        </xdr:txBody>
      </xdr:sp>
    </xdr:grpSp>
    <xdr:clientData/>
  </xdr:twoCellAnchor>
</xdr:wsDr>
</file>

<file path=xl/drawings/drawing21.xml><?xml version="1.0" encoding="utf-8"?>
<xdr:wsDr xmlns:xdr="http://schemas.openxmlformats.org/drawingml/2006/spreadsheetDrawing" xmlns:a="http://schemas.openxmlformats.org/drawingml/2006/main">
  <xdr:twoCellAnchor>
    <xdr:from>
      <xdr:col>7</xdr:col>
      <xdr:colOff>19050</xdr:colOff>
      <xdr:row>27</xdr:row>
      <xdr:rowOff>9525</xdr:rowOff>
    </xdr:from>
    <xdr:to>
      <xdr:col>12</xdr:col>
      <xdr:colOff>28575</xdr:colOff>
      <xdr:row>33</xdr:row>
      <xdr:rowOff>200025</xdr:rowOff>
    </xdr:to>
    <xdr:cxnSp macro="">
      <xdr:nvCxnSpPr>
        <xdr:cNvPr id="3" name="直線コネクタ 2">
          <a:extLst>
            <a:ext uri="{FF2B5EF4-FFF2-40B4-BE49-F238E27FC236}">
              <a16:creationId xmlns:a16="http://schemas.microsoft.com/office/drawing/2014/main" id="{A1E318AC-D1E7-0991-0353-11F41D12DA06}"/>
            </a:ext>
          </a:extLst>
        </xdr:cNvPr>
        <xdr:cNvCxnSpPr/>
      </xdr:nvCxnSpPr>
      <xdr:spPr>
        <a:xfrm>
          <a:off x="3552825" y="5629275"/>
          <a:ext cx="2533650" cy="144780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173038</xdr:colOff>
      <xdr:row>26</xdr:row>
      <xdr:rowOff>173038</xdr:rowOff>
    </xdr:from>
    <xdr:to>
      <xdr:col>17</xdr:col>
      <xdr:colOff>328613</xdr:colOff>
      <xdr:row>29</xdr:row>
      <xdr:rowOff>201613</xdr:rowOff>
    </xdr:to>
    <xdr:grpSp>
      <xdr:nvGrpSpPr>
        <xdr:cNvPr id="9" name="グループ化 8">
          <a:extLst>
            <a:ext uri="{FF2B5EF4-FFF2-40B4-BE49-F238E27FC236}">
              <a16:creationId xmlns:a16="http://schemas.microsoft.com/office/drawing/2014/main" id="{BCE4547A-96DC-F3DA-CE8D-02E1D43FAAC4}"/>
            </a:ext>
          </a:extLst>
        </xdr:cNvPr>
        <xdr:cNvGrpSpPr/>
      </xdr:nvGrpSpPr>
      <xdr:grpSpPr>
        <a:xfrm>
          <a:off x="8250238" y="5583238"/>
          <a:ext cx="660400" cy="657225"/>
          <a:chOff x="8089900" y="5816600"/>
          <a:chExt cx="660400" cy="657225"/>
        </a:xfrm>
      </xdr:grpSpPr>
      <xdr:sp macro="" textlink="">
        <xdr:nvSpPr>
          <xdr:cNvPr id="2" name="楕円 1">
            <a:extLst>
              <a:ext uri="{FF2B5EF4-FFF2-40B4-BE49-F238E27FC236}">
                <a16:creationId xmlns:a16="http://schemas.microsoft.com/office/drawing/2014/main" id="{5D51A72F-1136-9D32-417C-4DC71FACCF33}"/>
              </a:ext>
            </a:extLst>
          </xdr:cNvPr>
          <xdr:cNvSpPr/>
        </xdr:nvSpPr>
        <xdr:spPr>
          <a:xfrm>
            <a:off x="8089900" y="5816600"/>
            <a:ext cx="657225" cy="657225"/>
          </a:xfrm>
          <a:prstGeom prst="ellipse">
            <a:avLst/>
          </a:prstGeom>
          <a:solidFill>
            <a:srgbClr xmlns:mc="http://schemas.openxmlformats.org/markup-compatibility/2006" xmlns:a14="http://schemas.microsoft.com/office/drawing/2010/main" val="FFFFFF" mc:Ignorable="a14" a14:legacySpreadsheetColorIndex="65"/>
          </a:solidFill>
          <a:ln w="19050" cap="flat" cmpd="sng" algn="ctr">
            <a:solidFill>
              <a:srgbClr val="FF0000"/>
            </a:solidFill>
            <a:prstDash val="solid"/>
            <a:miter lim="800000"/>
            <a:headEnd type="none" w="med" len="med"/>
            <a:tailEnd type="non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4" name="直線コネクタ 3">
            <a:extLst>
              <a:ext uri="{FF2B5EF4-FFF2-40B4-BE49-F238E27FC236}">
                <a16:creationId xmlns:a16="http://schemas.microsoft.com/office/drawing/2014/main" id="{66A8D613-C2D7-0C39-430D-5F24CE24A2DC}"/>
              </a:ext>
            </a:extLst>
          </xdr:cNvPr>
          <xdr:cNvCxnSpPr/>
        </xdr:nvCxnSpPr>
        <xdr:spPr>
          <a:xfrm>
            <a:off x="8115300" y="6035675"/>
            <a:ext cx="606425" cy="0"/>
          </a:xfrm>
          <a:prstGeom prst="line">
            <a:avLst/>
          </a:prstGeom>
          <a:ln w="9525" cap="flat" cmpd="sng" algn="ctr">
            <a:solidFill>
              <a:srgbClr val="FF0000"/>
            </a:solidFill>
            <a:prstDash val="solid"/>
            <a:miter lim="800000"/>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xnSp macro="">
        <xdr:nvCxnSpPr>
          <xdr:cNvPr id="5" name="直線コネクタ 4">
            <a:extLst>
              <a:ext uri="{FF2B5EF4-FFF2-40B4-BE49-F238E27FC236}">
                <a16:creationId xmlns:a16="http://schemas.microsoft.com/office/drawing/2014/main" id="{E4A22464-BA1D-E93E-D478-EF436208317B}"/>
              </a:ext>
            </a:extLst>
          </xdr:cNvPr>
          <xdr:cNvCxnSpPr/>
        </xdr:nvCxnSpPr>
        <xdr:spPr>
          <a:xfrm>
            <a:off x="8115300" y="6254750"/>
            <a:ext cx="606425" cy="0"/>
          </a:xfrm>
          <a:prstGeom prst="line">
            <a:avLst/>
          </a:prstGeom>
          <a:ln w="9525" cap="flat" cmpd="sng" algn="ctr">
            <a:solidFill>
              <a:srgbClr val="FF0000"/>
            </a:solidFill>
            <a:prstDash val="solid"/>
            <a:miter lim="800000"/>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sp macro="" textlink="">
        <xdr:nvSpPr>
          <xdr:cNvPr id="6" name="テキスト ボックス 5">
            <a:extLst>
              <a:ext uri="{FF2B5EF4-FFF2-40B4-BE49-F238E27FC236}">
                <a16:creationId xmlns:a16="http://schemas.microsoft.com/office/drawing/2014/main" id="{6C7A4A3D-D2A0-8BC9-53C0-19C119ECF414}"/>
              </a:ext>
            </a:extLst>
          </xdr:cNvPr>
          <xdr:cNvSpPr txBox="1"/>
        </xdr:nvSpPr>
        <xdr:spPr>
          <a:xfrm>
            <a:off x="8102600" y="5864225"/>
            <a:ext cx="6350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ja-JP" altLang="en-US" sz="900">
                <a:solidFill>
                  <a:srgbClr val="FF0000"/>
                </a:solidFill>
                <a:ea typeface="ＭＳ Ｐ明朝" panose="02020600040205080304" pitchFamily="18" charset="-128"/>
              </a:rPr>
              <a:t>製造課</a:t>
            </a:r>
          </a:p>
        </xdr:txBody>
      </xdr:sp>
      <xdr:sp macro="" textlink="">
        <xdr:nvSpPr>
          <xdr:cNvPr id="7" name="テキスト ボックス 6">
            <a:extLst>
              <a:ext uri="{FF2B5EF4-FFF2-40B4-BE49-F238E27FC236}">
                <a16:creationId xmlns:a16="http://schemas.microsoft.com/office/drawing/2014/main" id="{EFA2C1EB-DA30-0F6C-7D14-1B361FA311C9}"/>
              </a:ext>
            </a:extLst>
          </xdr:cNvPr>
          <xdr:cNvSpPr txBox="1"/>
        </xdr:nvSpPr>
        <xdr:spPr>
          <a:xfrm>
            <a:off x="8089900" y="6062663"/>
            <a:ext cx="6604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en-US" altLang="ja-JP" sz="825">
                <a:solidFill>
                  <a:srgbClr val="FF0000"/>
                </a:solidFill>
                <a:ea typeface="ＭＳ Ｐ明朝" panose="02020600040205080304" pitchFamily="18" charset="-128"/>
              </a:rPr>
              <a:t>2022/6/14</a:t>
            </a:r>
            <a:endParaRPr kumimoji="1" lang="ja-JP" altLang="en-US" sz="825">
              <a:solidFill>
                <a:srgbClr val="FF0000"/>
              </a:solidFill>
              <a:ea typeface="ＭＳ Ｐ明朝" panose="02020600040205080304" pitchFamily="18" charset="-128"/>
            </a:endParaRPr>
          </a:p>
        </xdr:txBody>
      </xdr:sp>
      <xdr:sp macro="" textlink="">
        <xdr:nvSpPr>
          <xdr:cNvPr id="8" name="テキスト ボックス 7">
            <a:extLst>
              <a:ext uri="{FF2B5EF4-FFF2-40B4-BE49-F238E27FC236}">
                <a16:creationId xmlns:a16="http://schemas.microsoft.com/office/drawing/2014/main" id="{718CECD8-6245-92EE-3C24-F7B9121F3BA9}"/>
              </a:ext>
            </a:extLst>
          </xdr:cNvPr>
          <xdr:cNvSpPr txBox="1"/>
        </xdr:nvSpPr>
        <xdr:spPr>
          <a:xfrm>
            <a:off x="8102600" y="6264275"/>
            <a:ext cx="6350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ja-JP" altLang="en-US" sz="900">
                <a:solidFill>
                  <a:srgbClr val="FF0000"/>
                </a:solidFill>
                <a:ea typeface="ＭＳ Ｐ明朝" panose="02020600040205080304" pitchFamily="18" charset="-128"/>
              </a:rPr>
              <a:t>髙田</a:t>
            </a:r>
          </a:p>
        </xdr:txBody>
      </xdr:sp>
    </xdr:grpSp>
    <xdr:clientData/>
  </xdr:twoCellAnchor>
</xdr:wsDr>
</file>

<file path=xl/drawings/drawing22.xml><?xml version="1.0" encoding="utf-8"?>
<xdr:wsDr xmlns:xdr="http://schemas.openxmlformats.org/drawingml/2006/spreadsheetDrawing" xmlns:a="http://schemas.openxmlformats.org/drawingml/2006/main">
  <xdr:twoCellAnchor>
    <xdr:from>
      <xdr:col>10</xdr:col>
      <xdr:colOff>19050</xdr:colOff>
      <xdr:row>2</xdr:row>
      <xdr:rowOff>19050</xdr:rowOff>
    </xdr:from>
    <xdr:to>
      <xdr:col>11</xdr:col>
      <xdr:colOff>9525</xdr:colOff>
      <xdr:row>8</xdr:row>
      <xdr:rowOff>200025</xdr:rowOff>
    </xdr:to>
    <xdr:cxnSp macro="">
      <xdr:nvCxnSpPr>
        <xdr:cNvPr id="3" name="直線コネクタ 2">
          <a:extLst>
            <a:ext uri="{FF2B5EF4-FFF2-40B4-BE49-F238E27FC236}">
              <a16:creationId xmlns:a16="http://schemas.microsoft.com/office/drawing/2014/main" id="{72579AFE-2BAF-49A7-A126-D87620A89F9D}"/>
            </a:ext>
          </a:extLst>
        </xdr:cNvPr>
        <xdr:cNvCxnSpPr/>
      </xdr:nvCxnSpPr>
      <xdr:spPr>
        <a:xfrm flipV="1">
          <a:off x="5067300" y="466725"/>
          <a:ext cx="495300" cy="143827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19050</xdr:colOff>
      <xdr:row>2</xdr:row>
      <xdr:rowOff>19050</xdr:rowOff>
    </xdr:from>
    <xdr:to>
      <xdr:col>16</xdr:col>
      <xdr:colOff>495300</xdr:colOff>
      <xdr:row>8</xdr:row>
      <xdr:rowOff>200025</xdr:rowOff>
    </xdr:to>
    <xdr:cxnSp macro="">
      <xdr:nvCxnSpPr>
        <xdr:cNvPr id="4" name="直線コネクタ 3">
          <a:extLst>
            <a:ext uri="{FF2B5EF4-FFF2-40B4-BE49-F238E27FC236}">
              <a16:creationId xmlns:a16="http://schemas.microsoft.com/office/drawing/2014/main" id="{C7160E68-99B1-4ACF-9037-952B271DD896}"/>
            </a:ext>
          </a:extLst>
        </xdr:cNvPr>
        <xdr:cNvCxnSpPr/>
      </xdr:nvCxnSpPr>
      <xdr:spPr>
        <a:xfrm flipV="1">
          <a:off x="6581775" y="466725"/>
          <a:ext cx="1990725" cy="143827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439738</xdr:colOff>
      <xdr:row>26</xdr:row>
      <xdr:rowOff>182563</xdr:rowOff>
    </xdr:from>
    <xdr:to>
      <xdr:col>17</xdr:col>
      <xdr:colOff>90488</xdr:colOff>
      <xdr:row>30</xdr:row>
      <xdr:rowOff>1588</xdr:rowOff>
    </xdr:to>
    <xdr:grpSp>
      <xdr:nvGrpSpPr>
        <xdr:cNvPr id="10" name="グループ化 9">
          <a:extLst>
            <a:ext uri="{FF2B5EF4-FFF2-40B4-BE49-F238E27FC236}">
              <a16:creationId xmlns:a16="http://schemas.microsoft.com/office/drawing/2014/main" id="{99DEA655-F712-4D05-AB76-05B29EB5FB51}"/>
            </a:ext>
          </a:extLst>
        </xdr:cNvPr>
        <xdr:cNvGrpSpPr/>
      </xdr:nvGrpSpPr>
      <xdr:grpSpPr>
        <a:xfrm>
          <a:off x="8012113" y="5592763"/>
          <a:ext cx="660400" cy="657225"/>
          <a:chOff x="8089900" y="5816600"/>
          <a:chExt cx="660400" cy="657225"/>
        </a:xfrm>
      </xdr:grpSpPr>
      <xdr:sp macro="" textlink="">
        <xdr:nvSpPr>
          <xdr:cNvPr id="2" name="楕円 1">
            <a:extLst>
              <a:ext uri="{FF2B5EF4-FFF2-40B4-BE49-F238E27FC236}">
                <a16:creationId xmlns:a16="http://schemas.microsoft.com/office/drawing/2014/main" id="{F7C3576F-3DC5-47D4-BFA1-46C0E2BD8A6D}"/>
              </a:ext>
            </a:extLst>
          </xdr:cNvPr>
          <xdr:cNvSpPr/>
        </xdr:nvSpPr>
        <xdr:spPr>
          <a:xfrm>
            <a:off x="8089900" y="5816600"/>
            <a:ext cx="657225" cy="657225"/>
          </a:xfrm>
          <a:prstGeom prst="ellipse">
            <a:avLst/>
          </a:prstGeom>
          <a:solidFill>
            <a:srgbClr xmlns:mc="http://schemas.openxmlformats.org/markup-compatibility/2006" xmlns:a14="http://schemas.microsoft.com/office/drawing/2010/main" val="FFFFFF" mc:Ignorable="a14" a14:legacySpreadsheetColorIndex="65"/>
          </a:solidFill>
          <a:ln w="19050" cap="flat" cmpd="sng" algn="ctr">
            <a:solidFill>
              <a:srgbClr val="FF0000"/>
            </a:solidFill>
            <a:prstDash val="solid"/>
            <a:miter lim="800000"/>
            <a:headEnd type="none" w="med" len="med"/>
            <a:tailEnd type="non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5" name="直線コネクタ 4">
            <a:extLst>
              <a:ext uri="{FF2B5EF4-FFF2-40B4-BE49-F238E27FC236}">
                <a16:creationId xmlns:a16="http://schemas.microsoft.com/office/drawing/2014/main" id="{D56E1056-D0BB-47D7-B487-A3BCBE64C7D4}"/>
              </a:ext>
            </a:extLst>
          </xdr:cNvPr>
          <xdr:cNvCxnSpPr/>
        </xdr:nvCxnSpPr>
        <xdr:spPr>
          <a:xfrm>
            <a:off x="8115300" y="6035675"/>
            <a:ext cx="606425" cy="0"/>
          </a:xfrm>
          <a:prstGeom prst="line">
            <a:avLst/>
          </a:prstGeom>
          <a:ln w="9525" cap="flat" cmpd="sng" algn="ctr">
            <a:solidFill>
              <a:srgbClr val="FF0000"/>
            </a:solidFill>
            <a:prstDash val="solid"/>
            <a:miter lim="800000"/>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xnSp macro="">
        <xdr:nvCxnSpPr>
          <xdr:cNvPr id="6" name="直線コネクタ 5">
            <a:extLst>
              <a:ext uri="{FF2B5EF4-FFF2-40B4-BE49-F238E27FC236}">
                <a16:creationId xmlns:a16="http://schemas.microsoft.com/office/drawing/2014/main" id="{4224B76E-27F3-4EB0-B80D-33CCB68EFBFF}"/>
              </a:ext>
            </a:extLst>
          </xdr:cNvPr>
          <xdr:cNvCxnSpPr/>
        </xdr:nvCxnSpPr>
        <xdr:spPr>
          <a:xfrm>
            <a:off x="8115300" y="6254750"/>
            <a:ext cx="606425" cy="0"/>
          </a:xfrm>
          <a:prstGeom prst="line">
            <a:avLst/>
          </a:prstGeom>
          <a:ln w="9525" cap="flat" cmpd="sng" algn="ctr">
            <a:solidFill>
              <a:srgbClr val="FF0000"/>
            </a:solidFill>
            <a:prstDash val="solid"/>
            <a:miter lim="800000"/>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sp macro="" textlink="">
        <xdr:nvSpPr>
          <xdr:cNvPr id="7" name="テキスト ボックス 6">
            <a:extLst>
              <a:ext uri="{FF2B5EF4-FFF2-40B4-BE49-F238E27FC236}">
                <a16:creationId xmlns:a16="http://schemas.microsoft.com/office/drawing/2014/main" id="{1E80559F-3042-41CA-B60E-1D633F865D82}"/>
              </a:ext>
            </a:extLst>
          </xdr:cNvPr>
          <xdr:cNvSpPr txBox="1"/>
        </xdr:nvSpPr>
        <xdr:spPr>
          <a:xfrm>
            <a:off x="8102600" y="5864225"/>
            <a:ext cx="6350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ja-JP" altLang="en-US" sz="900">
                <a:solidFill>
                  <a:srgbClr val="FF0000"/>
                </a:solidFill>
                <a:ea typeface="ＭＳ Ｐ明朝" panose="02020600040205080304" pitchFamily="18" charset="-128"/>
              </a:rPr>
              <a:t>製造課</a:t>
            </a:r>
          </a:p>
        </xdr:txBody>
      </xdr:sp>
      <xdr:sp macro="" textlink="">
        <xdr:nvSpPr>
          <xdr:cNvPr id="8" name="テキスト ボックス 7">
            <a:extLst>
              <a:ext uri="{FF2B5EF4-FFF2-40B4-BE49-F238E27FC236}">
                <a16:creationId xmlns:a16="http://schemas.microsoft.com/office/drawing/2014/main" id="{303FAFAB-6766-433E-A032-FB7757B05610}"/>
              </a:ext>
            </a:extLst>
          </xdr:cNvPr>
          <xdr:cNvSpPr txBox="1"/>
        </xdr:nvSpPr>
        <xdr:spPr>
          <a:xfrm>
            <a:off x="8089900" y="6062663"/>
            <a:ext cx="6604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en-US" altLang="ja-JP" sz="825">
                <a:solidFill>
                  <a:srgbClr val="FF0000"/>
                </a:solidFill>
                <a:ea typeface="ＭＳ Ｐ明朝" panose="02020600040205080304" pitchFamily="18" charset="-128"/>
              </a:rPr>
              <a:t>2022/4/15</a:t>
            </a:r>
            <a:endParaRPr kumimoji="1" lang="ja-JP" altLang="en-US" sz="825">
              <a:solidFill>
                <a:srgbClr val="FF0000"/>
              </a:solidFill>
              <a:ea typeface="ＭＳ Ｐ明朝" panose="02020600040205080304" pitchFamily="18" charset="-128"/>
            </a:endParaRPr>
          </a:p>
        </xdr:txBody>
      </xdr:sp>
      <xdr:sp macro="" textlink="">
        <xdr:nvSpPr>
          <xdr:cNvPr id="9" name="テキスト ボックス 8">
            <a:extLst>
              <a:ext uri="{FF2B5EF4-FFF2-40B4-BE49-F238E27FC236}">
                <a16:creationId xmlns:a16="http://schemas.microsoft.com/office/drawing/2014/main" id="{005C27B4-FFF5-4B68-AD94-E837EB5365F0}"/>
              </a:ext>
            </a:extLst>
          </xdr:cNvPr>
          <xdr:cNvSpPr txBox="1"/>
        </xdr:nvSpPr>
        <xdr:spPr>
          <a:xfrm>
            <a:off x="8102600" y="6264275"/>
            <a:ext cx="6350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ja-JP" altLang="en-US" sz="900">
                <a:solidFill>
                  <a:srgbClr val="FF0000"/>
                </a:solidFill>
                <a:ea typeface="ＭＳ Ｐ明朝" panose="02020600040205080304" pitchFamily="18" charset="-128"/>
              </a:rPr>
              <a:t>髙田</a:t>
            </a:r>
          </a:p>
        </xdr:txBody>
      </xdr:sp>
    </xdr:grpSp>
    <xdr:clientData/>
  </xdr:twoCellAnchor>
</xdr:wsDr>
</file>

<file path=xl/drawings/drawing23.xml><?xml version="1.0" encoding="utf-8"?>
<xdr:wsDr xmlns:xdr="http://schemas.openxmlformats.org/drawingml/2006/spreadsheetDrawing" xmlns:a="http://schemas.openxmlformats.org/drawingml/2006/main">
  <xdr:twoCellAnchor>
    <xdr:from>
      <xdr:col>16</xdr:col>
      <xdr:colOff>220663</xdr:colOff>
      <xdr:row>27</xdr:row>
      <xdr:rowOff>1588</xdr:rowOff>
    </xdr:from>
    <xdr:to>
      <xdr:col>17</xdr:col>
      <xdr:colOff>376238</xdr:colOff>
      <xdr:row>30</xdr:row>
      <xdr:rowOff>30163</xdr:rowOff>
    </xdr:to>
    <xdr:grpSp>
      <xdr:nvGrpSpPr>
        <xdr:cNvPr id="8" name="グループ化 7">
          <a:extLst>
            <a:ext uri="{FF2B5EF4-FFF2-40B4-BE49-F238E27FC236}">
              <a16:creationId xmlns:a16="http://schemas.microsoft.com/office/drawing/2014/main" id="{3DCEF316-B56D-4A59-9BE7-3CC11522C001}"/>
            </a:ext>
          </a:extLst>
        </xdr:cNvPr>
        <xdr:cNvGrpSpPr/>
      </xdr:nvGrpSpPr>
      <xdr:grpSpPr>
        <a:xfrm>
          <a:off x="8297863" y="5621338"/>
          <a:ext cx="660400" cy="657225"/>
          <a:chOff x="8089900" y="5816600"/>
          <a:chExt cx="660400" cy="657225"/>
        </a:xfrm>
      </xdr:grpSpPr>
      <xdr:sp macro="" textlink="">
        <xdr:nvSpPr>
          <xdr:cNvPr id="2" name="楕円 1">
            <a:extLst>
              <a:ext uri="{FF2B5EF4-FFF2-40B4-BE49-F238E27FC236}">
                <a16:creationId xmlns:a16="http://schemas.microsoft.com/office/drawing/2014/main" id="{23BFEDB0-9861-4366-BFC4-A07A1933408B}"/>
              </a:ext>
            </a:extLst>
          </xdr:cNvPr>
          <xdr:cNvSpPr/>
        </xdr:nvSpPr>
        <xdr:spPr>
          <a:xfrm>
            <a:off x="8089900" y="5816600"/>
            <a:ext cx="657225" cy="657225"/>
          </a:xfrm>
          <a:prstGeom prst="ellipse">
            <a:avLst/>
          </a:prstGeom>
          <a:solidFill>
            <a:srgbClr xmlns:mc="http://schemas.openxmlformats.org/markup-compatibility/2006" xmlns:a14="http://schemas.microsoft.com/office/drawing/2010/main" val="FFFFFF" mc:Ignorable="a14" a14:legacySpreadsheetColorIndex="65"/>
          </a:solidFill>
          <a:ln w="19050" cap="flat" cmpd="sng" algn="ctr">
            <a:solidFill>
              <a:srgbClr val="FF0000"/>
            </a:solidFill>
            <a:prstDash val="solid"/>
            <a:miter lim="800000"/>
            <a:headEnd type="none" w="med" len="med"/>
            <a:tailEnd type="non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3" name="直線コネクタ 2">
            <a:extLst>
              <a:ext uri="{FF2B5EF4-FFF2-40B4-BE49-F238E27FC236}">
                <a16:creationId xmlns:a16="http://schemas.microsoft.com/office/drawing/2014/main" id="{2487EFD3-7E47-4337-8742-47AEE0A325B2}"/>
              </a:ext>
            </a:extLst>
          </xdr:cNvPr>
          <xdr:cNvCxnSpPr/>
        </xdr:nvCxnSpPr>
        <xdr:spPr>
          <a:xfrm>
            <a:off x="8115300" y="6035675"/>
            <a:ext cx="606425" cy="0"/>
          </a:xfrm>
          <a:prstGeom prst="line">
            <a:avLst/>
          </a:prstGeom>
          <a:ln w="9525" cap="flat" cmpd="sng" algn="ctr">
            <a:solidFill>
              <a:srgbClr val="FF0000"/>
            </a:solidFill>
            <a:prstDash val="solid"/>
            <a:miter lim="800000"/>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xnSp macro="">
        <xdr:nvCxnSpPr>
          <xdr:cNvPr id="4" name="直線コネクタ 3">
            <a:extLst>
              <a:ext uri="{FF2B5EF4-FFF2-40B4-BE49-F238E27FC236}">
                <a16:creationId xmlns:a16="http://schemas.microsoft.com/office/drawing/2014/main" id="{587111B2-E818-4D28-84E2-8ED0AD92A749}"/>
              </a:ext>
            </a:extLst>
          </xdr:cNvPr>
          <xdr:cNvCxnSpPr/>
        </xdr:nvCxnSpPr>
        <xdr:spPr>
          <a:xfrm>
            <a:off x="8115300" y="6254750"/>
            <a:ext cx="606425" cy="0"/>
          </a:xfrm>
          <a:prstGeom prst="line">
            <a:avLst/>
          </a:prstGeom>
          <a:ln w="9525" cap="flat" cmpd="sng" algn="ctr">
            <a:solidFill>
              <a:srgbClr val="FF0000"/>
            </a:solidFill>
            <a:prstDash val="solid"/>
            <a:miter lim="800000"/>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sp macro="" textlink="">
        <xdr:nvSpPr>
          <xdr:cNvPr id="5" name="テキスト ボックス 4">
            <a:extLst>
              <a:ext uri="{FF2B5EF4-FFF2-40B4-BE49-F238E27FC236}">
                <a16:creationId xmlns:a16="http://schemas.microsoft.com/office/drawing/2014/main" id="{0F631BAE-9E24-4C72-AC90-87342E8D0DCE}"/>
              </a:ext>
            </a:extLst>
          </xdr:cNvPr>
          <xdr:cNvSpPr txBox="1"/>
        </xdr:nvSpPr>
        <xdr:spPr>
          <a:xfrm>
            <a:off x="8102600" y="5864225"/>
            <a:ext cx="6350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ja-JP" altLang="en-US" sz="900">
                <a:solidFill>
                  <a:srgbClr val="FF0000"/>
                </a:solidFill>
                <a:ea typeface="ＭＳ Ｐ明朝" panose="02020600040205080304" pitchFamily="18" charset="-128"/>
              </a:rPr>
              <a:t>製造課</a:t>
            </a:r>
          </a:p>
        </xdr:txBody>
      </xdr:sp>
      <xdr:sp macro="" textlink="">
        <xdr:nvSpPr>
          <xdr:cNvPr id="6" name="テキスト ボックス 5">
            <a:extLst>
              <a:ext uri="{FF2B5EF4-FFF2-40B4-BE49-F238E27FC236}">
                <a16:creationId xmlns:a16="http://schemas.microsoft.com/office/drawing/2014/main" id="{AA498C40-54D1-4CCB-94E6-D513FE4E26F6}"/>
              </a:ext>
            </a:extLst>
          </xdr:cNvPr>
          <xdr:cNvSpPr txBox="1"/>
        </xdr:nvSpPr>
        <xdr:spPr>
          <a:xfrm>
            <a:off x="8089900" y="6062663"/>
            <a:ext cx="6604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en-US" altLang="ja-JP" sz="825">
                <a:solidFill>
                  <a:srgbClr val="FF0000"/>
                </a:solidFill>
                <a:ea typeface="ＭＳ Ｐ明朝" panose="02020600040205080304" pitchFamily="18" charset="-128"/>
              </a:rPr>
              <a:t>2022/2/16</a:t>
            </a:r>
            <a:endParaRPr kumimoji="1" lang="ja-JP" altLang="en-US" sz="825">
              <a:solidFill>
                <a:srgbClr val="FF0000"/>
              </a:solidFill>
              <a:ea typeface="ＭＳ Ｐ明朝" panose="02020600040205080304" pitchFamily="18" charset="-128"/>
            </a:endParaRPr>
          </a:p>
        </xdr:txBody>
      </xdr:sp>
      <xdr:sp macro="" textlink="">
        <xdr:nvSpPr>
          <xdr:cNvPr id="7" name="テキスト ボックス 6">
            <a:extLst>
              <a:ext uri="{FF2B5EF4-FFF2-40B4-BE49-F238E27FC236}">
                <a16:creationId xmlns:a16="http://schemas.microsoft.com/office/drawing/2014/main" id="{BE66362B-FC00-4F0C-A8C9-AE2DC5335E9D}"/>
              </a:ext>
            </a:extLst>
          </xdr:cNvPr>
          <xdr:cNvSpPr txBox="1"/>
        </xdr:nvSpPr>
        <xdr:spPr>
          <a:xfrm>
            <a:off x="8102600" y="6264275"/>
            <a:ext cx="6350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ja-JP" altLang="en-US" sz="900">
                <a:solidFill>
                  <a:srgbClr val="FF0000"/>
                </a:solidFill>
                <a:ea typeface="ＭＳ Ｐ明朝" panose="02020600040205080304" pitchFamily="18" charset="-128"/>
              </a:rPr>
              <a:t>髙田</a:t>
            </a:r>
          </a:p>
        </xdr:txBody>
      </xdr:sp>
    </xdr:grpSp>
    <xdr:clientData/>
  </xdr:twoCellAnchor>
</xdr:wsDr>
</file>

<file path=xl/drawings/drawing24.xml><?xml version="1.0" encoding="utf-8"?>
<xdr:wsDr xmlns:xdr="http://schemas.openxmlformats.org/drawingml/2006/spreadsheetDrawing" xmlns:a="http://schemas.openxmlformats.org/drawingml/2006/main">
  <xdr:twoCellAnchor>
    <xdr:from>
      <xdr:col>12</xdr:col>
      <xdr:colOff>476250</xdr:colOff>
      <xdr:row>2</xdr:row>
      <xdr:rowOff>9525</xdr:rowOff>
    </xdr:from>
    <xdr:to>
      <xdr:col>16</xdr:col>
      <xdr:colOff>495300</xdr:colOff>
      <xdr:row>9</xdr:row>
      <xdr:rowOff>0</xdr:rowOff>
    </xdr:to>
    <xdr:cxnSp macro="">
      <xdr:nvCxnSpPr>
        <xdr:cNvPr id="3" name="直線コネクタ 2">
          <a:extLst>
            <a:ext uri="{FF2B5EF4-FFF2-40B4-BE49-F238E27FC236}">
              <a16:creationId xmlns:a16="http://schemas.microsoft.com/office/drawing/2014/main" id="{C9802C3D-B412-4A4E-B3D9-9ED4F82E4C85}"/>
            </a:ext>
          </a:extLst>
        </xdr:cNvPr>
        <xdr:cNvCxnSpPr/>
      </xdr:nvCxnSpPr>
      <xdr:spPr>
        <a:xfrm>
          <a:off x="6534150" y="457200"/>
          <a:ext cx="2038350" cy="14573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9525</xdr:colOff>
      <xdr:row>2</xdr:row>
      <xdr:rowOff>28575</xdr:rowOff>
    </xdr:from>
    <xdr:to>
      <xdr:col>12</xdr:col>
      <xdr:colOff>28575</xdr:colOff>
      <xdr:row>9</xdr:row>
      <xdr:rowOff>9525</xdr:rowOff>
    </xdr:to>
    <xdr:cxnSp macro="">
      <xdr:nvCxnSpPr>
        <xdr:cNvPr id="4" name="直線コネクタ 3">
          <a:extLst>
            <a:ext uri="{FF2B5EF4-FFF2-40B4-BE49-F238E27FC236}">
              <a16:creationId xmlns:a16="http://schemas.microsoft.com/office/drawing/2014/main" id="{99BAB88D-BF0E-4A00-AE38-3C21762CBC64}"/>
            </a:ext>
          </a:extLst>
        </xdr:cNvPr>
        <xdr:cNvCxnSpPr/>
      </xdr:nvCxnSpPr>
      <xdr:spPr>
        <a:xfrm>
          <a:off x="5057775" y="476250"/>
          <a:ext cx="1028700" cy="144780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163513</xdr:colOff>
      <xdr:row>26</xdr:row>
      <xdr:rowOff>182563</xdr:rowOff>
    </xdr:from>
    <xdr:to>
      <xdr:col>17</xdr:col>
      <xdr:colOff>319088</xdr:colOff>
      <xdr:row>30</xdr:row>
      <xdr:rowOff>1588</xdr:rowOff>
    </xdr:to>
    <xdr:grpSp>
      <xdr:nvGrpSpPr>
        <xdr:cNvPr id="10" name="グループ化 9">
          <a:extLst>
            <a:ext uri="{FF2B5EF4-FFF2-40B4-BE49-F238E27FC236}">
              <a16:creationId xmlns:a16="http://schemas.microsoft.com/office/drawing/2014/main" id="{8221C8F4-26D6-47C3-AEDF-73C6F2093CF2}"/>
            </a:ext>
          </a:extLst>
        </xdr:cNvPr>
        <xdr:cNvGrpSpPr/>
      </xdr:nvGrpSpPr>
      <xdr:grpSpPr>
        <a:xfrm>
          <a:off x="8240713" y="5592763"/>
          <a:ext cx="660400" cy="657225"/>
          <a:chOff x="8089900" y="5816600"/>
          <a:chExt cx="660400" cy="657225"/>
        </a:xfrm>
      </xdr:grpSpPr>
      <xdr:sp macro="" textlink="">
        <xdr:nvSpPr>
          <xdr:cNvPr id="2" name="楕円 1">
            <a:extLst>
              <a:ext uri="{FF2B5EF4-FFF2-40B4-BE49-F238E27FC236}">
                <a16:creationId xmlns:a16="http://schemas.microsoft.com/office/drawing/2014/main" id="{3A9E2920-909D-446B-9DE3-2E17EA5AF5C1}"/>
              </a:ext>
            </a:extLst>
          </xdr:cNvPr>
          <xdr:cNvSpPr/>
        </xdr:nvSpPr>
        <xdr:spPr>
          <a:xfrm>
            <a:off x="8089900" y="5816600"/>
            <a:ext cx="657225" cy="657225"/>
          </a:xfrm>
          <a:prstGeom prst="ellipse">
            <a:avLst/>
          </a:prstGeom>
          <a:solidFill>
            <a:srgbClr xmlns:mc="http://schemas.openxmlformats.org/markup-compatibility/2006" xmlns:a14="http://schemas.microsoft.com/office/drawing/2010/main" val="FFFFFF" mc:Ignorable="a14" a14:legacySpreadsheetColorIndex="65"/>
          </a:solidFill>
          <a:ln w="19050" cap="flat" cmpd="sng" algn="ctr">
            <a:solidFill>
              <a:srgbClr val="FF0000"/>
            </a:solidFill>
            <a:prstDash val="solid"/>
            <a:miter lim="800000"/>
            <a:headEnd type="none" w="med" len="med"/>
            <a:tailEnd type="non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5" name="直線コネクタ 4">
            <a:extLst>
              <a:ext uri="{FF2B5EF4-FFF2-40B4-BE49-F238E27FC236}">
                <a16:creationId xmlns:a16="http://schemas.microsoft.com/office/drawing/2014/main" id="{340E99B0-05C3-4A1F-A052-CE2312B5256C}"/>
              </a:ext>
            </a:extLst>
          </xdr:cNvPr>
          <xdr:cNvCxnSpPr/>
        </xdr:nvCxnSpPr>
        <xdr:spPr>
          <a:xfrm>
            <a:off x="8115300" y="6035675"/>
            <a:ext cx="606425" cy="0"/>
          </a:xfrm>
          <a:prstGeom prst="line">
            <a:avLst/>
          </a:prstGeom>
          <a:ln w="9525" cap="flat" cmpd="sng" algn="ctr">
            <a:solidFill>
              <a:srgbClr val="FF0000"/>
            </a:solidFill>
            <a:prstDash val="solid"/>
            <a:miter lim="800000"/>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xnSp macro="">
        <xdr:nvCxnSpPr>
          <xdr:cNvPr id="6" name="直線コネクタ 5">
            <a:extLst>
              <a:ext uri="{FF2B5EF4-FFF2-40B4-BE49-F238E27FC236}">
                <a16:creationId xmlns:a16="http://schemas.microsoft.com/office/drawing/2014/main" id="{CB8D78A1-0D4E-46F1-B5BC-601F6C5E67BE}"/>
              </a:ext>
            </a:extLst>
          </xdr:cNvPr>
          <xdr:cNvCxnSpPr/>
        </xdr:nvCxnSpPr>
        <xdr:spPr>
          <a:xfrm>
            <a:off x="8115300" y="6254750"/>
            <a:ext cx="606425" cy="0"/>
          </a:xfrm>
          <a:prstGeom prst="line">
            <a:avLst/>
          </a:prstGeom>
          <a:ln w="9525" cap="flat" cmpd="sng" algn="ctr">
            <a:solidFill>
              <a:srgbClr val="FF0000"/>
            </a:solidFill>
            <a:prstDash val="solid"/>
            <a:miter lim="800000"/>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sp macro="" textlink="">
        <xdr:nvSpPr>
          <xdr:cNvPr id="7" name="テキスト ボックス 6">
            <a:extLst>
              <a:ext uri="{FF2B5EF4-FFF2-40B4-BE49-F238E27FC236}">
                <a16:creationId xmlns:a16="http://schemas.microsoft.com/office/drawing/2014/main" id="{4F18CB58-CBE7-4F84-B604-C5D47BDE2011}"/>
              </a:ext>
            </a:extLst>
          </xdr:cNvPr>
          <xdr:cNvSpPr txBox="1"/>
        </xdr:nvSpPr>
        <xdr:spPr>
          <a:xfrm>
            <a:off x="8102600" y="5864225"/>
            <a:ext cx="6350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ja-JP" altLang="en-US" sz="900">
                <a:solidFill>
                  <a:srgbClr val="FF0000"/>
                </a:solidFill>
                <a:ea typeface="ＭＳ Ｐ明朝" panose="02020600040205080304" pitchFamily="18" charset="-128"/>
              </a:rPr>
              <a:t>製造課</a:t>
            </a:r>
          </a:p>
        </xdr:txBody>
      </xdr:sp>
      <xdr:sp macro="" textlink="">
        <xdr:nvSpPr>
          <xdr:cNvPr id="8" name="テキスト ボックス 7">
            <a:extLst>
              <a:ext uri="{FF2B5EF4-FFF2-40B4-BE49-F238E27FC236}">
                <a16:creationId xmlns:a16="http://schemas.microsoft.com/office/drawing/2014/main" id="{FCFB2D67-B344-45B3-AE60-88143F8EFBAB}"/>
              </a:ext>
            </a:extLst>
          </xdr:cNvPr>
          <xdr:cNvSpPr txBox="1"/>
        </xdr:nvSpPr>
        <xdr:spPr>
          <a:xfrm>
            <a:off x="8089900" y="6062663"/>
            <a:ext cx="6604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en-US" altLang="ja-JP" sz="825">
                <a:solidFill>
                  <a:srgbClr val="FF0000"/>
                </a:solidFill>
                <a:ea typeface="ＭＳ Ｐ明朝" panose="02020600040205080304" pitchFamily="18" charset="-128"/>
              </a:rPr>
              <a:t>2021/12/16</a:t>
            </a:r>
            <a:endParaRPr kumimoji="1" lang="ja-JP" altLang="en-US" sz="825">
              <a:solidFill>
                <a:srgbClr val="FF0000"/>
              </a:solidFill>
              <a:ea typeface="ＭＳ Ｐ明朝" panose="02020600040205080304" pitchFamily="18" charset="-128"/>
            </a:endParaRPr>
          </a:p>
        </xdr:txBody>
      </xdr:sp>
      <xdr:sp macro="" textlink="">
        <xdr:nvSpPr>
          <xdr:cNvPr id="9" name="テキスト ボックス 8">
            <a:extLst>
              <a:ext uri="{FF2B5EF4-FFF2-40B4-BE49-F238E27FC236}">
                <a16:creationId xmlns:a16="http://schemas.microsoft.com/office/drawing/2014/main" id="{E408FD6C-9CE4-4A03-9A45-97398FB16AA9}"/>
              </a:ext>
            </a:extLst>
          </xdr:cNvPr>
          <xdr:cNvSpPr txBox="1"/>
        </xdr:nvSpPr>
        <xdr:spPr>
          <a:xfrm>
            <a:off x="8102600" y="6264275"/>
            <a:ext cx="6350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ja-JP" altLang="en-US" sz="900">
                <a:solidFill>
                  <a:srgbClr val="FF0000"/>
                </a:solidFill>
                <a:ea typeface="ＭＳ Ｐ明朝" panose="02020600040205080304" pitchFamily="18" charset="-128"/>
              </a:rPr>
              <a:t>髙田</a:t>
            </a:r>
          </a:p>
        </xdr:txBody>
      </xdr:sp>
    </xdr:grp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247650</xdr:colOff>
      <xdr:row>1</xdr:row>
      <xdr:rowOff>95250</xdr:rowOff>
    </xdr:from>
    <xdr:to>
      <xdr:col>9</xdr:col>
      <xdr:colOff>76200</xdr:colOff>
      <xdr:row>9</xdr:row>
      <xdr:rowOff>133350</xdr:rowOff>
    </xdr:to>
    <xdr:sp macro="" textlink="">
      <xdr:nvSpPr>
        <xdr:cNvPr id="9" name="テキスト ボックス 8">
          <a:extLst>
            <a:ext uri="{FF2B5EF4-FFF2-40B4-BE49-F238E27FC236}">
              <a16:creationId xmlns:a16="http://schemas.microsoft.com/office/drawing/2014/main" id="{44758D00-45B2-420A-B700-F7725BD773D5}"/>
            </a:ext>
          </a:extLst>
        </xdr:cNvPr>
        <xdr:cNvSpPr txBox="1"/>
      </xdr:nvSpPr>
      <xdr:spPr>
        <a:xfrm>
          <a:off x="247650" y="333375"/>
          <a:ext cx="4371975" cy="171450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11/16</a:t>
          </a:r>
          <a:r>
            <a:rPr kumimoji="1" lang="ja-JP" altLang="en-US" sz="1100"/>
            <a:t>小田切出社を最後に退社</a:t>
          </a:r>
          <a:endParaRPr kumimoji="1" lang="en-US" altLang="ja-JP" sz="1100"/>
        </a:p>
        <a:p>
          <a:r>
            <a:rPr kumimoji="1" lang="ja-JP" altLang="en-US" sz="1100"/>
            <a:t>夜勤　切粉作業をローテーションに切り替え</a:t>
          </a:r>
          <a:endParaRPr kumimoji="1" lang="en-US" altLang="ja-JP" sz="1100"/>
        </a:p>
        <a:p>
          <a:r>
            <a:rPr kumimoji="1" lang="ja-JP" altLang="en-US" sz="1100"/>
            <a:t>メンバー　　大関、新井啓、丸岡</a:t>
          </a:r>
          <a:endParaRPr kumimoji="1" lang="en-US" altLang="ja-JP" sz="1100"/>
        </a:p>
        <a:p>
          <a:r>
            <a:rPr kumimoji="1" lang="ja-JP" altLang="en-US" sz="1100"/>
            <a:t>　　　　　　大山、馬場</a:t>
          </a:r>
          <a:endParaRPr kumimoji="1" lang="en-US" altLang="ja-JP" sz="1100"/>
        </a:p>
        <a:p>
          <a:r>
            <a:rPr kumimoji="1" lang="ja-JP" altLang="en-US" sz="1100"/>
            <a:t>浅見　　金曜、土曜の夜→土曜、日曜の夜　昼水曜→木曜</a:t>
          </a:r>
          <a:endParaRPr kumimoji="1" lang="en-US" altLang="ja-JP" sz="1100"/>
        </a:p>
        <a:p>
          <a:r>
            <a:rPr kumimoji="1" lang="ja-JP" altLang="en-US" sz="1100"/>
            <a:t>日曜夜から金曜朝までの</a:t>
          </a:r>
          <a:r>
            <a:rPr kumimoji="1" lang="en-US" altLang="ja-JP" sz="1100"/>
            <a:t>5</a:t>
          </a:r>
          <a:r>
            <a:rPr kumimoji="1" lang="ja-JP" altLang="en-US" sz="1100"/>
            <a:t>日間→月曜夜から土曜朝まで</a:t>
          </a:r>
          <a:endParaRPr kumimoji="1" lang="en-US" altLang="ja-JP" sz="1100"/>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15</xdr:col>
      <xdr:colOff>439738</xdr:colOff>
      <xdr:row>26</xdr:row>
      <xdr:rowOff>182563</xdr:rowOff>
    </xdr:from>
    <xdr:to>
      <xdr:col>17</xdr:col>
      <xdr:colOff>90488</xdr:colOff>
      <xdr:row>30</xdr:row>
      <xdr:rowOff>1588</xdr:rowOff>
    </xdr:to>
    <xdr:grpSp>
      <xdr:nvGrpSpPr>
        <xdr:cNvPr id="8" name="グループ化 7">
          <a:extLst>
            <a:ext uri="{FF2B5EF4-FFF2-40B4-BE49-F238E27FC236}">
              <a16:creationId xmlns:a16="http://schemas.microsoft.com/office/drawing/2014/main" id="{75B4042A-3C75-4C13-9914-90B0A995132C}"/>
            </a:ext>
          </a:extLst>
        </xdr:cNvPr>
        <xdr:cNvGrpSpPr/>
      </xdr:nvGrpSpPr>
      <xdr:grpSpPr>
        <a:xfrm>
          <a:off x="8012113" y="5592763"/>
          <a:ext cx="660400" cy="657225"/>
          <a:chOff x="8089900" y="5816600"/>
          <a:chExt cx="660400" cy="657225"/>
        </a:xfrm>
      </xdr:grpSpPr>
      <xdr:sp macro="" textlink="">
        <xdr:nvSpPr>
          <xdr:cNvPr id="2" name="楕円 1">
            <a:extLst>
              <a:ext uri="{FF2B5EF4-FFF2-40B4-BE49-F238E27FC236}">
                <a16:creationId xmlns:a16="http://schemas.microsoft.com/office/drawing/2014/main" id="{6986A789-C18E-48C4-B803-96CCB08B83B4}"/>
              </a:ext>
            </a:extLst>
          </xdr:cNvPr>
          <xdr:cNvSpPr/>
        </xdr:nvSpPr>
        <xdr:spPr>
          <a:xfrm>
            <a:off x="8089900" y="5816600"/>
            <a:ext cx="657225" cy="657225"/>
          </a:xfrm>
          <a:prstGeom prst="ellipse">
            <a:avLst/>
          </a:prstGeom>
          <a:solidFill>
            <a:srgbClr xmlns:mc="http://schemas.openxmlformats.org/markup-compatibility/2006" xmlns:a14="http://schemas.microsoft.com/office/drawing/2010/main" val="FFFFFF" mc:Ignorable="a14" a14:legacySpreadsheetColorIndex="65"/>
          </a:solidFill>
          <a:ln w="19050" cap="flat" cmpd="sng" algn="ctr">
            <a:solidFill>
              <a:srgbClr val="FF0000"/>
            </a:solidFill>
            <a:prstDash val="solid"/>
            <a:miter lim="800000"/>
            <a:headEnd type="none" w="med" len="med"/>
            <a:tailEnd type="non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3" name="直線コネクタ 2">
            <a:extLst>
              <a:ext uri="{FF2B5EF4-FFF2-40B4-BE49-F238E27FC236}">
                <a16:creationId xmlns:a16="http://schemas.microsoft.com/office/drawing/2014/main" id="{A571B639-0F4E-4946-9A79-2FD7F3E5365B}"/>
              </a:ext>
            </a:extLst>
          </xdr:cNvPr>
          <xdr:cNvCxnSpPr/>
        </xdr:nvCxnSpPr>
        <xdr:spPr>
          <a:xfrm>
            <a:off x="8115300" y="6035675"/>
            <a:ext cx="606425" cy="0"/>
          </a:xfrm>
          <a:prstGeom prst="line">
            <a:avLst/>
          </a:prstGeom>
          <a:ln w="9525" cap="flat" cmpd="sng" algn="ctr">
            <a:solidFill>
              <a:srgbClr val="FF0000"/>
            </a:solidFill>
            <a:prstDash val="solid"/>
            <a:miter lim="800000"/>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xnSp macro="">
        <xdr:nvCxnSpPr>
          <xdr:cNvPr id="4" name="直線コネクタ 3">
            <a:extLst>
              <a:ext uri="{FF2B5EF4-FFF2-40B4-BE49-F238E27FC236}">
                <a16:creationId xmlns:a16="http://schemas.microsoft.com/office/drawing/2014/main" id="{3248798A-613E-4C0F-8EC2-4EACBC794D63}"/>
              </a:ext>
            </a:extLst>
          </xdr:cNvPr>
          <xdr:cNvCxnSpPr/>
        </xdr:nvCxnSpPr>
        <xdr:spPr>
          <a:xfrm>
            <a:off x="8115300" y="6254750"/>
            <a:ext cx="606425" cy="0"/>
          </a:xfrm>
          <a:prstGeom prst="line">
            <a:avLst/>
          </a:prstGeom>
          <a:ln w="9525" cap="flat" cmpd="sng" algn="ctr">
            <a:solidFill>
              <a:srgbClr val="FF0000"/>
            </a:solidFill>
            <a:prstDash val="solid"/>
            <a:miter lim="800000"/>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sp macro="" textlink="">
        <xdr:nvSpPr>
          <xdr:cNvPr id="5" name="テキスト ボックス 4">
            <a:extLst>
              <a:ext uri="{FF2B5EF4-FFF2-40B4-BE49-F238E27FC236}">
                <a16:creationId xmlns:a16="http://schemas.microsoft.com/office/drawing/2014/main" id="{19B42AD0-B62D-4E4F-82C8-53140DE69BB4}"/>
              </a:ext>
            </a:extLst>
          </xdr:cNvPr>
          <xdr:cNvSpPr txBox="1"/>
        </xdr:nvSpPr>
        <xdr:spPr>
          <a:xfrm>
            <a:off x="8102600" y="5864225"/>
            <a:ext cx="6350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ja-JP" altLang="en-US" sz="900">
                <a:solidFill>
                  <a:srgbClr val="FF0000"/>
                </a:solidFill>
                <a:ea typeface="ＭＳ Ｐ明朝" panose="02020600040205080304" pitchFamily="18" charset="-128"/>
              </a:rPr>
              <a:t>製造課</a:t>
            </a:r>
          </a:p>
        </xdr:txBody>
      </xdr:sp>
      <xdr:sp macro="" textlink="">
        <xdr:nvSpPr>
          <xdr:cNvPr id="6" name="テキスト ボックス 5">
            <a:extLst>
              <a:ext uri="{FF2B5EF4-FFF2-40B4-BE49-F238E27FC236}">
                <a16:creationId xmlns:a16="http://schemas.microsoft.com/office/drawing/2014/main" id="{F1B81FCE-B8DF-4D6D-9A78-058D4A07549B}"/>
              </a:ext>
            </a:extLst>
          </xdr:cNvPr>
          <xdr:cNvSpPr txBox="1"/>
        </xdr:nvSpPr>
        <xdr:spPr>
          <a:xfrm>
            <a:off x="8089900" y="6062663"/>
            <a:ext cx="6604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en-US" altLang="ja-JP" sz="825">
                <a:solidFill>
                  <a:srgbClr val="FF0000"/>
                </a:solidFill>
                <a:ea typeface="ＭＳ Ｐ明朝" panose="02020600040205080304" pitchFamily="18" charset="-128"/>
              </a:rPr>
              <a:t>2021/10/15</a:t>
            </a:r>
            <a:endParaRPr kumimoji="1" lang="ja-JP" altLang="en-US" sz="825">
              <a:solidFill>
                <a:srgbClr val="FF0000"/>
              </a:solidFill>
              <a:ea typeface="ＭＳ Ｐ明朝" panose="02020600040205080304" pitchFamily="18" charset="-128"/>
            </a:endParaRPr>
          </a:p>
        </xdr:txBody>
      </xdr:sp>
      <xdr:sp macro="" textlink="">
        <xdr:nvSpPr>
          <xdr:cNvPr id="7" name="テキスト ボックス 6">
            <a:extLst>
              <a:ext uri="{FF2B5EF4-FFF2-40B4-BE49-F238E27FC236}">
                <a16:creationId xmlns:a16="http://schemas.microsoft.com/office/drawing/2014/main" id="{3243BAB4-0976-431B-83E7-17838995201D}"/>
              </a:ext>
            </a:extLst>
          </xdr:cNvPr>
          <xdr:cNvSpPr txBox="1"/>
        </xdr:nvSpPr>
        <xdr:spPr>
          <a:xfrm>
            <a:off x="8102600" y="6264275"/>
            <a:ext cx="6350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ja-JP" altLang="en-US" sz="900">
                <a:solidFill>
                  <a:srgbClr val="FF0000"/>
                </a:solidFill>
                <a:ea typeface="ＭＳ Ｐ明朝" panose="02020600040205080304" pitchFamily="18" charset="-128"/>
              </a:rPr>
              <a:t>髙田</a:t>
            </a:r>
          </a:p>
        </xdr:txBody>
      </xdr:sp>
    </xdr:grpSp>
    <xdr:clientData/>
  </xdr:twoCellAnchor>
</xdr:wsDr>
</file>

<file path=xl/drawings/drawing27.xml><?xml version="1.0" encoding="utf-8"?>
<xdr:wsDr xmlns:xdr="http://schemas.openxmlformats.org/drawingml/2006/spreadsheetDrawing" xmlns:a="http://schemas.openxmlformats.org/drawingml/2006/main">
  <xdr:twoCellAnchor>
    <xdr:from>
      <xdr:col>16</xdr:col>
      <xdr:colOff>125413</xdr:colOff>
      <xdr:row>27</xdr:row>
      <xdr:rowOff>58738</xdr:rowOff>
    </xdr:from>
    <xdr:to>
      <xdr:col>17</xdr:col>
      <xdr:colOff>280988</xdr:colOff>
      <xdr:row>30</xdr:row>
      <xdr:rowOff>87313</xdr:rowOff>
    </xdr:to>
    <xdr:grpSp>
      <xdr:nvGrpSpPr>
        <xdr:cNvPr id="8" name="グループ化 7">
          <a:extLst>
            <a:ext uri="{FF2B5EF4-FFF2-40B4-BE49-F238E27FC236}">
              <a16:creationId xmlns:a16="http://schemas.microsoft.com/office/drawing/2014/main" id="{CF0967D4-9FFD-407F-87CB-755E9F23B066}"/>
            </a:ext>
          </a:extLst>
        </xdr:cNvPr>
        <xdr:cNvGrpSpPr/>
      </xdr:nvGrpSpPr>
      <xdr:grpSpPr>
        <a:xfrm>
          <a:off x="8202613" y="5678488"/>
          <a:ext cx="660400" cy="657225"/>
          <a:chOff x="8089900" y="5816600"/>
          <a:chExt cx="660400" cy="657225"/>
        </a:xfrm>
      </xdr:grpSpPr>
      <xdr:sp macro="" textlink="">
        <xdr:nvSpPr>
          <xdr:cNvPr id="2" name="楕円 1">
            <a:extLst>
              <a:ext uri="{FF2B5EF4-FFF2-40B4-BE49-F238E27FC236}">
                <a16:creationId xmlns:a16="http://schemas.microsoft.com/office/drawing/2014/main" id="{B939455D-DEC3-407B-9B43-B738BDCCF316}"/>
              </a:ext>
            </a:extLst>
          </xdr:cNvPr>
          <xdr:cNvSpPr/>
        </xdr:nvSpPr>
        <xdr:spPr>
          <a:xfrm>
            <a:off x="8089900" y="5816600"/>
            <a:ext cx="657225" cy="657225"/>
          </a:xfrm>
          <a:prstGeom prst="ellipse">
            <a:avLst/>
          </a:prstGeom>
          <a:solidFill>
            <a:srgbClr xmlns:mc="http://schemas.openxmlformats.org/markup-compatibility/2006" xmlns:a14="http://schemas.microsoft.com/office/drawing/2010/main" val="FFFFFF" mc:Ignorable="a14" a14:legacySpreadsheetColorIndex="65"/>
          </a:solidFill>
          <a:ln w="19050" cap="flat" cmpd="sng" algn="ctr">
            <a:solidFill>
              <a:srgbClr val="FF0000"/>
            </a:solidFill>
            <a:prstDash val="solid"/>
            <a:miter lim="800000"/>
            <a:headEnd type="none" w="med" len="med"/>
            <a:tailEnd type="non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3" name="直線コネクタ 2">
            <a:extLst>
              <a:ext uri="{FF2B5EF4-FFF2-40B4-BE49-F238E27FC236}">
                <a16:creationId xmlns:a16="http://schemas.microsoft.com/office/drawing/2014/main" id="{F48BDD20-6862-461B-B18D-5498BB9B58E2}"/>
              </a:ext>
            </a:extLst>
          </xdr:cNvPr>
          <xdr:cNvCxnSpPr/>
        </xdr:nvCxnSpPr>
        <xdr:spPr>
          <a:xfrm>
            <a:off x="8115300" y="6035675"/>
            <a:ext cx="606425" cy="0"/>
          </a:xfrm>
          <a:prstGeom prst="line">
            <a:avLst/>
          </a:prstGeom>
          <a:ln w="9525" cap="flat" cmpd="sng" algn="ctr">
            <a:solidFill>
              <a:srgbClr val="FF0000"/>
            </a:solidFill>
            <a:prstDash val="solid"/>
            <a:miter lim="800000"/>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xnSp macro="">
        <xdr:nvCxnSpPr>
          <xdr:cNvPr id="4" name="直線コネクタ 3">
            <a:extLst>
              <a:ext uri="{FF2B5EF4-FFF2-40B4-BE49-F238E27FC236}">
                <a16:creationId xmlns:a16="http://schemas.microsoft.com/office/drawing/2014/main" id="{AE1ED2E9-66EA-4589-8881-776D299C1F97}"/>
              </a:ext>
            </a:extLst>
          </xdr:cNvPr>
          <xdr:cNvCxnSpPr/>
        </xdr:nvCxnSpPr>
        <xdr:spPr>
          <a:xfrm>
            <a:off x="8115300" y="6254750"/>
            <a:ext cx="606425" cy="0"/>
          </a:xfrm>
          <a:prstGeom prst="line">
            <a:avLst/>
          </a:prstGeom>
          <a:ln w="9525" cap="flat" cmpd="sng" algn="ctr">
            <a:solidFill>
              <a:srgbClr val="FF0000"/>
            </a:solidFill>
            <a:prstDash val="solid"/>
            <a:miter lim="800000"/>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sp macro="" textlink="">
        <xdr:nvSpPr>
          <xdr:cNvPr id="5" name="テキスト ボックス 4">
            <a:extLst>
              <a:ext uri="{FF2B5EF4-FFF2-40B4-BE49-F238E27FC236}">
                <a16:creationId xmlns:a16="http://schemas.microsoft.com/office/drawing/2014/main" id="{37FBCE60-16DE-4BBB-8915-E87225254D06}"/>
              </a:ext>
            </a:extLst>
          </xdr:cNvPr>
          <xdr:cNvSpPr txBox="1"/>
        </xdr:nvSpPr>
        <xdr:spPr>
          <a:xfrm>
            <a:off x="8102600" y="5864225"/>
            <a:ext cx="6350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ja-JP" altLang="en-US" sz="900">
                <a:solidFill>
                  <a:srgbClr val="FF0000"/>
                </a:solidFill>
                <a:ea typeface="ＭＳ Ｐ明朝" panose="02020600040205080304" pitchFamily="18" charset="-128"/>
              </a:rPr>
              <a:t>製造課</a:t>
            </a:r>
          </a:p>
        </xdr:txBody>
      </xdr:sp>
      <xdr:sp macro="" textlink="">
        <xdr:nvSpPr>
          <xdr:cNvPr id="6" name="テキスト ボックス 5">
            <a:extLst>
              <a:ext uri="{FF2B5EF4-FFF2-40B4-BE49-F238E27FC236}">
                <a16:creationId xmlns:a16="http://schemas.microsoft.com/office/drawing/2014/main" id="{4736FCE4-81CA-4890-8A53-1E12E2DE190F}"/>
              </a:ext>
            </a:extLst>
          </xdr:cNvPr>
          <xdr:cNvSpPr txBox="1"/>
        </xdr:nvSpPr>
        <xdr:spPr>
          <a:xfrm>
            <a:off x="8089900" y="6062663"/>
            <a:ext cx="6604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en-US" altLang="ja-JP" sz="825">
                <a:solidFill>
                  <a:srgbClr val="FF0000"/>
                </a:solidFill>
                <a:ea typeface="ＭＳ Ｐ明朝" panose="02020600040205080304" pitchFamily="18" charset="-128"/>
              </a:rPr>
              <a:t>2021/8/17</a:t>
            </a:r>
            <a:endParaRPr kumimoji="1" lang="ja-JP" altLang="en-US" sz="825">
              <a:solidFill>
                <a:srgbClr val="FF0000"/>
              </a:solidFill>
              <a:ea typeface="ＭＳ Ｐ明朝" panose="02020600040205080304" pitchFamily="18" charset="-128"/>
            </a:endParaRPr>
          </a:p>
        </xdr:txBody>
      </xdr:sp>
      <xdr:sp macro="" textlink="">
        <xdr:nvSpPr>
          <xdr:cNvPr id="7" name="テキスト ボックス 6">
            <a:extLst>
              <a:ext uri="{FF2B5EF4-FFF2-40B4-BE49-F238E27FC236}">
                <a16:creationId xmlns:a16="http://schemas.microsoft.com/office/drawing/2014/main" id="{99F524F2-B9FF-4EBC-827B-159133D8AE77}"/>
              </a:ext>
            </a:extLst>
          </xdr:cNvPr>
          <xdr:cNvSpPr txBox="1"/>
        </xdr:nvSpPr>
        <xdr:spPr>
          <a:xfrm>
            <a:off x="8102600" y="6264275"/>
            <a:ext cx="6350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ja-JP" altLang="en-US" sz="900">
                <a:solidFill>
                  <a:srgbClr val="FF0000"/>
                </a:solidFill>
                <a:ea typeface="ＭＳ Ｐ明朝" panose="02020600040205080304" pitchFamily="18" charset="-128"/>
              </a:rPr>
              <a:t>髙田</a:t>
            </a:r>
          </a:p>
        </xdr:txBody>
      </xdr:sp>
    </xdr:grpSp>
    <xdr:clientData/>
  </xdr:twoCellAnchor>
</xdr:wsDr>
</file>

<file path=xl/drawings/drawing28.xml><?xml version="1.0" encoding="utf-8"?>
<xdr:wsDr xmlns:xdr="http://schemas.openxmlformats.org/drawingml/2006/spreadsheetDrawing" xmlns:a="http://schemas.openxmlformats.org/drawingml/2006/main">
  <xdr:twoCellAnchor>
    <xdr:from>
      <xdr:col>6</xdr:col>
      <xdr:colOff>38100</xdr:colOff>
      <xdr:row>28</xdr:row>
      <xdr:rowOff>66675</xdr:rowOff>
    </xdr:from>
    <xdr:to>
      <xdr:col>11</xdr:col>
      <xdr:colOff>19050</xdr:colOff>
      <xdr:row>33</xdr:row>
      <xdr:rowOff>200025</xdr:rowOff>
    </xdr:to>
    <xdr:cxnSp macro="">
      <xdr:nvCxnSpPr>
        <xdr:cNvPr id="11" name="直線コネクタ 10">
          <a:extLst>
            <a:ext uri="{FF2B5EF4-FFF2-40B4-BE49-F238E27FC236}">
              <a16:creationId xmlns:a16="http://schemas.microsoft.com/office/drawing/2014/main" id="{CDA15853-E6BC-4355-92F6-293B2AFF15EF}"/>
            </a:ext>
          </a:extLst>
        </xdr:cNvPr>
        <xdr:cNvCxnSpPr/>
      </xdr:nvCxnSpPr>
      <xdr:spPr>
        <a:xfrm>
          <a:off x="3067050" y="5895975"/>
          <a:ext cx="2505075" cy="118110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106363</xdr:colOff>
      <xdr:row>26</xdr:row>
      <xdr:rowOff>201613</xdr:rowOff>
    </xdr:from>
    <xdr:to>
      <xdr:col>17</xdr:col>
      <xdr:colOff>261938</xdr:colOff>
      <xdr:row>30</xdr:row>
      <xdr:rowOff>20638</xdr:rowOff>
    </xdr:to>
    <xdr:grpSp>
      <xdr:nvGrpSpPr>
        <xdr:cNvPr id="8" name="グループ化 7">
          <a:extLst>
            <a:ext uri="{FF2B5EF4-FFF2-40B4-BE49-F238E27FC236}">
              <a16:creationId xmlns:a16="http://schemas.microsoft.com/office/drawing/2014/main" id="{5FB7463B-6A02-41EF-A4A9-26A9587259DC}"/>
            </a:ext>
          </a:extLst>
        </xdr:cNvPr>
        <xdr:cNvGrpSpPr/>
      </xdr:nvGrpSpPr>
      <xdr:grpSpPr>
        <a:xfrm>
          <a:off x="8183563" y="5611813"/>
          <a:ext cx="660400" cy="657225"/>
          <a:chOff x="8089900" y="6026150"/>
          <a:chExt cx="660400" cy="657225"/>
        </a:xfrm>
      </xdr:grpSpPr>
      <xdr:sp macro="" textlink="">
        <xdr:nvSpPr>
          <xdr:cNvPr id="2" name="楕円 1">
            <a:extLst>
              <a:ext uri="{FF2B5EF4-FFF2-40B4-BE49-F238E27FC236}">
                <a16:creationId xmlns:a16="http://schemas.microsoft.com/office/drawing/2014/main" id="{DB3B7523-351D-4EA0-98EB-25AB7787FB47}"/>
              </a:ext>
            </a:extLst>
          </xdr:cNvPr>
          <xdr:cNvSpPr/>
        </xdr:nvSpPr>
        <xdr:spPr>
          <a:xfrm>
            <a:off x="8089900" y="6026150"/>
            <a:ext cx="657225" cy="657225"/>
          </a:xfrm>
          <a:prstGeom prst="ellipse">
            <a:avLst/>
          </a:prstGeom>
          <a:solidFill>
            <a:srgbClr xmlns:mc="http://schemas.openxmlformats.org/markup-compatibility/2006" xmlns:a14="http://schemas.microsoft.com/office/drawing/2010/main" val="FFFFFF" mc:Ignorable="a14" a14:legacySpreadsheetColorIndex="65"/>
          </a:solidFill>
          <a:ln w="19050" cap="flat" cmpd="sng" algn="ctr">
            <a:solidFill>
              <a:srgbClr val="FF0000"/>
            </a:solidFill>
            <a:prstDash val="solid"/>
            <a:miter lim="800000"/>
            <a:headEnd type="none" w="med" len="med"/>
            <a:tailEnd type="non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3" name="直線コネクタ 2">
            <a:extLst>
              <a:ext uri="{FF2B5EF4-FFF2-40B4-BE49-F238E27FC236}">
                <a16:creationId xmlns:a16="http://schemas.microsoft.com/office/drawing/2014/main" id="{F201160E-598F-40B0-8542-E5233482A849}"/>
              </a:ext>
            </a:extLst>
          </xdr:cNvPr>
          <xdr:cNvCxnSpPr/>
        </xdr:nvCxnSpPr>
        <xdr:spPr>
          <a:xfrm>
            <a:off x="8115300" y="6245225"/>
            <a:ext cx="606425" cy="0"/>
          </a:xfrm>
          <a:prstGeom prst="line">
            <a:avLst/>
          </a:prstGeom>
          <a:ln w="9525" cap="flat" cmpd="sng" algn="ctr">
            <a:solidFill>
              <a:srgbClr val="FF0000"/>
            </a:solidFill>
            <a:prstDash val="solid"/>
            <a:miter lim="800000"/>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xnSp macro="">
        <xdr:nvCxnSpPr>
          <xdr:cNvPr id="4" name="直線コネクタ 3">
            <a:extLst>
              <a:ext uri="{FF2B5EF4-FFF2-40B4-BE49-F238E27FC236}">
                <a16:creationId xmlns:a16="http://schemas.microsoft.com/office/drawing/2014/main" id="{096FF3D4-E7D6-4BBC-B5DC-76EDF0A89B38}"/>
              </a:ext>
            </a:extLst>
          </xdr:cNvPr>
          <xdr:cNvCxnSpPr/>
        </xdr:nvCxnSpPr>
        <xdr:spPr>
          <a:xfrm>
            <a:off x="8115300" y="6464300"/>
            <a:ext cx="606425" cy="0"/>
          </a:xfrm>
          <a:prstGeom prst="line">
            <a:avLst/>
          </a:prstGeom>
          <a:ln w="9525" cap="flat" cmpd="sng" algn="ctr">
            <a:solidFill>
              <a:srgbClr val="FF0000"/>
            </a:solidFill>
            <a:prstDash val="solid"/>
            <a:miter lim="800000"/>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sp macro="" textlink="">
        <xdr:nvSpPr>
          <xdr:cNvPr id="5" name="テキスト ボックス 4">
            <a:extLst>
              <a:ext uri="{FF2B5EF4-FFF2-40B4-BE49-F238E27FC236}">
                <a16:creationId xmlns:a16="http://schemas.microsoft.com/office/drawing/2014/main" id="{482E9A6F-1C3D-4899-A0FB-ECD31A63B257}"/>
              </a:ext>
            </a:extLst>
          </xdr:cNvPr>
          <xdr:cNvSpPr txBox="1"/>
        </xdr:nvSpPr>
        <xdr:spPr>
          <a:xfrm>
            <a:off x="8102600" y="6073775"/>
            <a:ext cx="6350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ja-JP" altLang="en-US" sz="900">
                <a:solidFill>
                  <a:srgbClr val="FF0000"/>
                </a:solidFill>
                <a:ea typeface="ＭＳ Ｐ明朝" panose="02020600040205080304" pitchFamily="18" charset="-128"/>
              </a:rPr>
              <a:t>製造課</a:t>
            </a:r>
          </a:p>
        </xdr:txBody>
      </xdr:sp>
      <xdr:sp macro="" textlink="">
        <xdr:nvSpPr>
          <xdr:cNvPr id="6" name="テキスト ボックス 5">
            <a:extLst>
              <a:ext uri="{FF2B5EF4-FFF2-40B4-BE49-F238E27FC236}">
                <a16:creationId xmlns:a16="http://schemas.microsoft.com/office/drawing/2014/main" id="{CBBD1C13-6149-44A2-8ADE-D1A405D11BFD}"/>
              </a:ext>
            </a:extLst>
          </xdr:cNvPr>
          <xdr:cNvSpPr txBox="1"/>
        </xdr:nvSpPr>
        <xdr:spPr>
          <a:xfrm>
            <a:off x="8089900" y="6272213"/>
            <a:ext cx="6604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en-US" altLang="ja-JP" sz="900">
                <a:solidFill>
                  <a:srgbClr val="FF0000"/>
                </a:solidFill>
                <a:ea typeface="ＭＳ Ｐ明朝" panose="02020600040205080304" pitchFamily="18" charset="-128"/>
              </a:rPr>
              <a:t>03/06/17</a:t>
            </a:r>
            <a:endParaRPr kumimoji="1" lang="ja-JP" altLang="en-US" sz="900">
              <a:solidFill>
                <a:srgbClr val="FF0000"/>
              </a:solidFill>
              <a:ea typeface="ＭＳ Ｐ明朝" panose="02020600040205080304" pitchFamily="18" charset="-128"/>
            </a:endParaRPr>
          </a:p>
        </xdr:txBody>
      </xdr:sp>
      <xdr:sp macro="" textlink="">
        <xdr:nvSpPr>
          <xdr:cNvPr id="7" name="テキスト ボックス 6">
            <a:extLst>
              <a:ext uri="{FF2B5EF4-FFF2-40B4-BE49-F238E27FC236}">
                <a16:creationId xmlns:a16="http://schemas.microsoft.com/office/drawing/2014/main" id="{6012CC18-40D9-4DD2-9388-E217834E174A}"/>
              </a:ext>
            </a:extLst>
          </xdr:cNvPr>
          <xdr:cNvSpPr txBox="1"/>
        </xdr:nvSpPr>
        <xdr:spPr>
          <a:xfrm>
            <a:off x="8102600" y="6473825"/>
            <a:ext cx="6350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ja-JP" altLang="en-US" sz="900">
                <a:solidFill>
                  <a:srgbClr val="FF0000"/>
                </a:solidFill>
                <a:ea typeface="ＭＳ Ｐ明朝" panose="02020600040205080304" pitchFamily="18" charset="-128"/>
              </a:rPr>
              <a:t>髙田</a:t>
            </a:r>
          </a:p>
        </xdr:txBody>
      </xdr:sp>
    </xdr:grpSp>
    <xdr:clientData/>
  </xdr:twoCellAnchor>
</xdr:wsDr>
</file>

<file path=xl/drawings/drawing29.xml><?xml version="1.0" encoding="utf-8"?>
<xdr:wsDr xmlns:xdr="http://schemas.openxmlformats.org/drawingml/2006/spreadsheetDrawing" xmlns:a="http://schemas.openxmlformats.org/drawingml/2006/main">
  <xdr:twoCellAnchor>
    <xdr:from>
      <xdr:col>13</xdr:col>
      <xdr:colOff>9525</xdr:colOff>
      <xdr:row>2</xdr:row>
      <xdr:rowOff>0</xdr:rowOff>
    </xdr:from>
    <xdr:to>
      <xdr:col>18</xdr:col>
      <xdr:colOff>9525</xdr:colOff>
      <xdr:row>9</xdr:row>
      <xdr:rowOff>9525</xdr:rowOff>
    </xdr:to>
    <xdr:cxnSp macro="">
      <xdr:nvCxnSpPr>
        <xdr:cNvPr id="3" name="直線コネクタ 2">
          <a:extLst>
            <a:ext uri="{FF2B5EF4-FFF2-40B4-BE49-F238E27FC236}">
              <a16:creationId xmlns:a16="http://schemas.microsoft.com/office/drawing/2014/main" id="{C9B9A506-A395-492D-820F-127A113EB6A4}"/>
            </a:ext>
          </a:extLst>
        </xdr:cNvPr>
        <xdr:cNvCxnSpPr/>
      </xdr:nvCxnSpPr>
      <xdr:spPr>
        <a:xfrm flipH="1">
          <a:off x="6572250" y="447675"/>
          <a:ext cx="2524125" cy="147637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201613</xdr:colOff>
      <xdr:row>26</xdr:row>
      <xdr:rowOff>201613</xdr:rowOff>
    </xdr:from>
    <xdr:to>
      <xdr:col>17</xdr:col>
      <xdr:colOff>357188</xdr:colOff>
      <xdr:row>30</xdr:row>
      <xdr:rowOff>20638</xdr:rowOff>
    </xdr:to>
    <xdr:grpSp>
      <xdr:nvGrpSpPr>
        <xdr:cNvPr id="9" name="グループ化 8">
          <a:extLst>
            <a:ext uri="{FF2B5EF4-FFF2-40B4-BE49-F238E27FC236}">
              <a16:creationId xmlns:a16="http://schemas.microsoft.com/office/drawing/2014/main" id="{F971BFC0-1945-492A-9BB4-9F3EE5865A35}"/>
            </a:ext>
          </a:extLst>
        </xdr:cNvPr>
        <xdr:cNvGrpSpPr/>
      </xdr:nvGrpSpPr>
      <xdr:grpSpPr>
        <a:xfrm>
          <a:off x="8278813" y="5611813"/>
          <a:ext cx="660400" cy="657225"/>
          <a:chOff x="8089900" y="5816600"/>
          <a:chExt cx="660400" cy="657225"/>
        </a:xfrm>
      </xdr:grpSpPr>
      <xdr:sp macro="" textlink="">
        <xdr:nvSpPr>
          <xdr:cNvPr id="2" name="楕円 1">
            <a:extLst>
              <a:ext uri="{FF2B5EF4-FFF2-40B4-BE49-F238E27FC236}">
                <a16:creationId xmlns:a16="http://schemas.microsoft.com/office/drawing/2014/main" id="{83728EF1-2767-46CF-94B8-331A05CD16FF}"/>
              </a:ext>
            </a:extLst>
          </xdr:cNvPr>
          <xdr:cNvSpPr/>
        </xdr:nvSpPr>
        <xdr:spPr>
          <a:xfrm>
            <a:off x="8089900" y="5816600"/>
            <a:ext cx="657225" cy="657225"/>
          </a:xfrm>
          <a:prstGeom prst="ellipse">
            <a:avLst/>
          </a:prstGeom>
          <a:solidFill>
            <a:srgbClr xmlns:mc="http://schemas.openxmlformats.org/markup-compatibility/2006" xmlns:a14="http://schemas.microsoft.com/office/drawing/2010/main" val="FFFFFF" mc:Ignorable="a14" a14:legacySpreadsheetColorIndex="65"/>
          </a:solidFill>
          <a:ln w="19050" cap="flat" cmpd="sng" algn="ctr">
            <a:solidFill>
              <a:srgbClr val="FF0000"/>
            </a:solidFill>
            <a:prstDash val="solid"/>
            <a:miter lim="800000"/>
            <a:headEnd type="none" w="med" len="med"/>
            <a:tailEnd type="non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4" name="直線コネクタ 3">
            <a:extLst>
              <a:ext uri="{FF2B5EF4-FFF2-40B4-BE49-F238E27FC236}">
                <a16:creationId xmlns:a16="http://schemas.microsoft.com/office/drawing/2014/main" id="{08C9224F-1F48-4C29-86B2-5BFC19A82F31}"/>
              </a:ext>
            </a:extLst>
          </xdr:cNvPr>
          <xdr:cNvCxnSpPr/>
        </xdr:nvCxnSpPr>
        <xdr:spPr>
          <a:xfrm>
            <a:off x="8115300" y="6035675"/>
            <a:ext cx="606425" cy="0"/>
          </a:xfrm>
          <a:prstGeom prst="line">
            <a:avLst/>
          </a:prstGeom>
          <a:ln w="9525" cap="flat" cmpd="sng" algn="ctr">
            <a:solidFill>
              <a:srgbClr val="FF0000"/>
            </a:solidFill>
            <a:prstDash val="solid"/>
            <a:miter lim="800000"/>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xnSp macro="">
        <xdr:nvCxnSpPr>
          <xdr:cNvPr id="5" name="直線コネクタ 4">
            <a:extLst>
              <a:ext uri="{FF2B5EF4-FFF2-40B4-BE49-F238E27FC236}">
                <a16:creationId xmlns:a16="http://schemas.microsoft.com/office/drawing/2014/main" id="{F4382593-0627-4661-8D1C-D19FFBCE48B8}"/>
              </a:ext>
            </a:extLst>
          </xdr:cNvPr>
          <xdr:cNvCxnSpPr/>
        </xdr:nvCxnSpPr>
        <xdr:spPr>
          <a:xfrm>
            <a:off x="8115300" y="6254750"/>
            <a:ext cx="606425" cy="0"/>
          </a:xfrm>
          <a:prstGeom prst="line">
            <a:avLst/>
          </a:prstGeom>
          <a:ln w="9525" cap="flat" cmpd="sng" algn="ctr">
            <a:solidFill>
              <a:srgbClr val="FF0000"/>
            </a:solidFill>
            <a:prstDash val="solid"/>
            <a:miter lim="800000"/>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sp macro="" textlink="">
        <xdr:nvSpPr>
          <xdr:cNvPr id="6" name="テキスト ボックス 5">
            <a:extLst>
              <a:ext uri="{FF2B5EF4-FFF2-40B4-BE49-F238E27FC236}">
                <a16:creationId xmlns:a16="http://schemas.microsoft.com/office/drawing/2014/main" id="{21338D64-C362-4523-A6A9-6B49AF9F6A4A}"/>
              </a:ext>
            </a:extLst>
          </xdr:cNvPr>
          <xdr:cNvSpPr txBox="1"/>
        </xdr:nvSpPr>
        <xdr:spPr>
          <a:xfrm>
            <a:off x="8102600" y="5864225"/>
            <a:ext cx="6350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ja-JP" altLang="en-US" sz="900">
                <a:solidFill>
                  <a:srgbClr val="FF0000"/>
                </a:solidFill>
                <a:ea typeface="ＭＳ Ｐ明朝" panose="02020600040205080304" pitchFamily="18" charset="-128"/>
              </a:rPr>
              <a:t>製造</a:t>
            </a:r>
          </a:p>
        </xdr:txBody>
      </xdr:sp>
      <xdr:sp macro="" textlink="">
        <xdr:nvSpPr>
          <xdr:cNvPr id="7" name="テキスト ボックス 6">
            <a:extLst>
              <a:ext uri="{FF2B5EF4-FFF2-40B4-BE49-F238E27FC236}">
                <a16:creationId xmlns:a16="http://schemas.microsoft.com/office/drawing/2014/main" id="{493FBBB7-9DFC-491A-B4A4-508343C2D135}"/>
              </a:ext>
            </a:extLst>
          </xdr:cNvPr>
          <xdr:cNvSpPr txBox="1"/>
        </xdr:nvSpPr>
        <xdr:spPr>
          <a:xfrm>
            <a:off x="8089900" y="6062663"/>
            <a:ext cx="6604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en-US" altLang="ja-JP" sz="825">
                <a:solidFill>
                  <a:srgbClr val="FF0000"/>
                </a:solidFill>
                <a:ea typeface="ＭＳ Ｐ明朝" panose="02020600040205080304" pitchFamily="18" charset="-128"/>
              </a:rPr>
              <a:t>2021/04/12</a:t>
            </a:r>
            <a:endParaRPr kumimoji="1" lang="ja-JP" altLang="en-US" sz="825">
              <a:solidFill>
                <a:srgbClr val="FF0000"/>
              </a:solidFill>
              <a:ea typeface="ＭＳ Ｐ明朝" panose="02020600040205080304" pitchFamily="18" charset="-128"/>
            </a:endParaRPr>
          </a:p>
        </xdr:txBody>
      </xdr:sp>
      <xdr:sp macro="" textlink="">
        <xdr:nvSpPr>
          <xdr:cNvPr id="8" name="テキスト ボックス 7">
            <a:extLst>
              <a:ext uri="{FF2B5EF4-FFF2-40B4-BE49-F238E27FC236}">
                <a16:creationId xmlns:a16="http://schemas.microsoft.com/office/drawing/2014/main" id="{93BE40DF-B787-4160-A1EB-931A13FE0650}"/>
              </a:ext>
            </a:extLst>
          </xdr:cNvPr>
          <xdr:cNvSpPr txBox="1"/>
        </xdr:nvSpPr>
        <xdr:spPr>
          <a:xfrm>
            <a:off x="8102600" y="6264275"/>
            <a:ext cx="6350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ja-JP" altLang="en-US" sz="900">
                <a:solidFill>
                  <a:srgbClr val="FF0000"/>
                </a:solidFill>
                <a:ea typeface="ＭＳ Ｐ明朝" panose="02020600040205080304" pitchFamily="18" charset="-128"/>
              </a:rPr>
              <a:t>髙田</a:t>
            </a:r>
          </a:p>
        </xdr:txBody>
      </xdr:sp>
    </xdr:grpSp>
    <xdr:clientData/>
  </xdr:twoCellAnchor>
</xdr:wsDr>
</file>

<file path=xl/drawings/drawing30.xml><?xml version="1.0" encoding="utf-8"?>
<xdr:wsDr xmlns:xdr="http://schemas.openxmlformats.org/drawingml/2006/spreadsheetDrawing" xmlns:a="http://schemas.openxmlformats.org/drawingml/2006/main">
  <xdr:twoCellAnchor>
    <xdr:from>
      <xdr:col>15</xdr:col>
      <xdr:colOff>439738</xdr:colOff>
      <xdr:row>26</xdr:row>
      <xdr:rowOff>182563</xdr:rowOff>
    </xdr:from>
    <xdr:to>
      <xdr:col>17</xdr:col>
      <xdr:colOff>90488</xdr:colOff>
      <xdr:row>30</xdr:row>
      <xdr:rowOff>1588</xdr:rowOff>
    </xdr:to>
    <xdr:grpSp>
      <xdr:nvGrpSpPr>
        <xdr:cNvPr id="8" name="グループ化 7">
          <a:extLst>
            <a:ext uri="{FF2B5EF4-FFF2-40B4-BE49-F238E27FC236}">
              <a16:creationId xmlns:a16="http://schemas.microsoft.com/office/drawing/2014/main" id="{A5EF0181-AD1E-4D2F-B086-D2E77C41F153}"/>
            </a:ext>
          </a:extLst>
        </xdr:cNvPr>
        <xdr:cNvGrpSpPr/>
      </xdr:nvGrpSpPr>
      <xdr:grpSpPr>
        <a:xfrm>
          <a:off x="8012113" y="5592763"/>
          <a:ext cx="660400" cy="657225"/>
          <a:chOff x="8089900" y="5816600"/>
          <a:chExt cx="660400" cy="657225"/>
        </a:xfrm>
      </xdr:grpSpPr>
      <xdr:sp macro="" textlink="">
        <xdr:nvSpPr>
          <xdr:cNvPr id="2" name="楕円 1">
            <a:extLst>
              <a:ext uri="{FF2B5EF4-FFF2-40B4-BE49-F238E27FC236}">
                <a16:creationId xmlns:a16="http://schemas.microsoft.com/office/drawing/2014/main" id="{E98CC425-D9C9-47EE-8D26-F7C3934E572A}"/>
              </a:ext>
            </a:extLst>
          </xdr:cNvPr>
          <xdr:cNvSpPr/>
        </xdr:nvSpPr>
        <xdr:spPr>
          <a:xfrm>
            <a:off x="8089900" y="5816600"/>
            <a:ext cx="657225" cy="657225"/>
          </a:xfrm>
          <a:prstGeom prst="ellipse">
            <a:avLst/>
          </a:prstGeom>
          <a:solidFill>
            <a:srgbClr xmlns:mc="http://schemas.openxmlformats.org/markup-compatibility/2006" xmlns:a14="http://schemas.microsoft.com/office/drawing/2010/main" val="FFFFFF" mc:Ignorable="a14" a14:legacySpreadsheetColorIndex="65"/>
          </a:solidFill>
          <a:ln w="19050" cap="flat" cmpd="sng" algn="ctr">
            <a:solidFill>
              <a:srgbClr val="FF0000"/>
            </a:solidFill>
            <a:prstDash val="solid"/>
            <a:miter lim="800000"/>
            <a:headEnd type="none" w="med" len="med"/>
            <a:tailEnd type="non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3" name="直線コネクタ 2">
            <a:extLst>
              <a:ext uri="{FF2B5EF4-FFF2-40B4-BE49-F238E27FC236}">
                <a16:creationId xmlns:a16="http://schemas.microsoft.com/office/drawing/2014/main" id="{70BBE324-3474-4E50-A436-0AE0FF2C4885}"/>
              </a:ext>
            </a:extLst>
          </xdr:cNvPr>
          <xdr:cNvCxnSpPr/>
        </xdr:nvCxnSpPr>
        <xdr:spPr>
          <a:xfrm>
            <a:off x="8115300" y="6035675"/>
            <a:ext cx="606425" cy="0"/>
          </a:xfrm>
          <a:prstGeom prst="line">
            <a:avLst/>
          </a:prstGeom>
          <a:ln w="9525" cap="flat" cmpd="sng" algn="ctr">
            <a:solidFill>
              <a:srgbClr val="FF0000"/>
            </a:solidFill>
            <a:prstDash val="solid"/>
            <a:miter lim="800000"/>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xnSp macro="">
        <xdr:nvCxnSpPr>
          <xdr:cNvPr id="4" name="直線コネクタ 3">
            <a:extLst>
              <a:ext uri="{FF2B5EF4-FFF2-40B4-BE49-F238E27FC236}">
                <a16:creationId xmlns:a16="http://schemas.microsoft.com/office/drawing/2014/main" id="{CAB91DFD-87DF-42C4-A291-36EAF90C8E8E}"/>
              </a:ext>
            </a:extLst>
          </xdr:cNvPr>
          <xdr:cNvCxnSpPr/>
        </xdr:nvCxnSpPr>
        <xdr:spPr>
          <a:xfrm>
            <a:off x="8115300" y="6254750"/>
            <a:ext cx="606425" cy="0"/>
          </a:xfrm>
          <a:prstGeom prst="line">
            <a:avLst/>
          </a:prstGeom>
          <a:ln w="9525" cap="flat" cmpd="sng" algn="ctr">
            <a:solidFill>
              <a:srgbClr val="FF0000"/>
            </a:solidFill>
            <a:prstDash val="solid"/>
            <a:miter lim="800000"/>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sp macro="" textlink="">
        <xdr:nvSpPr>
          <xdr:cNvPr id="5" name="テキスト ボックス 4">
            <a:extLst>
              <a:ext uri="{FF2B5EF4-FFF2-40B4-BE49-F238E27FC236}">
                <a16:creationId xmlns:a16="http://schemas.microsoft.com/office/drawing/2014/main" id="{ABC6BF05-229F-451E-AFBE-9F7710ADEAA9}"/>
              </a:ext>
            </a:extLst>
          </xdr:cNvPr>
          <xdr:cNvSpPr txBox="1"/>
        </xdr:nvSpPr>
        <xdr:spPr>
          <a:xfrm>
            <a:off x="8102600" y="5864225"/>
            <a:ext cx="6350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ja-JP" altLang="en-US" sz="900">
                <a:solidFill>
                  <a:srgbClr val="FF0000"/>
                </a:solidFill>
                <a:ea typeface="ＭＳ Ｐ明朝" panose="02020600040205080304" pitchFamily="18" charset="-128"/>
              </a:rPr>
              <a:t>製造</a:t>
            </a:r>
          </a:p>
        </xdr:txBody>
      </xdr:sp>
      <xdr:sp macro="" textlink="">
        <xdr:nvSpPr>
          <xdr:cNvPr id="6" name="テキスト ボックス 5">
            <a:extLst>
              <a:ext uri="{FF2B5EF4-FFF2-40B4-BE49-F238E27FC236}">
                <a16:creationId xmlns:a16="http://schemas.microsoft.com/office/drawing/2014/main" id="{76A9D0D0-6BBF-4BB6-8B70-46A5A5335A3E}"/>
              </a:ext>
            </a:extLst>
          </xdr:cNvPr>
          <xdr:cNvSpPr txBox="1"/>
        </xdr:nvSpPr>
        <xdr:spPr>
          <a:xfrm>
            <a:off x="8089900" y="6062663"/>
            <a:ext cx="6604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en-US" altLang="ja-JP" sz="825">
                <a:solidFill>
                  <a:srgbClr val="FF0000"/>
                </a:solidFill>
                <a:ea typeface="ＭＳ Ｐ明朝" panose="02020600040205080304" pitchFamily="18" charset="-128"/>
              </a:rPr>
              <a:t>2021/02/09</a:t>
            </a:r>
            <a:endParaRPr kumimoji="1" lang="ja-JP" altLang="en-US" sz="825">
              <a:solidFill>
                <a:srgbClr val="FF0000"/>
              </a:solidFill>
              <a:ea typeface="ＭＳ Ｐ明朝" panose="02020600040205080304" pitchFamily="18" charset="-128"/>
            </a:endParaRPr>
          </a:p>
        </xdr:txBody>
      </xdr:sp>
      <xdr:sp macro="" textlink="">
        <xdr:nvSpPr>
          <xdr:cNvPr id="7" name="テキスト ボックス 6">
            <a:extLst>
              <a:ext uri="{FF2B5EF4-FFF2-40B4-BE49-F238E27FC236}">
                <a16:creationId xmlns:a16="http://schemas.microsoft.com/office/drawing/2014/main" id="{FE495D7F-7227-410E-AC8A-034CF592CAA7}"/>
              </a:ext>
            </a:extLst>
          </xdr:cNvPr>
          <xdr:cNvSpPr txBox="1"/>
        </xdr:nvSpPr>
        <xdr:spPr>
          <a:xfrm>
            <a:off x="8102600" y="6264275"/>
            <a:ext cx="6350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ja-JP" altLang="en-US" sz="900">
                <a:solidFill>
                  <a:srgbClr val="FF0000"/>
                </a:solidFill>
                <a:ea typeface="ＭＳ Ｐ明朝" panose="02020600040205080304" pitchFamily="18" charset="-128"/>
              </a:rPr>
              <a:t>髙田</a:t>
            </a:r>
          </a:p>
        </xdr:txBody>
      </xdr:sp>
    </xdr:grpSp>
    <xdr:clientData/>
  </xdr:twoCellAnchor>
</xdr:wsDr>
</file>

<file path=xl/drawings/drawing31.xml><?xml version="1.0" encoding="utf-8"?>
<xdr:wsDr xmlns:xdr="http://schemas.openxmlformats.org/drawingml/2006/spreadsheetDrawing" xmlns:a="http://schemas.openxmlformats.org/drawingml/2006/main">
  <xdr:twoCellAnchor>
    <xdr:from>
      <xdr:col>10</xdr:col>
      <xdr:colOff>9525</xdr:colOff>
      <xdr:row>2</xdr:row>
      <xdr:rowOff>0</xdr:rowOff>
    </xdr:from>
    <xdr:to>
      <xdr:col>11</xdr:col>
      <xdr:colOff>495300</xdr:colOff>
      <xdr:row>9</xdr:row>
      <xdr:rowOff>0</xdr:rowOff>
    </xdr:to>
    <xdr:cxnSp macro="">
      <xdr:nvCxnSpPr>
        <xdr:cNvPr id="3" name="直線コネクタ 2">
          <a:extLst>
            <a:ext uri="{FF2B5EF4-FFF2-40B4-BE49-F238E27FC236}">
              <a16:creationId xmlns:a16="http://schemas.microsoft.com/office/drawing/2014/main" id="{6A546516-7F05-4E02-A611-205A08B2D7EC}"/>
            </a:ext>
          </a:extLst>
        </xdr:cNvPr>
        <xdr:cNvCxnSpPr/>
      </xdr:nvCxnSpPr>
      <xdr:spPr>
        <a:xfrm flipH="1">
          <a:off x="5057775" y="447675"/>
          <a:ext cx="990600" cy="146685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2</xdr:row>
      <xdr:rowOff>0</xdr:rowOff>
    </xdr:from>
    <xdr:to>
      <xdr:col>16</xdr:col>
      <xdr:colOff>495300</xdr:colOff>
      <xdr:row>9</xdr:row>
      <xdr:rowOff>19050</xdr:rowOff>
    </xdr:to>
    <xdr:cxnSp macro="">
      <xdr:nvCxnSpPr>
        <xdr:cNvPr id="4" name="直線コネクタ 3">
          <a:extLst>
            <a:ext uri="{FF2B5EF4-FFF2-40B4-BE49-F238E27FC236}">
              <a16:creationId xmlns:a16="http://schemas.microsoft.com/office/drawing/2014/main" id="{4D83089D-D80A-4FAC-8122-068DC28A5ACF}"/>
            </a:ext>
          </a:extLst>
        </xdr:cNvPr>
        <xdr:cNvCxnSpPr/>
      </xdr:nvCxnSpPr>
      <xdr:spPr>
        <a:xfrm flipH="1">
          <a:off x="6562725" y="447675"/>
          <a:ext cx="2009775" cy="148590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201613</xdr:colOff>
      <xdr:row>27</xdr:row>
      <xdr:rowOff>20638</xdr:rowOff>
    </xdr:from>
    <xdr:to>
      <xdr:col>17</xdr:col>
      <xdr:colOff>357188</xdr:colOff>
      <xdr:row>30</xdr:row>
      <xdr:rowOff>49213</xdr:rowOff>
    </xdr:to>
    <xdr:grpSp>
      <xdr:nvGrpSpPr>
        <xdr:cNvPr id="10" name="グループ化 9">
          <a:extLst>
            <a:ext uri="{FF2B5EF4-FFF2-40B4-BE49-F238E27FC236}">
              <a16:creationId xmlns:a16="http://schemas.microsoft.com/office/drawing/2014/main" id="{8F330DD7-BA6D-405E-A012-70CF2DCB00CC}"/>
            </a:ext>
          </a:extLst>
        </xdr:cNvPr>
        <xdr:cNvGrpSpPr/>
      </xdr:nvGrpSpPr>
      <xdr:grpSpPr>
        <a:xfrm>
          <a:off x="8278813" y="5640388"/>
          <a:ext cx="660400" cy="657225"/>
          <a:chOff x="8089900" y="5883275"/>
          <a:chExt cx="660400" cy="657225"/>
        </a:xfrm>
      </xdr:grpSpPr>
      <xdr:sp macro="" textlink="">
        <xdr:nvSpPr>
          <xdr:cNvPr id="2" name="楕円 1">
            <a:extLst>
              <a:ext uri="{FF2B5EF4-FFF2-40B4-BE49-F238E27FC236}">
                <a16:creationId xmlns:a16="http://schemas.microsoft.com/office/drawing/2014/main" id="{3867C85F-B7A4-43AA-A455-344D17DEE224}"/>
              </a:ext>
            </a:extLst>
          </xdr:cNvPr>
          <xdr:cNvSpPr/>
        </xdr:nvSpPr>
        <xdr:spPr>
          <a:xfrm>
            <a:off x="8089900" y="5883275"/>
            <a:ext cx="657225" cy="657225"/>
          </a:xfrm>
          <a:prstGeom prst="ellipse">
            <a:avLst/>
          </a:prstGeom>
          <a:solidFill>
            <a:srgbClr xmlns:mc="http://schemas.openxmlformats.org/markup-compatibility/2006" xmlns:a14="http://schemas.microsoft.com/office/drawing/2010/main" val="FFFFFF" mc:Ignorable="a14" a14:legacySpreadsheetColorIndex="65"/>
          </a:solidFill>
          <a:ln w="19050" cap="flat" cmpd="sng" algn="ctr">
            <a:solidFill>
              <a:srgbClr val="FF0000"/>
            </a:solidFill>
            <a:prstDash val="solid"/>
            <a:miter lim="800000"/>
            <a:headEnd type="none" w="med" len="med"/>
            <a:tailEnd type="non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5" name="直線コネクタ 4">
            <a:extLst>
              <a:ext uri="{FF2B5EF4-FFF2-40B4-BE49-F238E27FC236}">
                <a16:creationId xmlns:a16="http://schemas.microsoft.com/office/drawing/2014/main" id="{21EE4022-352F-4280-8F3D-ABBF1FC3AC4E}"/>
              </a:ext>
            </a:extLst>
          </xdr:cNvPr>
          <xdr:cNvCxnSpPr/>
        </xdr:nvCxnSpPr>
        <xdr:spPr>
          <a:xfrm>
            <a:off x="8115300" y="6102350"/>
            <a:ext cx="606425" cy="0"/>
          </a:xfrm>
          <a:prstGeom prst="line">
            <a:avLst/>
          </a:prstGeom>
          <a:ln w="9525" cap="flat" cmpd="sng" algn="ctr">
            <a:solidFill>
              <a:srgbClr val="FF0000"/>
            </a:solidFill>
            <a:prstDash val="solid"/>
            <a:miter lim="800000"/>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xnSp macro="">
        <xdr:nvCxnSpPr>
          <xdr:cNvPr id="6" name="直線コネクタ 5">
            <a:extLst>
              <a:ext uri="{FF2B5EF4-FFF2-40B4-BE49-F238E27FC236}">
                <a16:creationId xmlns:a16="http://schemas.microsoft.com/office/drawing/2014/main" id="{14DFEFB8-3CBF-4902-8423-855A16397BC9}"/>
              </a:ext>
            </a:extLst>
          </xdr:cNvPr>
          <xdr:cNvCxnSpPr/>
        </xdr:nvCxnSpPr>
        <xdr:spPr>
          <a:xfrm>
            <a:off x="8115300" y="6321425"/>
            <a:ext cx="606425" cy="0"/>
          </a:xfrm>
          <a:prstGeom prst="line">
            <a:avLst/>
          </a:prstGeom>
          <a:ln w="9525" cap="flat" cmpd="sng" algn="ctr">
            <a:solidFill>
              <a:srgbClr val="FF0000"/>
            </a:solidFill>
            <a:prstDash val="solid"/>
            <a:miter lim="800000"/>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sp macro="" textlink="">
        <xdr:nvSpPr>
          <xdr:cNvPr id="7" name="テキスト ボックス 6">
            <a:extLst>
              <a:ext uri="{FF2B5EF4-FFF2-40B4-BE49-F238E27FC236}">
                <a16:creationId xmlns:a16="http://schemas.microsoft.com/office/drawing/2014/main" id="{2803AAF8-6C60-491C-A01D-5B0308863976}"/>
              </a:ext>
            </a:extLst>
          </xdr:cNvPr>
          <xdr:cNvSpPr txBox="1"/>
        </xdr:nvSpPr>
        <xdr:spPr>
          <a:xfrm>
            <a:off x="8102600" y="5930900"/>
            <a:ext cx="6350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ja-JP" altLang="en-US" sz="900">
                <a:solidFill>
                  <a:srgbClr val="FF0000"/>
                </a:solidFill>
                <a:ea typeface="ＭＳ Ｐ明朝" panose="02020600040205080304" pitchFamily="18" charset="-128"/>
              </a:rPr>
              <a:t>製造</a:t>
            </a:r>
          </a:p>
        </xdr:txBody>
      </xdr:sp>
      <xdr:sp macro="" textlink="">
        <xdr:nvSpPr>
          <xdr:cNvPr id="8" name="テキスト ボックス 7">
            <a:extLst>
              <a:ext uri="{FF2B5EF4-FFF2-40B4-BE49-F238E27FC236}">
                <a16:creationId xmlns:a16="http://schemas.microsoft.com/office/drawing/2014/main" id="{0F37D31F-B9D6-439F-A7BF-3C7C947D0B2C}"/>
              </a:ext>
            </a:extLst>
          </xdr:cNvPr>
          <xdr:cNvSpPr txBox="1"/>
        </xdr:nvSpPr>
        <xdr:spPr>
          <a:xfrm>
            <a:off x="8089900" y="6129338"/>
            <a:ext cx="6604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en-US" altLang="ja-JP" sz="825">
                <a:solidFill>
                  <a:srgbClr val="FF0000"/>
                </a:solidFill>
                <a:ea typeface="ＭＳ Ｐ明朝" panose="02020600040205080304" pitchFamily="18" charset="-128"/>
              </a:rPr>
              <a:t>2020/12/15</a:t>
            </a:r>
            <a:endParaRPr kumimoji="1" lang="ja-JP" altLang="en-US" sz="825">
              <a:solidFill>
                <a:srgbClr val="FF0000"/>
              </a:solidFill>
              <a:ea typeface="ＭＳ Ｐ明朝" panose="02020600040205080304" pitchFamily="18" charset="-128"/>
            </a:endParaRPr>
          </a:p>
        </xdr:txBody>
      </xdr:sp>
      <xdr:sp macro="" textlink="">
        <xdr:nvSpPr>
          <xdr:cNvPr id="9" name="テキスト ボックス 8">
            <a:extLst>
              <a:ext uri="{FF2B5EF4-FFF2-40B4-BE49-F238E27FC236}">
                <a16:creationId xmlns:a16="http://schemas.microsoft.com/office/drawing/2014/main" id="{2AB13EF1-ADAC-43D9-AB91-6D876940EEA5}"/>
              </a:ext>
            </a:extLst>
          </xdr:cNvPr>
          <xdr:cNvSpPr txBox="1"/>
        </xdr:nvSpPr>
        <xdr:spPr>
          <a:xfrm>
            <a:off x="8102600" y="6330950"/>
            <a:ext cx="6350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ja-JP" altLang="en-US" sz="900">
                <a:solidFill>
                  <a:srgbClr val="FF0000"/>
                </a:solidFill>
                <a:ea typeface="ＭＳ Ｐ明朝" panose="02020600040205080304" pitchFamily="18" charset="-128"/>
              </a:rPr>
              <a:t>髙田</a:t>
            </a:r>
          </a:p>
        </xdr:txBody>
      </xdr:sp>
    </xdr:grpSp>
    <xdr:clientData/>
  </xdr:twoCellAnchor>
</xdr:wsDr>
</file>

<file path=xl/drawings/drawing32.xml><?xml version="1.0" encoding="utf-8"?>
<xdr:wsDr xmlns:xdr="http://schemas.openxmlformats.org/drawingml/2006/spreadsheetDrawing" xmlns:a="http://schemas.openxmlformats.org/drawingml/2006/main">
  <xdr:twoCellAnchor>
    <xdr:from>
      <xdr:col>1</xdr:col>
      <xdr:colOff>0</xdr:colOff>
      <xdr:row>19</xdr:row>
      <xdr:rowOff>0</xdr:rowOff>
    </xdr:from>
    <xdr:to>
      <xdr:col>3</xdr:col>
      <xdr:colOff>0</xdr:colOff>
      <xdr:row>26</xdr:row>
      <xdr:rowOff>0</xdr:rowOff>
    </xdr:to>
    <xdr:cxnSp macro="">
      <xdr:nvCxnSpPr>
        <xdr:cNvPr id="2" name="直線コネクタ 1">
          <a:extLst>
            <a:ext uri="{FF2B5EF4-FFF2-40B4-BE49-F238E27FC236}">
              <a16:creationId xmlns:a16="http://schemas.microsoft.com/office/drawing/2014/main" id="{7DF76422-A49D-44DD-BE95-F53F88EFBB0C}"/>
            </a:ext>
          </a:extLst>
        </xdr:cNvPr>
        <xdr:cNvCxnSpPr/>
      </xdr:nvCxnSpPr>
      <xdr:spPr>
        <a:xfrm>
          <a:off x="504825" y="4010025"/>
          <a:ext cx="1009650" cy="146685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173038</xdr:colOff>
      <xdr:row>26</xdr:row>
      <xdr:rowOff>163513</xdr:rowOff>
    </xdr:from>
    <xdr:to>
      <xdr:col>17</xdr:col>
      <xdr:colOff>328613</xdr:colOff>
      <xdr:row>29</xdr:row>
      <xdr:rowOff>192088</xdr:rowOff>
    </xdr:to>
    <xdr:grpSp>
      <xdr:nvGrpSpPr>
        <xdr:cNvPr id="3" name="グループ化 2">
          <a:extLst>
            <a:ext uri="{FF2B5EF4-FFF2-40B4-BE49-F238E27FC236}">
              <a16:creationId xmlns:a16="http://schemas.microsoft.com/office/drawing/2014/main" id="{8CB1B019-013B-4929-ABC8-36A6C789CC91}"/>
            </a:ext>
          </a:extLst>
        </xdr:cNvPr>
        <xdr:cNvGrpSpPr/>
      </xdr:nvGrpSpPr>
      <xdr:grpSpPr>
        <a:xfrm>
          <a:off x="8250238" y="5640388"/>
          <a:ext cx="660400" cy="657225"/>
          <a:chOff x="8089900" y="5673725"/>
          <a:chExt cx="660400" cy="657225"/>
        </a:xfrm>
      </xdr:grpSpPr>
      <xdr:sp macro="" textlink="">
        <xdr:nvSpPr>
          <xdr:cNvPr id="4" name="楕円 3">
            <a:extLst>
              <a:ext uri="{FF2B5EF4-FFF2-40B4-BE49-F238E27FC236}">
                <a16:creationId xmlns:a16="http://schemas.microsoft.com/office/drawing/2014/main" id="{301705FB-A7DC-459F-912B-ED99AA89E437}"/>
              </a:ext>
            </a:extLst>
          </xdr:cNvPr>
          <xdr:cNvSpPr/>
        </xdr:nvSpPr>
        <xdr:spPr>
          <a:xfrm>
            <a:off x="8089900" y="5673725"/>
            <a:ext cx="657225" cy="657225"/>
          </a:xfrm>
          <a:prstGeom prst="ellipse">
            <a:avLst/>
          </a:prstGeom>
          <a:solidFill>
            <a:srgbClr xmlns:mc="http://schemas.openxmlformats.org/markup-compatibility/2006" xmlns:a14="http://schemas.microsoft.com/office/drawing/2010/main" val="FFFFFF" mc:Ignorable="a14" a14:legacySpreadsheetColorIndex="65"/>
          </a:solidFill>
          <a:ln w="19050" cap="flat" cmpd="sng" algn="ctr">
            <a:solidFill>
              <a:srgbClr val="FF0000"/>
            </a:solidFill>
            <a:prstDash val="solid"/>
            <a:miter lim="800000"/>
            <a:headEnd type="none" w="med" len="med"/>
            <a:tailEnd type="non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5" name="直線コネクタ 4">
            <a:extLst>
              <a:ext uri="{FF2B5EF4-FFF2-40B4-BE49-F238E27FC236}">
                <a16:creationId xmlns:a16="http://schemas.microsoft.com/office/drawing/2014/main" id="{B7B87020-2F85-44C3-9EBE-6B858B0C75D4}"/>
              </a:ext>
            </a:extLst>
          </xdr:cNvPr>
          <xdr:cNvCxnSpPr/>
        </xdr:nvCxnSpPr>
        <xdr:spPr>
          <a:xfrm>
            <a:off x="8115300" y="5892800"/>
            <a:ext cx="606425" cy="0"/>
          </a:xfrm>
          <a:prstGeom prst="line">
            <a:avLst/>
          </a:prstGeom>
          <a:ln w="9525" cap="flat" cmpd="sng" algn="ctr">
            <a:solidFill>
              <a:srgbClr val="FF0000"/>
            </a:solidFill>
            <a:prstDash val="solid"/>
            <a:miter lim="800000"/>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xnSp macro="">
        <xdr:nvCxnSpPr>
          <xdr:cNvPr id="6" name="直線コネクタ 5">
            <a:extLst>
              <a:ext uri="{FF2B5EF4-FFF2-40B4-BE49-F238E27FC236}">
                <a16:creationId xmlns:a16="http://schemas.microsoft.com/office/drawing/2014/main" id="{5869DDAD-4353-410E-8B77-E67FE8FC1B34}"/>
              </a:ext>
            </a:extLst>
          </xdr:cNvPr>
          <xdr:cNvCxnSpPr/>
        </xdr:nvCxnSpPr>
        <xdr:spPr>
          <a:xfrm>
            <a:off x="8115300" y="6111875"/>
            <a:ext cx="606425" cy="0"/>
          </a:xfrm>
          <a:prstGeom prst="line">
            <a:avLst/>
          </a:prstGeom>
          <a:ln w="9525" cap="flat" cmpd="sng" algn="ctr">
            <a:solidFill>
              <a:srgbClr val="FF0000"/>
            </a:solidFill>
            <a:prstDash val="solid"/>
            <a:miter lim="800000"/>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sp macro="" textlink="">
        <xdr:nvSpPr>
          <xdr:cNvPr id="7" name="テキスト ボックス 6">
            <a:extLst>
              <a:ext uri="{FF2B5EF4-FFF2-40B4-BE49-F238E27FC236}">
                <a16:creationId xmlns:a16="http://schemas.microsoft.com/office/drawing/2014/main" id="{6489E1CB-2C8B-44C6-AD30-34FE820D178D}"/>
              </a:ext>
            </a:extLst>
          </xdr:cNvPr>
          <xdr:cNvSpPr txBox="1"/>
        </xdr:nvSpPr>
        <xdr:spPr>
          <a:xfrm>
            <a:off x="8102600" y="5721350"/>
            <a:ext cx="6350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ja-JP" altLang="en-US" sz="900">
                <a:solidFill>
                  <a:srgbClr val="FF0000"/>
                </a:solidFill>
                <a:ea typeface="ＭＳ Ｐ明朝" panose="02020600040205080304" pitchFamily="18" charset="-128"/>
              </a:rPr>
              <a:t>製造</a:t>
            </a:r>
          </a:p>
        </xdr:txBody>
      </xdr:sp>
      <xdr:sp macro="" textlink="">
        <xdr:nvSpPr>
          <xdr:cNvPr id="8" name="テキスト ボックス 7">
            <a:extLst>
              <a:ext uri="{FF2B5EF4-FFF2-40B4-BE49-F238E27FC236}">
                <a16:creationId xmlns:a16="http://schemas.microsoft.com/office/drawing/2014/main" id="{3A3FD910-E853-4CD2-BF66-C58A2D7E51F2}"/>
              </a:ext>
            </a:extLst>
          </xdr:cNvPr>
          <xdr:cNvSpPr txBox="1"/>
        </xdr:nvSpPr>
        <xdr:spPr>
          <a:xfrm>
            <a:off x="8089900" y="5919788"/>
            <a:ext cx="6604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en-US" altLang="ja-JP" sz="825">
                <a:solidFill>
                  <a:srgbClr val="FF0000"/>
                </a:solidFill>
                <a:ea typeface="ＭＳ Ｐ明朝" panose="02020600040205080304" pitchFamily="18" charset="-128"/>
              </a:rPr>
              <a:t>2020/10/15</a:t>
            </a:r>
            <a:endParaRPr kumimoji="1" lang="ja-JP" altLang="en-US" sz="825">
              <a:solidFill>
                <a:srgbClr val="FF0000"/>
              </a:solidFill>
              <a:ea typeface="ＭＳ Ｐ明朝" panose="02020600040205080304" pitchFamily="18" charset="-128"/>
            </a:endParaRPr>
          </a:p>
        </xdr:txBody>
      </xdr:sp>
      <xdr:sp macro="" textlink="">
        <xdr:nvSpPr>
          <xdr:cNvPr id="9" name="テキスト ボックス 8">
            <a:extLst>
              <a:ext uri="{FF2B5EF4-FFF2-40B4-BE49-F238E27FC236}">
                <a16:creationId xmlns:a16="http://schemas.microsoft.com/office/drawing/2014/main" id="{DCF91879-D82D-4958-BD6E-925CE4757587}"/>
              </a:ext>
            </a:extLst>
          </xdr:cNvPr>
          <xdr:cNvSpPr txBox="1"/>
        </xdr:nvSpPr>
        <xdr:spPr>
          <a:xfrm>
            <a:off x="8102600" y="6121400"/>
            <a:ext cx="6350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ja-JP" altLang="en-US" sz="900">
                <a:solidFill>
                  <a:srgbClr val="FF0000"/>
                </a:solidFill>
                <a:ea typeface="ＭＳ Ｐ明朝" panose="02020600040205080304" pitchFamily="18" charset="-128"/>
              </a:rPr>
              <a:t>髙田</a:t>
            </a:r>
          </a:p>
        </xdr:txBody>
      </xdr:sp>
    </xdr:grpSp>
    <xdr:clientData/>
  </xdr:twoCellAnchor>
</xdr:wsDr>
</file>

<file path=xl/drawings/drawing33.xml><?xml version="1.0" encoding="utf-8"?>
<xdr:wsDr xmlns:xdr="http://schemas.openxmlformats.org/drawingml/2006/spreadsheetDrawing" xmlns:a="http://schemas.openxmlformats.org/drawingml/2006/main">
  <xdr:twoCellAnchor>
    <xdr:from>
      <xdr:col>1</xdr:col>
      <xdr:colOff>0</xdr:colOff>
      <xdr:row>19</xdr:row>
      <xdr:rowOff>0</xdr:rowOff>
    </xdr:from>
    <xdr:to>
      <xdr:col>3</xdr:col>
      <xdr:colOff>0</xdr:colOff>
      <xdr:row>26</xdr:row>
      <xdr:rowOff>0</xdr:rowOff>
    </xdr:to>
    <xdr:cxnSp macro="">
      <xdr:nvCxnSpPr>
        <xdr:cNvPr id="3" name="直線コネクタ 2">
          <a:extLst>
            <a:ext uri="{FF2B5EF4-FFF2-40B4-BE49-F238E27FC236}">
              <a16:creationId xmlns:a16="http://schemas.microsoft.com/office/drawing/2014/main" id="{0DF180A5-EAE6-4FAB-88A7-33B16853F8A8}"/>
            </a:ext>
          </a:extLst>
        </xdr:cNvPr>
        <xdr:cNvCxnSpPr/>
      </xdr:nvCxnSpPr>
      <xdr:spPr>
        <a:xfrm>
          <a:off x="504825" y="4010025"/>
          <a:ext cx="1009650" cy="146685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173038</xdr:colOff>
      <xdr:row>26</xdr:row>
      <xdr:rowOff>163513</xdr:rowOff>
    </xdr:from>
    <xdr:to>
      <xdr:col>17</xdr:col>
      <xdr:colOff>328613</xdr:colOff>
      <xdr:row>29</xdr:row>
      <xdr:rowOff>192088</xdr:rowOff>
    </xdr:to>
    <xdr:grpSp>
      <xdr:nvGrpSpPr>
        <xdr:cNvPr id="9" name="グループ化 8">
          <a:extLst>
            <a:ext uri="{FF2B5EF4-FFF2-40B4-BE49-F238E27FC236}">
              <a16:creationId xmlns:a16="http://schemas.microsoft.com/office/drawing/2014/main" id="{20556B75-346A-47A7-9563-B1FFBE072C84}"/>
            </a:ext>
          </a:extLst>
        </xdr:cNvPr>
        <xdr:cNvGrpSpPr/>
      </xdr:nvGrpSpPr>
      <xdr:grpSpPr>
        <a:xfrm>
          <a:off x="8250238" y="5640388"/>
          <a:ext cx="660400" cy="657225"/>
          <a:chOff x="8089900" y="5673725"/>
          <a:chExt cx="660400" cy="657225"/>
        </a:xfrm>
      </xdr:grpSpPr>
      <xdr:sp macro="" textlink="">
        <xdr:nvSpPr>
          <xdr:cNvPr id="2" name="楕円 1">
            <a:extLst>
              <a:ext uri="{FF2B5EF4-FFF2-40B4-BE49-F238E27FC236}">
                <a16:creationId xmlns:a16="http://schemas.microsoft.com/office/drawing/2014/main" id="{F3D75B07-F2B5-4868-9E32-9388D4D7316C}"/>
              </a:ext>
            </a:extLst>
          </xdr:cNvPr>
          <xdr:cNvSpPr/>
        </xdr:nvSpPr>
        <xdr:spPr>
          <a:xfrm>
            <a:off x="8089900" y="5673725"/>
            <a:ext cx="657225" cy="657225"/>
          </a:xfrm>
          <a:prstGeom prst="ellipse">
            <a:avLst/>
          </a:prstGeom>
          <a:solidFill>
            <a:srgbClr xmlns:mc="http://schemas.openxmlformats.org/markup-compatibility/2006" xmlns:a14="http://schemas.microsoft.com/office/drawing/2010/main" val="FFFFFF" mc:Ignorable="a14" a14:legacySpreadsheetColorIndex="65"/>
          </a:solidFill>
          <a:ln w="19050" cap="flat" cmpd="sng" algn="ctr">
            <a:solidFill>
              <a:srgbClr val="FF0000"/>
            </a:solidFill>
            <a:prstDash val="solid"/>
            <a:miter lim="800000"/>
            <a:headEnd type="none" w="med" len="med"/>
            <a:tailEnd type="non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4" name="直線コネクタ 3">
            <a:extLst>
              <a:ext uri="{FF2B5EF4-FFF2-40B4-BE49-F238E27FC236}">
                <a16:creationId xmlns:a16="http://schemas.microsoft.com/office/drawing/2014/main" id="{A6DCF675-6078-44A9-8C76-8B394777CAAE}"/>
              </a:ext>
            </a:extLst>
          </xdr:cNvPr>
          <xdr:cNvCxnSpPr/>
        </xdr:nvCxnSpPr>
        <xdr:spPr>
          <a:xfrm>
            <a:off x="8115300" y="5892800"/>
            <a:ext cx="606425" cy="0"/>
          </a:xfrm>
          <a:prstGeom prst="line">
            <a:avLst/>
          </a:prstGeom>
          <a:ln w="9525" cap="flat" cmpd="sng" algn="ctr">
            <a:solidFill>
              <a:srgbClr val="FF0000"/>
            </a:solidFill>
            <a:prstDash val="solid"/>
            <a:miter lim="800000"/>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xnSp macro="">
        <xdr:nvCxnSpPr>
          <xdr:cNvPr id="5" name="直線コネクタ 4">
            <a:extLst>
              <a:ext uri="{FF2B5EF4-FFF2-40B4-BE49-F238E27FC236}">
                <a16:creationId xmlns:a16="http://schemas.microsoft.com/office/drawing/2014/main" id="{72B45C24-25FD-4E7C-A6EB-77F4C595E841}"/>
              </a:ext>
            </a:extLst>
          </xdr:cNvPr>
          <xdr:cNvCxnSpPr/>
        </xdr:nvCxnSpPr>
        <xdr:spPr>
          <a:xfrm>
            <a:off x="8115300" y="6111875"/>
            <a:ext cx="606425" cy="0"/>
          </a:xfrm>
          <a:prstGeom prst="line">
            <a:avLst/>
          </a:prstGeom>
          <a:ln w="9525" cap="flat" cmpd="sng" algn="ctr">
            <a:solidFill>
              <a:srgbClr val="FF0000"/>
            </a:solidFill>
            <a:prstDash val="solid"/>
            <a:miter lim="800000"/>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sp macro="" textlink="">
        <xdr:nvSpPr>
          <xdr:cNvPr id="6" name="テキスト ボックス 5">
            <a:extLst>
              <a:ext uri="{FF2B5EF4-FFF2-40B4-BE49-F238E27FC236}">
                <a16:creationId xmlns:a16="http://schemas.microsoft.com/office/drawing/2014/main" id="{F488A576-FF6D-44C4-9ACE-99AA5B781B0C}"/>
              </a:ext>
            </a:extLst>
          </xdr:cNvPr>
          <xdr:cNvSpPr txBox="1"/>
        </xdr:nvSpPr>
        <xdr:spPr>
          <a:xfrm>
            <a:off x="8102600" y="5721350"/>
            <a:ext cx="6350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ja-JP" altLang="en-US" sz="900">
                <a:solidFill>
                  <a:srgbClr val="FF0000"/>
                </a:solidFill>
                <a:ea typeface="ＭＳ Ｐ明朝" panose="02020600040205080304" pitchFamily="18" charset="-128"/>
              </a:rPr>
              <a:t>製造</a:t>
            </a:r>
          </a:p>
        </xdr:txBody>
      </xdr:sp>
      <xdr:sp macro="" textlink="">
        <xdr:nvSpPr>
          <xdr:cNvPr id="7" name="テキスト ボックス 6">
            <a:extLst>
              <a:ext uri="{FF2B5EF4-FFF2-40B4-BE49-F238E27FC236}">
                <a16:creationId xmlns:a16="http://schemas.microsoft.com/office/drawing/2014/main" id="{29EFE13C-A247-4619-9A50-523D30F79691}"/>
              </a:ext>
            </a:extLst>
          </xdr:cNvPr>
          <xdr:cNvSpPr txBox="1"/>
        </xdr:nvSpPr>
        <xdr:spPr>
          <a:xfrm>
            <a:off x="8089900" y="5919788"/>
            <a:ext cx="6604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en-US" altLang="ja-JP" sz="825">
                <a:solidFill>
                  <a:srgbClr val="FF0000"/>
                </a:solidFill>
                <a:ea typeface="ＭＳ Ｐ明朝" panose="02020600040205080304" pitchFamily="18" charset="-128"/>
              </a:rPr>
              <a:t>2020/10/15</a:t>
            </a:r>
            <a:endParaRPr kumimoji="1" lang="ja-JP" altLang="en-US" sz="825">
              <a:solidFill>
                <a:srgbClr val="FF0000"/>
              </a:solidFill>
              <a:ea typeface="ＭＳ Ｐ明朝" panose="02020600040205080304" pitchFamily="18" charset="-128"/>
            </a:endParaRPr>
          </a:p>
        </xdr:txBody>
      </xdr:sp>
      <xdr:sp macro="" textlink="">
        <xdr:nvSpPr>
          <xdr:cNvPr id="8" name="テキスト ボックス 7">
            <a:extLst>
              <a:ext uri="{FF2B5EF4-FFF2-40B4-BE49-F238E27FC236}">
                <a16:creationId xmlns:a16="http://schemas.microsoft.com/office/drawing/2014/main" id="{BD253727-4381-48CA-992C-CC5466E9C6CA}"/>
              </a:ext>
            </a:extLst>
          </xdr:cNvPr>
          <xdr:cNvSpPr txBox="1"/>
        </xdr:nvSpPr>
        <xdr:spPr>
          <a:xfrm>
            <a:off x="8102600" y="6121400"/>
            <a:ext cx="6350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ja-JP" altLang="en-US" sz="900">
                <a:solidFill>
                  <a:srgbClr val="FF0000"/>
                </a:solidFill>
                <a:ea typeface="ＭＳ Ｐ明朝" panose="02020600040205080304" pitchFamily="18" charset="-128"/>
              </a:rPr>
              <a:t>髙田</a:t>
            </a:r>
          </a:p>
        </xdr:txBody>
      </xdr:sp>
    </xdr:grpSp>
    <xdr:clientData/>
  </xdr:twoCellAnchor>
</xdr:wsDr>
</file>

<file path=xl/drawings/drawing34.xml><?xml version="1.0" encoding="utf-8"?>
<xdr:wsDr xmlns:xdr="http://schemas.openxmlformats.org/drawingml/2006/spreadsheetDrawing" xmlns:a="http://schemas.openxmlformats.org/drawingml/2006/main">
  <xdr:twoCellAnchor>
    <xdr:from>
      <xdr:col>15</xdr:col>
      <xdr:colOff>439738</xdr:colOff>
      <xdr:row>26</xdr:row>
      <xdr:rowOff>182563</xdr:rowOff>
    </xdr:from>
    <xdr:to>
      <xdr:col>17</xdr:col>
      <xdr:colOff>90488</xdr:colOff>
      <xdr:row>30</xdr:row>
      <xdr:rowOff>1588</xdr:rowOff>
    </xdr:to>
    <xdr:grpSp>
      <xdr:nvGrpSpPr>
        <xdr:cNvPr id="8" name="グループ化 7">
          <a:extLst>
            <a:ext uri="{FF2B5EF4-FFF2-40B4-BE49-F238E27FC236}">
              <a16:creationId xmlns:a16="http://schemas.microsoft.com/office/drawing/2014/main" id="{8EE6A7E7-5B95-4DEC-9144-3168EEAF0054}"/>
            </a:ext>
          </a:extLst>
        </xdr:cNvPr>
        <xdr:cNvGrpSpPr/>
      </xdr:nvGrpSpPr>
      <xdr:grpSpPr>
        <a:xfrm>
          <a:off x="8012113" y="5659438"/>
          <a:ext cx="660400" cy="657225"/>
          <a:chOff x="8089900" y="5883275"/>
          <a:chExt cx="660400" cy="657225"/>
        </a:xfrm>
      </xdr:grpSpPr>
      <xdr:sp macro="" textlink="">
        <xdr:nvSpPr>
          <xdr:cNvPr id="2" name="楕円 1">
            <a:extLst>
              <a:ext uri="{FF2B5EF4-FFF2-40B4-BE49-F238E27FC236}">
                <a16:creationId xmlns:a16="http://schemas.microsoft.com/office/drawing/2014/main" id="{EC89FA14-8F8B-43CB-A5F3-9E82C54F6396}"/>
              </a:ext>
            </a:extLst>
          </xdr:cNvPr>
          <xdr:cNvSpPr/>
        </xdr:nvSpPr>
        <xdr:spPr>
          <a:xfrm>
            <a:off x="8089900" y="5883275"/>
            <a:ext cx="657225" cy="657225"/>
          </a:xfrm>
          <a:prstGeom prst="ellipse">
            <a:avLst/>
          </a:prstGeom>
          <a:solidFill>
            <a:srgbClr xmlns:mc="http://schemas.openxmlformats.org/markup-compatibility/2006" xmlns:a14="http://schemas.microsoft.com/office/drawing/2010/main" val="FFFFFF" mc:Ignorable="a14" a14:legacySpreadsheetColorIndex="65"/>
          </a:solidFill>
          <a:ln w="19050" cap="flat" cmpd="sng" algn="ctr">
            <a:solidFill>
              <a:srgbClr val="FF0000"/>
            </a:solidFill>
            <a:prstDash val="solid"/>
            <a:miter lim="800000"/>
            <a:headEnd type="none" w="med" len="med"/>
            <a:tailEnd type="non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3" name="直線コネクタ 2">
            <a:extLst>
              <a:ext uri="{FF2B5EF4-FFF2-40B4-BE49-F238E27FC236}">
                <a16:creationId xmlns:a16="http://schemas.microsoft.com/office/drawing/2014/main" id="{D76AA1BD-8DCF-4552-8FC7-3BF731C14CF8}"/>
              </a:ext>
            </a:extLst>
          </xdr:cNvPr>
          <xdr:cNvCxnSpPr/>
        </xdr:nvCxnSpPr>
        <xdr:spPr>
          <a:xfrm>
            <a:off x="8115300" y="6102350"/>
            <a:ext cx="606425" cy="0"/>
          </a:xfrm>
          <a:prstGeom prst="line">
            <a:avLst/>
          </a:prstGeom>
          <a:ln w="9525" cap="flat" cmpd="sng" algn="ctr">
            <a:solidFill>
              <a:srgbClr val="FF0000"/>
            </a:solidFill>
            <a:prstDash val="solid"/>
            <a:miter lim="800000"/>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xnSp macro="">
        <xdr:nvCxnSpPr>
          <xdr:cNvPr id="4" name="直線コネクタ 3">
            <a:extLst>
              <a:ext uri="{FF2B5EF4-FFF2-40B4-BE49-F238E27FC236}">
                <a16:creationId xmlns:a16="http://schemas.microsoft.com/office/drawing/2014/main" id="{956F9E5C-9BAE-4334-958E-0B4B03BB039E}"/>
              </a:ext>
            </a:extLst>
          </xdr:cNvPr>
          <xdr:cNvCxnSpPr/>
        </xdr:nvCxnSpPr>
        <xdr:spPr>
          <a:xfrm>
            <a:off x="8115300" y="6321425"/>
            <a:ext cx="606425" cy="0"/>
          </a:xfrm>
          <a:prstGeom prst="line">
            <a:avLst/>
          </a:prstGeom>
          <a:ln w="9525" cap="flat" cmpd="sng" algn="ctr">
            <a:solidFill>
              <a:srgbClr val="FF0000"/>
            </a:solidFill>
            <a:prstDash val="solid"/>
            <a:miter lim="800000"/>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sp macro="" textlink="">
        <xdr:nvSpPr>
          <xdr:cNvPr id="5" name="テキスト ボックス 4">
            <a:extLst>
              <a:ext uri="{FF2B5EF4-FFF2-40B4-BE49-F238E27FC236}">
                <a16:creationId xmlns:a16="http://schemas.microsoft.com/office/drawing/2014/main" id="{94E07DA6-567A-4BEC-A7C0-11CA508F9AF4}"/>
              </a:ext>
            </a:extLst>
          </xdr:cNvPr>
          <xdr:cNvSpPr txBox="1"/>
        </xdr:nvSpPr>
        <xdr:spPr>
          <a:xfrm>
            <a:off x="8102600" y="5930900"/>
            <a:ext cx="6350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ja-JP" altLang="en-US" sz="900">
                <a:solidFill>
                  <a:srgbClr val="FF0000"/>
                </a:solidFill>
                <a:ea typeface="ＭＳ Ｐ明朝" panose="02020600040205080304" pitchFamily="18" charset="-128"/>
              </a:rPr>
              <a:t>製造</a:t>
            </a:r>
          </a:p>
        </xdr:txBody>
      </xdr:sp>
      <xdr:sp macro="" textlink="">
        <xdr:nvSpPr>
          <xdr:cNvPr id="6" name="テキスト ボックス 5">
            <a:extLst>
              <a:ext uri="{FF2B5EF4-FFF2-40B4-BE49-F238E27FC236}">
                <a16:creationId xmlns:a16="http://schemas.microsoft.com/office/drawing/2014/main" id="{3D138621-E319-452E-A207-1B3417F44F8F}"/>
              </a:ext>
            </a:extLst>
          </xdr:cNvPr>
          <xdr:cNvSpPr txBox="1"/>
        </xdr:nvSpPr>
        <xdr:spPr>
          <a:xfrm>
            <a:off x="8089900" y="6129338"/>
            <a:ext cx="6604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en-US" altLang="ja-JP" sz="825">
                <a:solidFill>
                  <a:srgbClr val="FF0000"/>
                </a:solidFill>
                <a:ea typeface="ＭＳ Ｐ明朝" panose="02020600040205080304" pitchFamily="18" charset="-128"/>
              </a:rPr>
              <a:t>2020/08/11</a:t>
            </a:r>
            <a:endParaRPr kumimoji="1" lang="ja-JP" altLang="en-US" sz="825">
              <a:solidFill>
                <a:srgbClr val="FF0000"/>
              </a:solidFill>
              <a:ea typeface="ＭＳ Ｐ明朝" panose="02020600040205080304" pitchFamily="18" charset="-128"/>
            </a:endParaRPr>
          </a:p>
        </xdr:txBody>
      </xdr:sp>
      <xdr:sp macro="" textlink="">
        <xdr:nvSpPr>
          <xdr:cNvPr id="7" name="テキスト ボックス 6">
            <a:extLst>
              <a:ext uri="{FF2B5EF4-FFF2-40B4-BE49-F238E27FC236}">
                <a16:creationId xmlns:a16="http://schemas.microsoft.com/office/drawing/2014/main" id="{7F626FC5-8191-4820-B2AC-28A2150C8C47}"/>
              </a:ext>
            </a:extLst>
          </xdr:cNvPr>
          <xdr:cNvSpPr txBox="1"/>
        </xdr:nvSpPr>
        <xdr:spPr>
          <a:xfrm>
            <a:off x="8102600" y="6330950"/>
            <a:ext cx="6350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ja-JP" altLang="en-US" sz="900">
                <a:solidFill>
                  <a:srgbClr val="FF0000"/>
                </a:solidFill>
                <a:ea typeface="ＭＳ Ｐ明朝" panose="02020600040205080304" pitchFamily="18" charset="-128"/>
              </a:rPr>
              <a:t>髙田</a:t>
            </a:r>
          </a:p>
        </xdr:txBody>
      </xdr:sp>
    </xdr:grpSp>
    <xdr:clientData/>
  </xdr:twoCellAnchor>
</xdr:wsDr>
</file>

<file path=xl/drawings/drawing35.xml><?xml version="1.0" encoding="utf-8"?>
<xdr:wsDr xmlns:xdr="http://schemas.openxmlformats.org/drawingml/2006/spreadsheetDrawing" xmlns:a="http://schemas.openxmlformats.org/drawingml/2006/main">
  <xdr:twoCellAnchor>
    <xdr:from>
      <xdr:col>7</xdr:col>
      <xdr:colOff>9525</xdr:colOff>
      <xdr:row>27</xdr:row>
      <xdr:rowOff>9525</xdr:rowOff>
    </xdr:from>
    <xdr:to>
      <xdr:col>12</xdr:col>
      <xdr:colOff>19050</xdr:colOff>
      <xdr:row>34</xdr:row>
      <xdr:rowOff>0</xdr:rowOff>
    </xdr:to>
    <xdr:cxnSp macro="">
      <xdr:nvCxnSpPr>
        <xdr:cNvPr id="3" name="直線コネクタ 2">
          <a:extLst>
            <a:ext uri="{FF2B5EF4-FFF2-40B4-BE49-F238E27FC236}">
              <a16:creationId xmlns:a16="http://schemas.microsoft.com/office/drawing/2014/main" id="{95AD473F-5A46-4AB4-BF1A-0BC97DDEF2AA}"/>
            </a:ext>
          </a:extLst>
        </xdr:cNvPr>
        <xdr:cNvCxnSpPr/>
      </xdr:nvCxnSpPr>
      <xdr:spPr>
        <a:xfrm>
          <a:off x="3543300" y="5695950"/>
          <a:ext cx="2533650" cy="14573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439738</xdr:colOff>
      <xdr:row>26</xdr:row>
      <xdr:rowOff>182563</xdr:rowOff>
    </xdr:from>
    <xdr:to>
      <xdr:col>17</xdr:col>
      <xdr:colOff>90488</xdr:colOff>
      <xdr:row>30</xdr:row>
      <xdr:rowOff>1588</xdr:rowOff>
    </xdr:to>
    <xdr:grpSp>
      <xdr:nvGrpSpPr>
        <xdr:cNvPr id="9" name="グループ化 8">
          <a:extLst>
            <a:ext uri="{FF2B5EF4-FFF2-40B4-BE49-F238E27FC236}">
              <a16:creationId xmlns:a16="http://schemas.microsoft.com/office/drawing/2014/main" id="{FAE275EB-B38B-4BB0-93A0-5D5319662A2C}"/>
            </a:ext>
          </a:extLst>
        </xdr:cNvPr>
        <xdr:cNvGrpSpPr/>
      </xdr:nvGrpSpPr>
      <xdr:grpSpPr>
        <a:xfrm>
          <a:off x="8012113" y="5659438"/>
          <a:ext cx="660400" cy="657225"/>
          <a:chOff x="8089900" y="5883275"/>
          <a:chExt cx="660400" cy="657225"/>
        </a:xfrm>
      </xdr:grpSpPr>
      <xdr:sp macro="" textlink="">
        <xdr:nvSpPr>
          <xdr:cNvPr id="2" name="楕円 1">
            <a:extLst>
              <a:ext uri="{FF2B5EF4-FFF2-40B4-BE49-F238E27FC236}">
                <a16:creationId xmlns:a16="http://schemas.microsoft.com/office/drawing/2014/main" id="{0CB98E7D-BF08-4792-9082-5BB759B76289}"/>
              </a:ext>
            </a:extLst>
          </xdr:cNvPr>
          <xdr:cNvSpPr/>
        </xdr:nvSpPr>
        <xdr:spPr>
          <a:xfrm>
            <a:off x="8089900" y="5883275"/>
            <a:ext cx="657225" cy="657225"/>
          </a:xfrm>
          <a:prstGeom prst="ellipse">
            <a:avLst/>
          </a:prstGeom>
          <a:solidFill>
            <a:srgbClr xmlns:mc="http://schemas.openxmlformats.org/markup-compatibility/2006" xmlns:a14="http://schemas.microsoft.com/office/drawing/2010/main" val="FFFFFF" mc:Ignorable="a14" a14:legacySpreadsheetColorIndex="65"/>
          </a:solidFill>
          <a:ln w="19050" cap="flat" cmpd="sng" algn="ctr">
            <a:solidFill>
              <a:srgbClr val="FF0000"/>
            </a:solidFill>
            <a:prstDash val="solid"/>
            <a:miter lim="800000"/>
            <a:headEnd type="none" w="med" len="med"/>
            <a:tailEnd type="non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4" name="直線コネクタ 3">
            <a:extLst>
              <a:ext uri="{FF2B5EF4-FFF2-40B4-BE49-F238E27FC236}">
                <a16:creationId xmlns:a16="http://schemas.microsoft.com/office/drawing/2014/main" id="{65243539-BE7A-4F36-91CB-1A4410A8ABA1}"/>
              </a:ext>
            </a:extLst>
          </xdr:cNvPr>
          <xdr:cNvCxnSpPr/>
        </xdr:nvCxnSpPr>
        <xdr:spPr>
          <a:xfrm>
            <a:off x="8115300" y="6102350"/>
            <a:ext cx="606425" cy="0"/>
          </a:xfrm>
          <a:prstGeom prst="line">
            <a:avLst/>
          </a:prstGeom>
          <a:ln w="9525" cap="flat" cmpd="sng" algn="ctr">
            <a:solidFill>
              <a:srgbClr val="FF0000"/>
            </a:solidFill>
            <a:prstDash val="solid"/>
            <a:miter lim="800000"/>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xnSp macro="">
        <xdr:nvCxnSpPr>
          <xdr:cNvPr id="5" name="直線コネクタ 4">
            <a:extLst>
              <a:ext uri="{FF2B5EF4-FFF2-40B4-BE49-F238E27FC236}">
                <a16:creationId xmlns:a16="http://schemas.microsoft.com/office/drawing/2014/main" id="{CF6EB5BB-B51A-47B6-8F4F-567615A51D19}"/>
              </a:ext>
            </a:extLst>
          </xdr:cNvPr>
          <xdr:cNvCxnSpPr/>
        </xdr:nvCxnSpPr>
        <xdr:spPr>
          <a:xfrm>
            <a:off x="8115300" y="6321425"/>
            <a:ext cx="606425" cy="0"/>
          </a:xfrm>
          <a:prstGeom prst="line">
            <a:avLst/>
          </a:prstGeom>
          <a:ln w="9525" cap="flat" cmpd="sng" algn="ctr">
            <a:solidFill>
              <a:srgbClr val="FF0000"/>
            </a:solidFill>
            <a:prstDash val="solid"/>
            <a:miter lim="800000"/>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sp macro="" textlink="">
        <xdr:nvSpPr>
          <xdr:cNvPr id="6" name="テキスト ボックス 5">
            <a:extLst>
              <a:ext uri="{FF2B5EF4-FFF2-40B4-BE49-F238E27FC236}">
                <a16:creationId xmlns:a16="http://schemas.microsoft.com/office/drawing/2014/main" id="{D81B11CC-62B5-45EF-B643-21F202FE70AE}"/>
              </a:ext>
            </a:extLst>
          </xdr:cNvPr>
          <xdr:cNvSpPr txBox="1"/>
        </xdr:nvSpPr>
        <xdr:spPr>
          <a:xfrm>
            <a:off x="8102600" y="5930900"/>
            <a:ext cx="6350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ja-JP" altLang="en-US" sz="900">
                <a:solidFill>
                  <a:srgbClr val="FF0000"/>
                </a:solidFill>
                <a:ea typeface="ＭＳ Ｐ明朝" panose="02020600040205080304" pitchFamily="18" charset="-128"/>
              </a:rPr>
              <a:t>製造</a:t>
            </a:r>
          </a:p>
        </xdr:txBody>
      </xdr:sp>
      <xdr:sp macro="" textlink="">
        <xdr:nvSpPr>
          <xdr:cNvPr id="7" name="テキスト ボックス 6">
            <a:extLst>
              <a:ext uri="{FF2B5EF4-FFF2-40B4-BE49-F238E27FC236}">
                <a16:creationId xmlns:a16="http://schemas.microsoft.com/office/drawing/2014/main" id="{6408CD18-F7BB-4969-A614-9CC630CA4B49}"/>
              </a:ext>
            </a:extLst>
          </xdr:cNvPr>
          <xdr:cNvSpPr txBox="1"/>
        </xdr:nvSpPr>
        <xdr:spPr>
          <a:xfrm>
            <a:off x="8089900" y="6129338"/>
            <a:ext cx="6604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en-US" altLang="ja-JP" sz="825">
                <a:solidFill>
                  <a:srgbClr val="FF0000"/>
                </a:solidFill>
                <a:ea typeface="ＭＳ Ｐ明朝" panose="02020600040205080304" pitchFamily="18" charset="-128"/>
              </a:rPr>
              <a:t>2020/06/16</a:t>
            </a:r>
            <a:endParaRPr kumimoji="1" lang="ja-JP" altLang="en-US" sz="825">
              <a:solidFill>
                <a:srgbClr val="FF0000"/>
              </a:solidFill>
              <a:ea typeface="ＭＳ Ｐ明朝" panose="02020600040205080304" pitchFamily="18" charset="-128"/>
            </a:endParaRPr>
          </a:p>
        </xdr:txBody>
      </xdr:sp>
      <xdr:sp macro="" textlink="">
        <xdr:nvSpPr>
          <xdr:cNvPr id="8" name="テキスト ボックス 7">
            <a:extLst>
              <a:ext uri="{FF2B5EF4-FFF2-40B4-BE49-F238E27FC236}">
                <a16:creationId xmlns:a16="http://schemas.microsoft.com/office/drawing/2014/main" id="{2F14919F-3759-495F-9783-6C561E2B4473}"/>
              </a:ext>
            </a:extLst>
          </xdr:cNvPr>
          <xdr:cNvSpPr txBox="1"/>
        </xdr:nvSpPr>
        <xdr:spPr>
          <a:xfrm>
            <a:off x="8102600" y="6330950"/>
            <a:ext cx="6350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ja-JP" altLang="en-US" sz="900">
                <a:solidFill>
                  <a:srgbClr val="FF0000"/>
                </a:solidFill>
                <a:ea typeface="ＭＳ Ｐ明朝" panose="02020600040205080304" pitchFamily="18" charset="-128"/>
              </a:rPr>
              <a:t>髙田</a:t>
            </a:r>
          </a:p>
        </xdr:txBody>
      </xdr:sp>
    </xdr:grpSp>
    <xdr:clientData/>
  </xdr:twoCellAnchor>
</xdr:wsDr>
</file>

<file path=xl/drawings/drawing36.xml><?xml version="1.0" encoding="utf-8"?>
<xdr:wsDr xmlns:xdr="http://schemas.openxmlformats.org/drawingml/2006/spreadsheetDrawing" xmlns:a="http://schemas.openxmlformats.org/drawingml/2006/main">
  <xdr:twoCellAnchor>
    <xdr:from>
      <xdr:col>14</xdr:col>
      <xdr:colOff>9525</xdr:colOff>
      <xdr:row>1</xdr:row>
      <xdr:rowOff>200025</xdr:rowOff>
    </xdr:from>
    <xdr:to>
      <xdr:col>17</xdr:col>
      <xdr:colOff>495300</xdr:colOff>
      <xdr:row>9</xdr:row>
      <xdr:rowOff>19050</xdr:rowOff>
    </xdr:to>
    <xdr:cxnSp macro="">
      <xdr:nvCxnSpPr>
        <xdr:cNvPr id="3" name="直線コネクタ 2">
          <a:extLst>
            <a:ext uri="{FF2B5EF4-FFF2-40B4-BE49-F238E27FC236}">
              <a16:creationId xmlns:a16="http://schemas.microsoft.com/office/drawing/2014/main" id="{13FEB2FC-689F-454D-B8B4-EC1693DDE90E}"/>
            </a:ext>
          </a:extLst>
        </xdr:cNvPr>
        <xdr:cNvCxnSpPr/>
      </xdr:nvCxnSpPr>
      <xdr:spPr>
        <a:xfrm>
          <a:off x="7077075" y="438150"/>
          <a:ext cx="2000250" cy="14954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9525</xdr:colOff>
      <xdr:row>10</xdr:row>
      <xdr:rowOff>28575</xdr:rowOff>
    </xdr:from>
    <xdr:to>
      <xdr:col>2</xdr:col>
      <xdr:colOff>0</xdr:colOff>
      <xdr:row>17</xdr:row>
      <xdr:rowOff>9525</xdr:rowOff>
    </xdr:to>
    <xdr:cxnSp macro="">
      <xdr:nvCxnSpPr>
        <xdr:cNvPr id="6" name="直線コネクタ 5">
          <a:extLst>
            <a:ext uri="{FF2B5EF4-FFF2-40B4-BE49-F238E27FC236}">
              <a16:creationId xmlns:a16="http://schemas.microsoft.com/office/drawing/2014/main" id="{4721B4F3-982E-4BF9-8353-6DB24EF411C3}"/>
            </a:ext>
          </a:extLst>
        </xdr:cNvPr>
        <xdr:cNvCxnSpPr/>
      </xdr:nvCxnSpPr>
      <xdr:spPr>
        <a:xfrm>
          <a:off x="514350" y="2152650"/>
          <a:ext cx="495300" cy="144780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439738</xdr:colOff>
      <xdr:row>26</xdr:row>
      <xdr:rowOff>182563</xdr:rowOff>
    </xdr:from>
    <xdr:to>
      <xdr:col>17</xdr:col>
      <xdr:colOff>90488</xdr:colOff>
      <xdr:row>30</xdr:row>
      <xdr:rowOff>1588</xdr:rowOff>
    </xdr:to>
    <xdr:grpSp>
      <xdr:nvGrpSpPr>
        <xdr:cNvPr id="10" name="グループ化 9">
          <a:extLst>
            <a:ext uri="{FF2B5EF4-FFF2-40B4-BE49-F238E27FC236}">
              <a16:creationId xmlns:a16="http://schemas.microsoft.com/office/drawing/2014/main" id="{B86FBADD-9ACD-4A50-BD6A-1D697F87029D}"/>
            </a:ext>
          </a:extLst>
        </xdr:cNvPr>
        <xdr:cNvGrpSpPr/>
      </xdr:nvGrpSpPr>
      <xdr:grpSpPr>
        <a:xfrm>
          <a:off x="8012113" y="5659438"/>
          <a:ext cx="660400" cy="657225"/>
          <a:chOff x="8089900" y="5883275"/>
          <a:chExt cx="660400" cy="657225"/>
        </a:xfrm>
      </xdr:grpSpPr>
      <xdr:sp macro="" textlink="">
        <xdr:nvSpPr>
          <xdr:cNvPr id="2" name="楕円 1">
            <a:extLst>
              <a:ext uri="{FF2B5EF4-FFF2-40B4-BE49-F238E27FC236}">
                <a16:creationId xmlns:a16="http://schemas.microsoft.com/office/drawing/2014/main" id="{63A003CE-17D4-4077-925F-052D3450D24A}"/>
              </a:ext>
            </a:extLst>
          </xdr:cNvPr>
          <xdr:cNvSpPr/>
        </xdr:nvSpPr>
        <xdr:spPr>
          <a:xfrm>
            <a:off x="8089900" y="5883275"/>
            <a:ext cx="657225" cy="657225"/>
          </a:xfrm>
          <a:prstGeom prst="ellipse">
            <a:avLst/>
          </a:prstGeom>
          <a:solidFill>
            <a:srgbClr xmlns:mc="http://schemas.openxmlformats.org/markup-compatibility/2006" xmlns:a14="http://schemas.microsoft.com/office/drawing/2010/main" val="FFFFFF" mc:Ignorable="a14" a14:legacySpreadsheetColorIndex="65"/>
          </a:solidFill>
          <a:ln w="19050" cap="flat" cmpd="sng" algn="ctr">
            <a:solidFill>
              <a:srgbClr val="FF0000"/>
            </a:solidFill>
            <a:prstDash val="solid"/>
            <a:miter lim="800000"/>
            <a:headEnd type="none" w="med" len="med"/>
            <a:tailEnd type="non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4" name="直線コネクタ 3">
            <a:extLst>
              <a:ext uri="{FF2B5EF4-FFF2-40B4-BE49-F238E27FC236}">
                <a16:creationId xmlns:a16="http://schemas.microsoft.com/office/drawing/2014/main" id="{A013EEDC-CD9E-4666-A2D4-92A6C69BA2A1}"/>
              </a:ext>
            </a:extLst>
          </xdr:cNvPr>
          <xdr:cNvCxnSpPr/>
        </xdr:nvCxnSpPr>
        <xdr:spPr>
          <a:xfrm>
            <a:off x="8115300" y="6102350"/>
            <a:ext cx="606425" cy="0"/>
          </a:xfrm>
          <a:prstGeom prst="line">
            <a:avLst/>
          </a:prstGeom>
          <a:ln w="9525" cap="flat" cmpd="sng" algn="ctr">
            <a:solidFill>
              <a:srgbClr val="FF0000"/>
            </a:solidFill>
            <a:prstDash val="solid"/>
            <a:miter lim="800000"/>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xnSp macro="">
        <xdr:nvCxnSpPr>
          <xdr:cNvPr id="5" name="直線コネクタ 4">
            <a:extLst>
              <a:ext uri="{FF2B5EF4-FFF2-40B4-BE49-F238E27FC236}">
                <a16:creationId xmlns:a16="http://schemas.microsoft.com/office/drawing/2014/main" id="{7064762A-6F40-4C60-A8C4-A65A78CDFB99}"/>
              </a:ext>
            </a:extLst>
          </xdr:cNvPr>
          <xdr:cNvCxnSpPr/>
        </xdr:nvCxnSpPr>
        <xdr:spPr>
          <a:xfrm>
            <a:off x="8115300" y="6321425"/>
            <a:ext cx="606425" cy="0"/>
          </a:xfrm>
          <a:prstGeom prst="line">
            <a:avLst/>
          </a:prstGeom>
          <a:ln w="9525" cap="flat" cmpd="sng" algn="ctr">
            <a:solidFill>
              <a:srgbClr val="FF0000"/>
            </a:solidFill>
            <a:prstDash val="solid"/>
            <a:miter lim="800000"/>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sp macro="" textlink="">
        <xdr:nvSpPr>
          <xdr:cNvPr id="7" name="テキスト ボックス 6">
            <a:extLst>
              <a:ext uri="{FF2B5EF4-FFF2-40B4-BE49-F238E27FC236}">
                <a16:creationId xmlns:a16="http://schemas.microsoft.com/office/drawing/2014/main" id="{D0FCF71D-6102-4670-99AA-363A7E593E8B}"/>
              </a:ext>
            </a:extLst>
          </xdr:cNvPr>
          <xdr:cNvSpPr txBox="1"/>
        </xdr:nvSpPr>
        <xdr:spPr>
          <a:xfrm>
            <a:off x="8102600" y="5930900"/>
            <a:ext cx="6350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ja-JP" altLang="en-US" sz="900">
                <a:solidFill>
                  <a:srgbClr val="FF0000"/>
                </a:solidFill>
                <a:ea typeface="ＭＳ Ｐ明朝" panose="02020600040205080304" pitchFamily="18" charset="-128"/>
              </a:rPr>
              <a:t>製造</a:t>
            </a:r>
          </a:p>
        </xdr:txBody>
      </xdr:sp>
      <xdr:sp macro="" textlink="">
        <xdr:nvSpPr>
          <xdr:cNvPr id="8" name="テキスト ボックス 7">
            <a:extLst>
              <a:ext uri="{FF2B5EF4-FFF2-40B4-BE49-F238E27FC236}">
                <a16:creationId xmlns:a16="http://schemas.microsoft.com/office/drawing/2014/main" id="{EB3A196B-BF4F-426E-BA74-B12B82907F0A}"/>
              </a:ext>
            </a:extLst>
          </xdr:cNvPr>
          <xdr:cNvSpPr txBox="1"/>
        </xdr:nvSpPr>
        <xdr:spPr>
          <a:xfrm>
            <a:off x="8089900" y="6129338"/>
            <a:ext cx="6604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en-US" altLang="ja-JP" sz="825">
                <a:solidFill>
                  <a:srgbClr val="FF0000"/>
                </a:solidFill>
                <a:ea typeface="ＭＳ Ｐ明朝" panose="02020600040205080304" pitchFamily="18" charset="-128"/>
              </a:rPr>
              <a:t>2020/04/13</a:t>
            </a:r>
            <a:endParaRPr kumimoji="1" lang="ja-JP" altLang="en-US" sz="825">
              <a:solidFill>
                <a:srgbClr val="FF0000"/>
              </a:solidFill>
              <a:ea typeface="ＭＳ Ｐ明朝" panose="02020600040205080304" pitchFamily="18" charset="-128"/>
            </a:endParaRPr>
          </a:p>
        </xdr:txBody>
      </xdr:sp>
      <xdr:sp macro="" textlink="">
        <xdr:nvSpPr>
          <xdr:cNvPr id="9" name="テキスト ボックス 8">
            <a:extLst>
              <a:ext uri="{FF2B5EF4-FFF2-40B4-BE49-F238E27FC236}">
                <a16:creationId xmlns:a16="http://schemas.microsoft.com/office/drawing/2014/main" id="{EB0F47E6-1D19-4F7F-8214-6AE6F0A51097}"/>
              </a:ext>
            </a:extLst>
          </xdr:cNvPr>
          <xdr:cNvSpPr txBox="1"/>
        </xdr:nvSpPr>
        <xdr:spPr>
          <a:xfrm>
            <a:off x="8102600" y="6330950"/>
            <a:ext cx="6350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ja-JP" altLang="en-US" sz="900">
                <a:solidFill>
                  <a:srgbClr val="FF0000"/>
                </a:solidFill>
                <a:ea typeface="ＭＳ Ｐ明朝" panose="02020600040205080304" pitchFamily="18" charset="-128"/>
              </a:rPr>
              <a:t>髙田</a:t>
            </a:r>
          </a:p>
        </xdr:txBody>
      </xdr:sp>
    </xdr:grpSp>
    <xdr:clientData/>
  </xdr:twoCellAnchor>
</xdr:wsDr>
</file>

<file path=xl/drawings/drawing37.xml><?xml version="1.0" encoding="utf-8"?>
<xdr:wsDr xmlns:xdr="http://schemas.openxmlformats.org/drawingml/2006/spreadsheetDrawing" xmlns:a="http://schemas.openxmlformats.org/drawingml/2006/main">
  <xdr:twoCellAnchor>
    <xdr:from>
      <xdr:col>16</xdr:col>
      <xdr:colOff>173038</xdr:colOff>
      <xdr:row>27</xdr:row>
      <xdr:rowOff>68263</xdr:rowOff>
    </xdr:from>
    <xdr:to>
      <xdr:col>17</xdr:col>
      <xdr:colOff>328613</xdr:colOff>
      <xdr:row>30</xdr:row>
      <xdr:rowOff>96838</xdr:rowOff>
    </xdr:to>
    <xdr:grpSp>
      <xdr:nvGrpSpPr>
        <xdr:cNvPr id="8" name="グループ化 7">
          <a:extLst>
            <a:ext uri="{FF2B5EF4-FFF2-40B4-BE49-F238E27FC236}">
              <a16:creationId xmlns:a16="http://schemas.microsoft.com/office/drawing/2014/main" id="{8AA75399-72F2-4751-8514-D228A0181343}"/>
            </a:ext>
          </a:extLst>
        </xdr:cNvPr>
        <xdr:cNvGrpSpPr/>
      </xdr:nvGrpSpPr>
      <xdr:grpSpPr>
        <a:xfrm>
          <a:off x="8250238" y="5754688"/>
          <a:ext cx="660400" cy="657225"/>
          <a:chOff x="8089900" y="5883275"/>
          <a:chExt cx="660400" cy="657225"/>
        </a:xfrm>
      </xdr:grpSpPr>
      <xdr:sp macro="" textlink="">
        <xdr:nvSpPr>
          <xdr:cNvPr id="2" name="楕円 1">
            <a:extLst>
              <a:ext uri="{FF2B5EF4-FFF2-40B4-BE49-F238E27FC236}">
                <a16:creationId xmlns:a16="http://schemas.microsoft.com/office/drawing/2014/main" id="{FE52B634-6D42-4A55-B723-323BADB0A8F3}"/>
              </a:ext>
            </a:extLst>
          </xdr:cNvPr>
          <xdr:cNvSpPr/>
        </xdr:nvSpPr>
        <xdr:spPr>
          <a:xfrm>
            <a:off x="8089900" y="5883275"/>
            <a:ext cx="657225" cy="657225"/>
          </a:xfrm>
          <a:prstGeom prst="ellipse">
            <a:avLst/>
          </a:prstGeom>
          <a:solidFill>
            <a:srgbClr xmlns:mc="http://schemas.openxmlformats.org/markup-compatibility/2006" xmlns:a14="http://schemas.microsoft.com/office/drawing/2010/main" val="FFFFFF" mc:Ignorable="a14" a14:legacySpreadsheetColorIndex="65"/>
          </a:solidFill>
          <a:ln w="19050" cap="flat" cmpd="sng" algn="ctr">
            <a:solidFill>
              <a:srgbClr val="FF0000"/>
            </a:solidFill>
            <a:prstDash val="solid"/>
            <a:miter lim="800000"/>
            <a:headEnd type="none" w="med" len="med"/>
            <a:tailEnd type="non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3" name="直線コネクタ 2">
            <a:extLst>
              <a:ext uri="{FF2B5EF4-FFF2-40B4-BE49-F238E27FC236}">
                <a16:creationId xmlns:a16="http://schemas.microsoft.com/office/drawing/2014/main" id="{CABB53F7-14DA-484F-BFC4-4EA52C8454F8}"/>
              </a:ext>
            </a:extLst>
          </xdr:cNvPr>
          <xdr:cNvCxnSpPr/>
        </xdr:nvCxnSpPr>
        <xdr:spPr>
          <a:xfrm>
            <a:off x="8115300" y="6102350"/>
            <a:ext cx="606425" cy="0"/>
          </a:xfrm>
          <a:prstGeom prst="line">
            <a:avLst/>
          </a:prstGeom>
          <a:ln w="9525" cap="flat" cmpd="sng" algn="ctr">
            <a:solidFill>
              <a:srgbClr val="FF0000"/>
            </a:solidFill>
            <a:prstDash val="solid"/>
            <a:miter lim="800000"/>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xnSp macro="">
        <xdr:nvCxnSpPr>
          <xdr:cNvPr id="4" name="直線コネクタ 3">
            <a:extLst>
              <a:ext uri="{FF2B5EF4-FFF2-40B4-BE49-F238E27FC236}">
                <a16:creationId xmlns:a16="http://schemas.microsoft.com/office/drawing/2014/main" id="{C8CAEF29-D76A-4B32-A950-F99474593FE6}"/>
              </a:ext>
            </a:extLst>
          </xdr:cNvPr>
          <xdr:cNvCxnSpPr/>
        </xdr:nvCxnSpPr>
        <xdr:spPr>
          <a:xfrm>
            <a:off x="8115300" y="6321425"/>
            <a:ext cx="606425" cy="0"/>
          </a:xfrm>
          <a:prstGeom prst="line">
            <a:avLst/>
          </a:prstGeom>
          <a:ln w="9525" cap="flat" cmpd="sng" algn="ctr">
            <a:solidFill>
              <a:srgbClr val="FF0000"/>
            </a:solidFill>
            <a:prstDash val="solid"/>
            <a:miter lim="800000"/>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sp macro="" textlink="">
        <xdr:nvSpPr>
          <xdr:cNvPr id="5" name="テキスト ボックス 4">
            <a:extLst>
              <a:ext uri="{FF2B5EF4-FFF2-40B4-BE49-F238E27FC236}">
                <a16:creationId xmlns:a16="http://schemas.microsoft.com/office/drawing/2014/main" id="{23D941BD-2754-4D4D-B400-20F31E7742DD}"/>
              </a:ext>
            </a:extLst>
          </xdr:cNvPr>
          <xdr:cNvSpPr txBox="1"/>
        </xdr:nvSpPr>
        <xdr:spPr>
          <a:xfrm>
            <a:off x="8102600" y="5930900"/>
            <a:ext cx="6350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ja-JP" altLang="en-US" sz="900">
                <a:solidFill>
                  <a:srgbClr val="FF0000"/>
                </a:solidFill>
                <a:ea typeface="ＭＳ Ｐ明朝" panose="02020600040205080304" pitchFamily="18" charset="-128"/>
              </a:rPr>
              <a:t>製造</a:t>
            </a:r>
          </a:p>
        </xdr:txBody>
      </xdr:sp>
      <xdr:sp macro="" textlink="">
        <xdr:nvSpPr>
          <xdr:cNvPr id="6" name="テキスト ボックス 5">
            <a:extLst>
              <a:ext uri="{FF2B5EF4-FFF2-40B4-BE49-F238E27FC236}">
                <a16:creationId xmlns:a16="http://schemas.microsoft.com/office/drawing/2014/main" id="{640E846C-2ED6-47FB-B6CB-2C45DFA1FF86}"/>
              </a:ext>
            </a:extLst>
          </xdr:cNvPr>
          <xdr:cNvSpPr txBox="1"/>
        </xdr:nvSpPr>
        <xdr:spPr>
          <a:xfrm>
            <a:off x="8089900" y="6129338"/>
            <a:ext cx="6604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en-US" altLang="ja-JP" sz="825">
                <a:solidFill>
                  <a:srgbClr val="FF0000"/>
                </a:solidFill>
                <a:ea typeface="ＭＳ Ｐ明朝" panose="02020600040205080304" pitchFamily="18" charset="-128"/>
              </a:rPr>
              <a:t>2020/02/14</a:t>
            </a:r>
            <a:endParaRPr kumimoji="1" lang="ja-JP" altLang="en-US" sz="825">
              <a:solidFill>
                <a:srgbClr val="FF0000"/>
              </a:solidFill>
              <a:ea typeface="ＭＳ Ｐ明朝" panose="02020600040205080304" pitchFamily="18" charset="-128"/>
            </a:endParaRPr>
          </a:p>
        </xdr:txBody>
      </xdr:sp>
      <xdr:sp macro="" textlink="">
        <xdr:nvSpPr>
          <xdr:cNvPr id="7" name="テキスト ボックス 6">
            <a:extLst>
              <a:ext uri="{FF2B5EF4-FFF2-40B4-BE49-F238E27FC236}">
                <a16:creationId xmlns:a16="http://schemas.microsoft.com/office/drawing/2014/main" id="{66B7A385-BCA2-49D3-B633-33E04FD5E31D}"/>
              </a:ext>
            </a:extLst>
          </xdr:cNvPr>
          <xdr:cNvSpPr txBox="1"/>
        </xdr:nvSpPr>
        <xdr:spPr>
          <a:xfrm>
            <a:off x="8102600" y="6330950"/>
            <a:ext cx="6350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ja-JP" altLang="en-US" sz="900">
                <a:solidFill>
                  <a:srgbClr val="FF0000"/>
                </a:solidFill>
                <a:ea typeface="ＭＳ Ｐ明朝" panose="02020600040205080304" pitchFamily="18" charset="-128"/>
              </a:rPr>
              <a:t>髙田</a:t>
            </a:r>
          </a:p>
        </xdr:txBody>
      </xdr:sp>
    </xdr:grpSp>
    <xdr:clientData/>
  </xdr:twoCellAnchor>
</xdr:wsDr>
</file>

<file path=xl/drawings/drawing38.xml><?xml version="1.0" encoding="utf-8"?>
<xdr:wsDr xmlns:xdr="http://schemas.openxmlformats.org/drawingml/2006/spreadsheetDrawing" xmlns:a="http://schemas.openxmlformats.org/drawingml/2006/main">
  <xdr:twoCellAnchor>
    <xdr:from>
      <xdr:col>15</xdr:col>
      <xdr:colOff>439738</xdr:colOff>
      <xdr:row>26</xdr:row>
      <xdr:rowOff>182563</xdr:rowOff>
    </xdr:from>
    <xdr:to>
      <xdr:col>17</xdr:col>
      <xdr:colOff>90488</xdr:colOff>
      <xdr:row>30</xdr:row>
      <xdr:rowOff>1588</xdr:rowOff>
    </xdr:to>
    <xdr:grpSp>
      <xdr:nvGrpSpPr>
        <xdr:cNvPr id="8" name="グループ化 7">
          <a:extLst>
            <a:ext uri="{FF2B5EF4-FFF2-40B4-BE49-F238E27FC236}">
              <a16:creationId xmlns:a16="http://schemas.microsoft.com/office/drawing/2014/main" id="{10C0AC29-4191-4549-B9F9-79AEE76459BC}"/>
            </a:ext>
          </a:extLst>
        </xdr:cNvPr>
        <xdr:cNvGrpSpPr/>
      </xdr:nvGrpSpPr>
      <xdr:grpSpPr>
        <a:xfrm>
          <a:off x="8012113" y="5659438"/>
          <a:ext cx="660400" cy="657225"/>
          <a:chOff x="8089900" y="5883275"/>
          <a:chExt cx="660400" cy="657225"/>
        </a:xfrm>
      </xdr:grpSpPr>
      <xdr:sp macro="" textlink="">
        <xdr:nvSpPr>
          <xdr:cNvPr id="2" name="楕円 1">
            <a:extLst>
              <a:ext uri="{FF2B5EF4-FFF2-40B4-BE49-F238E27FC236}">
                <a16:creationId xmlns:a16="http://schemas.microsoft.com/office/drawing/2014/main" id="{E2EC14B5-B75A-4AE2-9835-68DD3965A2B4}"/>
              </a:ext>
            </a:extLst>
          </xdr:cNvPr>
          <xdr:cNvSpPr/>
        </xdr:nvSpPr>
        <xdr:spPr>
          <a:xfrm>
            <a:off x="8089900" y="5883275"/>
            <a:ext cx="657225" cy="657225"/>
          </a:xfrm>
          <a:prstGeom prst="ellipse">
            <a:avLst/>
          </a:prstGeom>
          <a:solidFill>
            <a:srgbClr xmlns:mc="http://schemas.openxmlformats.org/markup-compatibility/2006" xmlns:a14="http://schemas.microsoft.com/office/drawing/2010/main" val="FFFFFF" mc:Ignorable="a14" a14:legacySpreadsheetColorIndex="65"/>
          </a:solidFill>
          <a:ln w="19050" cap="flat" cmpd="sng" algn="ctr">
            <a:solidFill>
              <a:srgbClr val="FF0000"/>
            </a:solidFill>
            <a:prstDash val="solid"/>
            <a:miter lim="800000"/>
            <a:headEnd type="none" w="med" len="med"/>
            <a:tailEnd type="non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3" name="直線コネクタ 2">
            <a:extLst>
              <a:ext uri="{FF2B5EF4-FFF2-40B4-BE49-F238E27FC236}">
                <a16:creationId xmlns:a16="http://schemas.microsoft.com/office/drawing/2014/main" id="{284270D0-89DD-49FA-9E88-CB0A4ECF0CC4}"/>
              </a:ext>
            </a:extLst>
          </xdr:cNvPr>
          <xdr:cNvCxnSpPr/>
        </xdr:nvCxnSpPr>
        <xdr:spPr>
          <a:xfrm>
            <a:off x="8115300" y="6102350"/>
            <a:ext cx="606425" cy="0"/>
          </a:xfrm>
          <a:prstGeom prst="line">
            <a:avLst/>
          </a:prstGeom>
          <a:ln w="9525" cap="flat" cmpd="sng" algn="ctr">
            <a:solidFill>
              <a:srgbClr val="FF0000"/>
            </a:solidFill>
            <a:prstDash val="solid"/>
            <a:miter lim="800000"/>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xnSp macro="">
        <xdr:nvCxnSpPr>
          <xdr:cNvPr id="4" name="直線コネクタ 3">
            <a:extLst>
              <a:ext uri="{FF2B5EF4-FFF2-40B4-BE49-F238E27FC236}">
                <a16:creationId xmlns:a16="http://schemas.microsoft.com/office/drawing/2014/main" id="{4A98D781-48B4-4535-9E2C-B236E032CEB6}"/>
              </a:ext>
            </a:extLst>
          </xdr:cNvPr>
          <xdr:cNvCxnSpPr/>
        </xdr:nvCxnSpPr>
        <xdr:spPr>
          <a:xfrm>
            <a:off x="8115300" y="6321425"/>
            <a:ext cx="606425" cy="0"/>
          </a:xfrm>
          <a:prstGeom prst="line">
            <a:avLst/>
          </a:prstGeom>
          <a:ln w="9525" cap="flat" cmpd="sng" algn="ctr">
            <a:solidFill>
              <a:srgbClr val="FF0000"/>
            </a:solidFill>
            <a:prstDash val="solid"/>
            <a:miter lim="800000"/>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sp macro="" textlink="">
        <xdr:nvSpPr>
          <xdr:cNvPr id="5" name="テキスト ボックス 4">
            <a:extLst>
              <a:ext uri="{FF2B5EF4-FFF2-40B4-BE49-F238E27FC236}">
                <a16:creationId xmlns:a16="http://schemas.microsoft.com/office/drawing/2014/main" id="{453B640F-D7B9-4B19-8799-50AA58BA8EDD}"/>
              </a:ext>
            </a:extLst>
          </xdr:cNvPr>
          <xdr:cNvSpPr txBox="1"/>
        </xdr:nvSpPr>
        <xdr:spPr>
          <a:xfrm>
            <a:off x="8102600" y="5930900"/>
            <a:ext cx="6350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ja-JP" altLang="en-US" sz="900">
                <a:solidFill>
                  <a:srgbClr val="FF0000"/>
                </a:solidFill>
                <a:ea typeface="ＭＳ Ｐ明朝" panose="02020600040205080304" pitchFamily="18" charset="-128"/>
              </a:rPr>
              <a:t>製造</a:t>
            </a:r>
          </a:p>
        </xdr:txBody>
      </xdr:sp>
      <xdr:sp macro="" textlink="">
        <xdr:nvSpPr>
          <xdr:cNvPr id="6" name="テキスト ボックス 5">
            <a:extLst>
              <a:ext uri="{FF2B5EF4-FFF2-40B4-BE49-F238E27FC236}">
                <a16:creationId xmlns:a16="http://schemas.microsoft.com/office/drawing/2014/main" id="{3D3242D6-82FA-44B2-B1A0-80B2E720B133}"/>
              </a:ext>
            </a:extLst>
          </xdr:cNvPr>
          <xdr:cNvSpPr txBox="1"/>
        </xdr:nvSpPr>
        <xdr:spPr>
          <a:xfrm>
            <a:off x="8089900" y="6129338"/>
            <a:ext cx="6604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en-US" altLang="ja-JP" sz="825">
                <a:solidFill>
                  <a:srgbClr val="FF0000"/>
                </a:solidFill>
                <a:ea typeface="ＭＳ Ｐ明朝" panose="02020600040205080304" pitchFamily="18" charset="-128"/>
              </a:rPr>
              <a:t>2019/12/13</a:t>
            </a:r>
            <a:endParaRPr kumimoji="1" lang="ja-JP" altLang="en-US" sz="825">
              <a:solidFill>
                <a:srgbClr val="FF0000"/>
              </a:solidFill>
              <a:ea typeface="ＭＳ Ｐ明朝" panose="02020600040205080304" pitchFamily="18" charset="-128"/>
            </a:endParaRPr>
          </a:p>
        </xdr:txBody>
      </xdr:sp>
      <xdr:sp macro="" textlink="">
        <xdr:nvSpPr>
          <xdr:cNvPr id="7" name="テキスト ボックス 6">
            <a:extLst>
              <a:ext uri="{FF2B5EF4-FFF2-40B4-BE49-F238E27FC236}">
                <a16:creationId xmlns:a16="http://schemas.microsoft.com/office/drawing/2014/main" id="{EBF575AB-506E-4DFC-9A8D-A4EB41F85B30}"/>
              </a:ext>
            </a:extLst>
          </xdr:cNvPr>
          <xdr:cNvSpPr txBox="1"/>
        </xdr:nvSpPr>
        <xdr:spPr>
          <a:xfrm>
            <a:off x="8102600" y="6330950"/>
            <a:ext cx="6350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ja-JP" altLang="en-US" sz="900">
                <a:solidFill>
                  <a:srgbClr val="FF0000"/>
                </a:solidFill>
                <a:ea typeface="ＭＳ Ｐ明朝" panose="02020600040205080304" pitchFamily="18" charset="-128"/>
              </a:rPr>
              <a:t>髙田</a:t>
            </a:r>
          </a:p>
        </xdr:txBody>
      </xdr:sp>
    </xdr:grpSp>
    <xdr:clientData/>
  </xdr:twoCellAnchor>
</xdr:wsDr>
</file>

<file path=xl/drawings/drawing39.xml><?xml version="1.0" encoding="utf-8"?>
<xdr:wsDr xmlns:xdr="http://schemas.openxmlformats.org/drawingml/2006/spreadsheetDrawing" xmlns:a="http://schemas.openxmlformats.org/drawingml/2006/main">
  <xdr:twoCellAnchor>
    <xdr:from>
      <xdr:col>15</xdr:col>
      <xdr:colOff>439738</xdr:colOff>
      <xdr:row>26</xdr:row>
      <xdr:rowOff>182563</xdr:rowOff>
    </xdr:from>
    <xdr:to>
      <xdr:col>17</xdr:col>
      <xdr:colOff>90488</xdr:colOff>
      <xdr:row>30</xdr:row>
      <xdr:rowOff>1588</xdr:rowOff>
    </xdr:to>
    <xdr:grpSp>
      <xdr:nvGrpSpPr>
        <xdr:cNvPr id="8" name="グループ化 7">
          <a:extLst>
            <a:ext uri="{FF2B5EF4-FFF2-40B4-BE49-F238E27FC236}">
              <a16:creationId xmlns:a16="http://schemas.microsoft.com/office/drawing/2014/main" id="{3863C7B3-84A9-40C5-94A8-5FA01E08C7C1}"/>
            </a:ext>
          </a:extLst>
        </xdr:cNvPr>
        <xdr:cNvGrpSpPr/>
      </xdr:nvGrpSpPr>
      <xdr:grpSpPr>
        <a:xfrm>
          <a:off x="8003709" y="5740681"/>
          <a:ext cx="659279" cy="670672"/>
          <a:chOff x="8089900" y="5883275"/>
          <a:chExt cx="660400" cy="657225"/>
        </a:xfrm>
      </xdr:grpSpPr>
      <xdr:sp macro="" textlink="">
        <xdr:nvSpPr>
          <xdr:cNvPr id="2" name="楕円 1">
            <a:extLst>
              <a:ext uri="{FF2B5EF4-FFF2-40B4-BE49-F238E27FC236}">
                <a16:creationId xmlns:a16="http://schemas.microsoft.com/office/drawing/2014/main" id="{A2DA44CC-66BE-4BCF-9490-B14FE94A192D}"/>
              </a:ext>
            </a:extLst>
          </xdr:cNvPr>
          <xdr:cNvSpPr/>
        </xdr:nvSpPr>
        <xdr:spPr>
          <a:xfrm>
            <a:off x="8089900" y="5883275"/>
            <a:ext cx="657225" cy="657225"/>
          </a:xfrm>
          <a:prstGeom prst="ellipse">
            <a:avLst/>
          </a:prstGeom>
          <a:solidFill>
            <a:srgbClr xmlns:mc="http://schemas.openxmlformats.org/markup-compatibility/2006" xmlns:a14="http://schemas.microsoft.com/office/drawing/2010/main" val="FFFFFF" mc:Ignorable="a14" a14:legacySpreadsheetColorIndex="65"/>
          </a:solidFill>
          <a:ln w="19050" cap="flat" cmpd="sng" algn="ctr">
            <a:solidFill>
              <a:srgbClr val="FF0000"/>
            </a:solidFill>
            <a:prstDash val="solid"/>
            <a:miter lim="800000"/>
            <a:headEnd type="none" w="med" len="med"/>
            <a:tailEnd type="non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3" name="直線コネクタ 2">
            <a:extLst>
              <a:ext uri="{FF2B5EF4-FFF2-40B4-BE49-F238E27FC236}">
                <a16:creationId xmlns:a16="http://schemas.microsoft.com/office/drawing/2014/main" id="{F0C0062D-F6A0-4C84-8ED1-FEEEEE9809F0}"/>
              </a:ext>
            </a:extLst>
          </xdr:cNvPr>
          <xdr:cNvCxnSpPr/>
        </xdr:nvCxnSpPr>
        <xdr:spPr>
          <a:xfrm>
            <a:off x="8115300" y="6102350"/>
            <a:ext cx="606425" cy="0"/>
          </a:xfrm>
          <a:prstGeom prst="line">
            <a:avLst/>
          </a:prstGeom>
          <a:ln w="9525" cap="flat" cmpd="sng" algn="ctr">
            <a:solidFill>
              <a:srgbClr val="FF0000"/>
            </a:solidFill>
            <a:prstDash val="solid"/>
            <a:miter lim="800000"/>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xnSp macro="">
        <xdr:nvCxnSpPr>
          <xdr:cNvPr id="4" name="直線コネクタ 3">
            <a:extLst>
              <a:ext uri="{FF2B5EF4-FFF2-40B4-BE49-F238E27FC236}">
                <a16:creationId xmlns:a16="http://schemas.microsoft.com/office/drawing/2014/main" id="{09561FC1-02DD-4725-AC10-93B55DBD2262}"/>
              </a:ext>
            </a:extLst>
          </xdr:cNvPr>
          <xdr:cNvCxnSpPr/>
        </xdr:nvCxnSpPr>
        <xdr:spPr>
          <a:xfrm>
            <a:off x="8115300" y="6321425"/>
            <a:ext cx="606425" cy="0"/>
          </a:xfrm>
          <a:prstGeom prst="line">
            <a:avLst/>
          </a:prstGeom>
          <a:ln w="9525" cap="flat" cmpd="sng" algn="ctr">
            <a:solidFill>
              <a:srgbClr val="FF0000"/>
            </a:solidFill>
            <a:prstDash val="solid"/>
            <a:miter lim="800000"/>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sp macro="" textlink="">
        <xdr:nvSpPr>
          <xdr:cNvPr id="5" name="テキスト ボックス 4">
            <a:extLst>
              <a:ext uri="{FF2B5EF4-FFF2-40B4-BE49-F238E27FC236}">
                <a16:creationId xmlns:a16="http://schemas.microsoft.com/office/drawing/2014/main" id="{E0981ED9-9658-4207-9631-13C214575DDB}"/>
              </a:ext>
            </a:extLst>
          </xdr:cNvPr>
          <xdr:cNvSpPr txBox="1"/>
        </xdr:nvSpPr>
        <xdr:spPr>
          <a:xfrm>
            <a:off x="8102600" y="5930900"/>
            <a:ext cx="6350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ja-JP" altLang="en-US" sz="900">
                <a:solidFill>
                  <a:srgbClr val="FF0000"/>
                </a:solidFill>
                <a:ea typeface="ＭＳ Ｐ明朝" panose="02020600040205080304" pitchFamily="18" charset="-128"/>
              </a:rPr>
              <a:t>製造</a:t>
            </a:r>
          </a:p>
        </xdr:txBody>
      </xdr:sp>
      <xdr:sp macro="" textlink="">
        <xdr:nvSpPr>
          <xdr:cNvPr id="6" name="テキスト ボックス 5">
            <a:extLst>
              <a:ext uri="{FF2B5EF4-FFF2-40B4-BE49-F238E27FC236}">
                <a16:creationId xmlns:a16="http://schemas.microsoft.com/office/drawing/2014/main" id="{66DE5054-14C3-4175-B2B5-80347CFA2E4A}"/>
              </a:ext>
            </a:extLst>
          </xdr:cNvPr>
          <xdr:cNvSpPr txBox="1"/>
        </xdr:nvSpPr>
        <xdr:spPr>
          <a:xfrm>
            <a:off x="8089900" y="6129338"/>
            <a:ext cx="6604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en-US" altLang="ja-JP" sz="825">
                <a:solidFill>
                  <a:srgbClr val="FF0000"/>
                </a:solidFill>
                <a:ea typeface="ＭＳ Ｐ明朝" panose="02020600040205080304" pitchFamily="18" charset="-128"/>
              </a:rPr>
              <a:t>2019/10/15</a:t>
            </a:r>
            <a:endParaRPr kumimoji="1" lang="ja-JP" altLang="en-US" sz="825">
              <a:solidFill>
                <a:srgbClr val="FF0000"/>
              </a:solidFill>
              <a:ea typeface="ＭＳ Ｐ明朝" panose="02020600040205080304" pitchFamily="18" charset="-128"/>
            </a:endParaRPr>
          </a:p>
        </xdr:txBody>
      </xdr:sp>
      <xdr:sp macro="" textlink="">
        <xdr:nvSpPr>
          <xdr:cNvPr id="7" name="テキスト ボックス 6">
            <a:extLst>
              <a:ext uri="{FF2B5EF4-FFF2-40B4-BE49-F238E27FC236}">
                <a16:creationId xmlns:a16="http://schemas.microsoft.com/office/drawing/2014/main" id="{016BE04E-C303-4B0F-8E4C-FF58746F6130}"/>
              </a:ext>
            </a:extLst>
          </xdr:cNvPr>
          <xdr:cNvSpPr txBox="1"/>
        </xdr:nvSpPr>
        <xdr:spPr>
          <a:xfrm>
            <a:off x="8102600" y="6330950"/>
            <a:ext cx="6350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ja-JP" altLang="en-US" sz="900">
                <a:solidFill>
                  <a:srgbClr val="FF0000"/>
                </a:solidFill>
                <a:ea typeface="ＭＳ Ｐ明朝" panose="02020600040205080304" pitchFamily="18" charset="-128"/>
              </a:rPr>
              <a:t>髙田</a:t>
            </a:r>
          </a:p>
        </xdr:txBody>
      </xdr:sp>
    </xdr:grpSp>
    <xdr:clientData/>
  </xdr:twoCellAnchor>
</xdr:wsDr>
</file>

<file path=xl/drawings/drawing40.xml><?xml version="1.0" encoding="utf-8"?>
<xdr:wsDr xmlns:xdr="http://schemas.openxmlformats.org/drawingml/2006/spreadsheetDrawing" xmlns:a="http://schemas.openxmlformats.org/drawingml/2006/main">
  <xdr:twoCellAnchor>
    <xdr:from>
      <xdr:col>16</xdr:col>
      <xdr:colOff>215621</xdr:colOff>
      <xdr:row>27</xdr:row>
      <xdr:rowOff>104122</xdr:rowOff>
    </xdr:from>
    <xdr:to>
      <xdr:col>17</xdr:col>
      <xdr:colOff>370635</xdr:colOff>
      <xdr:row>30</xdr:row>
      <xdr:rowOff>136058</xdr:rowOff>
    </xdr:to>
    <xdr:grpSp>
      <xdr:nvGrpSpPr>
        <xdr:cNvPr id="8" name="グループ化 7">
          <a:extLst>
            <a:ext uri="{FF2B5EF4-FFF2-40B4-BE49-F238E27FC236}">
              <a16:creationId xmlns:a16="http://schemas.microsoft.com/office/drawing/2014/main" id="{5D87C3A3-5C2F-4165-8F17-952463754608}"/>
            </a:ext>
          </a:extLst>
        </xdr:cNvPr>
        <xdr:cNvGrpSpPr/>
      </xdr:nvGrpSpPr>
      <xdr:grpSpPr>
        <a:xfrm>
          <a:off x="8283856" y="5875151"/>
          <a:ext cx="659279" cy="670672"/>
          <a:chOff x="8089900" y="5883275"/>
          <a:chExt cx="660400" cy="657225"/>
        </a:xfrm>
      </xdr:grpSpPr>
      <xdr:sp macro="" textlink="">
        <xdr:nvSpPr>
          <xdr:cNvPr id="2" name="楕円 1">
            <a:extLst>
              <a:ext uri="{FF2B5EF4-FFF2-40B4-BE49-F238E27FC236}">
                <a16:creationId xmlns:a16="http://schemas.microsoft.com/office/drawing/2014/main" id="{D9F36172-1A9D-4F55-B2EA-58A31C0313BF}"/>
              </a:ext>
            </a:extLst>
          </xdr:cNvPr>
          <xdr:cNvSpPr/>
        </xdr:nvSpPr>
        <xdr:spPr>
          <a:xfrm>
            <a:off x="8089900" y="5883275"/>
            <a:ext cx="657225" cy="657225"/>
          </a:xfrm>
          <a:prstGeom prst="ellipse">
            <a:avLst/>
          </a:prstGeom>
          <a:solidFill>
            <a:srgbClr xmlns:mc="http://schemas.openxmlformats.org/markup-compatibility/2006" xmlns:a14="http://schemas.microsoft.com/office/drawing/2010/main" val="FFFFFF" mc:Ignorable="a14" a14:legacySpreadsheetColorIndex="65"/>
          </a:solidFill>
          <a:ln w="19050" cap="flat" cmpd="sng" algn="ctr">
            <a:solidFill>
              <a:srgbClr val="FF0000"/>
            </a:solidFill>
            <a:prstDash val="solid"/>
            <a:miter lim="800000"/>
            <a:headEnd type="none" w="med" len="med"/>
            <a:tailEnd type="non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3" name="直線コネクタ 2">
            <a:extLst>
              <a:ext uri="{FF2B5EF4-FFF2-40B4-BE49-F238E27FC236}">
                <a16:creationId xmlns:a16="http://schemas.microsoft.com/office/drawing/2014/main" id="{9ADD4A5F-FC46-4F54-9EB0-87160C098AC2}"/>
              </a:ext>
            </a:extLst>
          </xdr:cNvPr>
          <xdr:cNvCxnSpPr/>
        </xdr:nvCxnSpPr>
        <xdr:spPr>
          <a:xfrm>
            <a:off x="8115300" y="6102350"/>
            <a:ext cx="606425" cy="0"/>
          </a:xfrm>
          <a:prstGeom prst="line">
            <a:avLst/>
          </a:prstGeom>
          <a:ln w="9525" cap="flat" cmpd="sng" algn="ctr">
            <a:solidFill>
              <a:srgbClr val="FF0000"/>
            </a:solidFill>
            <a:prstDash val="solid"/>
            <a:miter lim="800000"/>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xnSp macro="">
        <xdr:nvCxnSpPr>
          <xdr:cNvPr id="4" name="直線コネクタ 3">
            <a:extLst>
              <a:ext uri="{FF2B5EF4-FFF2-40B4-BE49-F238E27FC236}">
                <a16:creationId xmlns:a16="http://schemas.microsoft.com/office/drawing/2014/main" id="{BC747332-703F-4554-80D3-34FD5EBF60F3}"/>
              </a:ext>
            </a:extLst>
          </xdr:cNvPr>
          <xdr:cNvCxnSpPr/>
        </xdr:nvCxnSpPr>
        <xdr:spPr>
          <a:xfrm>
            <a:off x="8115300" y="6321425"/>
            <a:ext cx="606425" cy="0"/>
          </a:xfrm>
          <a:prstGeom prst="line">
            <a:avLst/>
          </a:prstGeom>
          <a:ln w="9525" cap="flat" cmpd="sng" algn="ctr">
            <a:solidFill>
              <a:srgbClr val="FF0000"/>
            </a:solidFill>
            <a:prstDash val="solid"/>
            <a:miter lim="800000"/>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sp macro="" textlink="">
        <xdr:nvSpPr>
          <xdr:cNvPr id="5" name="テキスト ボックス 4">
            <a:extLst>
              <a:ext uri="{FF2B5EF4-FFF2-40B4-BE49-F238E27FC236}">
                <a16:creationId xmlns:a16="http://schemas.microsoft.com/office/drawing/2014/main" id="{53FF558A-CA3E-4CB9-9661-5E644C1E56B6}"/>
              </a:ext>
            </a:extLst>
          </xdr:cNvPr>
          <xdr:cNvSpPr txBox="1"/>
        </xdr:nvSpPr>
        <xdr:spPr>
          <a:xfrm>
            <a:off x="8102600" y="5930900"/>
            <a:ext cx="6350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ja-JP" altLang="en-US" sz="900">
                <a:solidFill>
                  <a:srgbClr val="FF0000"/>
                </a:solidFill>
                <a:ea typeface="ＭＳ Ｐ明朝" panose="02020600040205080304" pitchFamily="18" charset="-128"/>
              </a:rPr>
              <a:t>製造</a:t>
            </a:r>
          </a:p>
        </xdr:txBody>
      </xdr:sp>
      <xdr:sp macro="" textlink="">
        <xdr:nvSpPr>
          <xdr:cNvPr id="6" name="テキスト ボックス 5">
            <a:extLst>
              <a:ext uri="{FF2B5EF4-FFF2-40B4-BE49-F238E27FC236}">
                <a16:creationId xmlns:a16="http://schemas.microsoft.com/office/drawing/2014/main" id="{C0D7290F-4D19-40FF-BAC3-7C713F2F1010}"/>
              </a:ext>
            </a:extLst>
          </xdr:cNvPr>
          <xdr:cNvSpPr txBox="1"/>
        </xdr:nvSpPr>
        <xdr:spPr>
          <a:xfrm>
            <a:off x="8089900" y="6129338"/>
            <a:ext cx="6604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en-US" altLang="ja-JP" sz="825">
                <a:solidFill>
                  <a:srgbClr val="FF0000"/>
                </a:solidFill>
                <a:ea typeface="ＭＳ Ｐ明朝" panose="02020600040205080304" pitchFamily="18" charset="-128"/>
              </a:rPr>
              <a:t>2019/08/12</a:t>
            </a:r>
            <a:endParaRPr kumimoji="1" lang="ja-JP" altLang="en-US" sz="825">
              <a:solidFill>
                <a:srgbClr val="FF0000"/>
              </a:solidFill>
              <a:ea typeface="ＭＳ Ｐ明朝" panose="02020600040205080304" pitchFamily="18" charset="-128"/>
            </a:endParaRPr>
          </a:p>
        </xdr:txBody>
      </xdr:sp>
      <xdr:sp macro="" textlink="">
        <xdr:nvSpPr>
          <xdr:cNvPr id="7" name="テキスト ボックス 6">
            <a:extLst>
              <a:ext uri="{FF2B5EF4-FFF2-40B4-BE49-F238E27FC236}">
                <a16:creationId xmlns:a16="http://schemas.microsoft.com/office/drawing/2014/main" id="{0DBD2866-9B9F-487F-8C58-CDAB8D4DB44B}"/>
              </a:ext>
            </a:extLst>
          </xdr:cNvPr>
          <xdr:cNvSpPr txBox="1"/>
        </xdr:nvSpPr>
        <xdr:spPr>
          <a:xfrm>
            <a:off x="8102600" y="6330950"/>
            <a:ext cx="6350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ja-JP" altLang="en-US" sz="900">
                <a:solidFill>
                  <a:srgbClr val="FF0000"/>
                </a:solidFill>
                <a:ea typeface="ＭＳ Ｐ明朝" panose="02020600040205080304" pitchFamily="18" charset="-128"/>
              </a:rPr>
              <a:t>髙田</a:t>
            </a:r>
          </a:p>
        </xdr:txBody>
      </xdr:sp>
    </xdr:grpSp>
    <xdr:clientData/>
  </xdr:twoCellAnchor>
</xdr:wsDr>
</file>

<file path=xl/drawings/drawing41.xml><?xml version="1.0" encoding="utf-8"?>
<xdr:wsDr xmlns:xdr="http://schemas.openxmlformats.org/drawingml/2006/spreadsheetDrawing" xmlns:a="http://schemas.openxmlformats.org/drawingml/2006/main">
  <xdr:twoCellAnchor>
    <xdr:from>
      <xdr:col>9</xdr:col>
      <xdr:colOff>11206</xdr:colOff>
      <xdr:row>27</xdr:row>
      <xdr:rowOff>22412</xdr:rowOff>
    </xdr:from>
    <xdr:to>
      <xdr:col>13</xdr:col>
      <xdr:colOff>493059</xdr:colOff>
      <xdr:row>32</xdr:row>
      <xdr:rowOff>156883</xdr:rowOff>
    </xdr:to>
    <xdr:cxnSp macro="">
      <xdr:nvCxnSpPr>
        <xdr:cNvPr id="3" name="直線コネクタ 2">
          <a:extLst>
            <a:ext uri="{FF2B5EF4-FFF2-40B4-BE49-F238E27FC236}">
              <a16:creationId xmlns:a16="http://schemas.microsoft.com/office/drawing/2014/main" id="{3156E600-AA76-4FEB-9E22-6A8108ABD464}"/>
            </a:ext>
          </a:extLst>
        </xdr:cNvPr>
        <xdr:cNvCxnSpPr/>
      </xdr:nvCxnSpPr>
      <xdr:spPr>
        <a:xfrm flipV="1">
          <a:off x="4549588" y="5793441"/>
          <a:ext cx="2498912" cy="119903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439738</xdr:colOff>
      <xdr:row>26</xdr:row>
      <xdr:rowOff>182563</xdr:rowOff>
    </xdr:from>
    <xdr:to>
      <xdr:col>17</xdr:col>
      <xdr:colOff>90488</xdr:colOff>
      <xdr:row>30</xdr:row>
      <xdr:rowOff>1588</xdr:rowOff>
    </xdr:to>
    <xdr:grpSp>
      <xdr:nvGrpSpPr>
        <xdr:cNvPr id="9" name="グループ化 8">
          <a:extLst>
            <a:ext uri="{FF2B5EF4-FFF2-40B4-BE49-F238E27FC236}">
              <a16:creationId xmlns:a16="http://schemas.microsoft.com/office/drawing/2014/main" id="{AE413DA5-0A58-4EA2-8740-88267D63119E}"/>
            </a:ext>
          </a:extLst>
        </xdr:cNvPr>
        <xdr:cNvGrpSpPr/>
      </xdr:nvGrpSpPr>
      <xdr:grpSpPr>
        <a:xfrm>
          <a:off x="8003709" y="5740681"/>
          <a:ext cx="659279" cy="670672"/>
          <a:chOff x="8089900" y="5883275"/>
          <a:chExt cx="660400" cy="657225"/>
        </a:xfrm>
      </xdr:grpSpPr>
      <xdr:sp macro="" textlink="">
        <xdr:nvSpPr>
          <xdr:cNvPr id="2" name="楕円 1">
            <a:extLst>
              <a:ext uri="{FF2B5EF4-FFF2-40B4-BE49-F238E27FC236}">
                <a16:creationId xmlns:a16="http://schemas.microsoft.com/office/drawing/2014/main" id="{FE2533DE-F5F6-4B4B-B9D8-CA7D214D53FE}"/>
              </a:ext>
            </a:extLst>
          </xdr:cNvPr>
          <xdr:cNvSpPr/>
        </xdr:nvSpPr>
        <xdr:spPr>
          <a:xfrm>
            <a:off x="8089900" y="5883275"/>
            <a:ext cx="657225" cy="657225"/>
          </a:xfrm>
          <a:prstGeom prst="ellipse">
            <a:avLst/>
          </a:prstGeom>
          <a:solidFill>
            <a:srgbClr xmlns:mc="http://schemas.openxmlformats.org/markup-compatibility/2006" xmlns:a14="http://schemas.microsoft.com/office/drawing/2010/main" val="FFFFFF" mc:Ignorable="a14" a14:legacySpreadsheetColorIndex="65"/>
          </a:solidFill>
          <a:ln w="19050" cap="flat" cmpd="sng" algn="ctr">
            <a:solidFill>
              <a:srgbClr val="FF0000"/>
            </a:solidFill>
            <a:prstDash val="solid"/>
            <a:miter lim="800000"/>
            <a:headEnd type="none" w="med" len="med"/>
            <a:tailEnd type="non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4" name="直線コネクタ 3">
            <a:extLst>
              <a:ext uri="{FF2B5EF4-FFF2-40B4-BE49-F238E27FC236}">
                <a16:creationId xmlns:a16="http://schemas.microsoft.com/office/drawing/2014/main" id="{C76F9449-F1A0-4433-8E6F-D4AA6D9872E0}"/>
              </a:ext>
            </a:extLst>
          </xdr:cNvPr>
          <xdr:cNvCxnSpPr/>
        </xdr:nvCxnSpPr>
        <xdr:spPr>
          <a:xfrm>
            <a:off x="8115300" y="6102350"/>
            <a:ext cx="606425" cy="0"/>
          </a:xfrm>
          <a:prstGeom prst="line">
            <a:avLst/>
          </a:prstGeom>
          <a:ln w="9525" cap="flat" cmpd="sng" algn="ctr">
            <a:solidFill>
              <a:srgbClr val="FF0000"/>
            </a:solidFill>
            <a:prstDash val="solid"/>
            <a:miter lim="800000"/>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xnSp macro="">
        <xdr:nvCxnSpPr>
          <xdr:cNvPr id="5" name="直線コネクタ 4">
            <a:extLst>
              <a:ext uri="{FF2B5EF4-FFF2-40B4-BE49-F238E27FC236}">
                <a16:creationId xmlns:a16="http://schemas.microsoft.com/office/drawing/2014/main" id="{F6913F47-E1E4-4076-B1F9-BA4CDA40AD08}"/>
              </a:ext>
            </a:extLst>
          </xdr:cNvPr>
          <xdr:cNvCxnSpPr/>
        </xdr:nvCxnSpPr>
        <xdr:spPr>
          <a:xfrm>
            <a:off x="8115300" y="6321425"/>
            <a:ext cx="606425" cy="0"/>
          </a:xfrm>
          <a:prstGeom prst="line">
            <a:avLst/>
          </a:prstGeom>
          <a:ln w="9525" cap="flat" cmpd="sng" algn="ctr">
            <a:solidFill>
              <a:srgbClr val="FF0000"/>
            </a:solidFill>
            <a:prstDash val="solid"/>
            <a:miter lim="800000"/>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sp macro="" textlink="">
        <xdr:nvSpPr>
          <xdr:cNvPr id="6" name="テキスト ボックス 5">
            <a:extLst>
              <a:ext uri="{FF2B5EF4-FFF2-40B4-BE49-F238E27FC236}">
                <a16:creationId xmlns:a16="http://schemas.microsoft.com/office/drawing/2014/main" id="{663C3823-3EEE-4D79-9F4B-ACD5DCC33B64}"/>
              </a:ext>
            </a:extLst>
          </xdr:cNvPr>
          <xdr:cNvSpPr txBox="1"/>
        </xdr:nvSpPr>
        <xdr:spPr>
          <a:xfrm>
            <a:off x="8102600" y="5930900"/>
            <a:ext cx="6350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ja-JP" altLang="en-US" sz="900">
                <a:solidFill>
                  <a:srgbClr val="FF0000"/>
                </a:solidFill>
                <a:ea typeface="ＭＳ Ｐ明朝" panose="02020600040205080304" pitchFamily="18" charset="-128"/>
              </a:rPr>
              <a:t>製造</a:t>
            </a:r>
          </a:p>
        </xdr:txBody>
      </xdr:sp>
      <xdr:sp macro="" textlink="">
        <xdr:nvSpPr>
          <xdr:cNvPr id="7" name="テキスト ボックス 6">
            <a:extLst>
              <a:ext uri="{FF2B5EF4-FFF2-40B4-BE49-F238E27FC236}">
                <a16:creationId xmlns:a16="http://schemas.microsoft.com/office/drawing/2014/main" id="{4354A5C8-4EEA-4E5B-81A2-FECFC3342CBC}"/>
              </a:ext>
            </a:extLst>
          </xdr:cNvPr>
          <xdr:cNvSpPr txBox="1"/>
        </xdr:nvSpPr>
        <xdr:spPr>
          <a:xfrm>
            <a:off x="8089900" y="6129338"/>
            <a:ext cx="6604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en-US" altLang="ja-JP" sz="825">
                <a:solidFill>
                  <a:srgbClr val="FF0000"/>
                </a:solidFill>
                <a:ea typeface="ＭＳ Ｐ明朝" panose="02020600040205080304" pitchFamily="18" charset="-128"/>
              </a:rPr>
              <a:t>2019/06/18</a:t>
            </a:r>
            <a:endParaRPr kumimoji="1" lang="ja-JP" altLang="en-US" sz="825">
              <a:solidFill>
                <a:srgbClr val="FF0000"/>
              </a:solidFill>
              <a:ea typeface="ＭＳ Ｐ明朝" panose="02020600040205080304" pitchFamily="18" charset="-128"/>
            </a:endParaRPr>
          </a:p>
        </xdr:txBody>
      </xdr:sp>
      <xdr:sp macro="" textlink="">
        <xdr:nvSpPr>
          <xdr:cNvPr id="8" name="テキスト ボックス 7">
            <a:extLst>
              <a:ext uri="{FF2B5EF4-FFF2-40B4-BE49-F238E27FC236}">
                <a16:creationId xmlns:a16="http://schemas.microsoft.com/office/drawing/2014/main" id="{EC333557-70D7-49A4-AC26-F475A4805F0C}"/>
              </a:ext>
            </a:extLst>
          </xdr:cNvPr>
          <xdr:cNvSpPr txBox="1"/>
        </xdr:nvSpPr>
        <xdr:spPr>
          <a:xfrm>
            <a:off x="8102600" y="6330950"/>
            <a:ext cx="6350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ja-JP" altLang="en-US" sz="900">
                <a:solidFill>
                  <a:srgbClr val="FF0000"/>
                </a:solidFill>
                <a:ea typeface="ＭＳ Ｐ明朝" panose="02020600040205080304" pitchFamily="18" charset="-128"/>
              </a:rPr>
              <a:t>髙田</a:t>
            </a:r>
          </a:p>
        </xdr:txBody>
      </xdr:sp>
    </xdr:grpSp>
    <xdr:clientData/>
  </xdr:twoCellAnchor>
</xdr:wsDr>
</file>

<file path=xl/drawings/drawing42.xml><?xml version="1.0" encoding="utf-8"?>
<xdr:wsDr xmlns:xdr="http://schemas.openxmlformats.org/drawingml/2006/spreadsheetDrawing" xmlns:a="http://schemas.openxmlformats.org/drawingml/2006/main">
  <xdr:twoCellAnchor>
    <xdr:from>
      <xdr:col>16</xdr:col>
      <xdr:colOff>148385</xdr:colOff>
      <xdr:row>26</xdr:row>
      <xdr:rowOff>81711</xdr:rowOff>
    </xdr:from>
    <xdr:to>
      <xdr:col>17</xdr:col>
      <xdr:colOff>303399</xdr:colOff>
      <xdr:row>29</xdr:row>
      <xdr:rowOff>113648</xdr:rowOff>
    </xdr:to>
    <xdr:grpSp>
      <xdr:nvGrpSpPr>
        <xdr:cNvPr id="15" name="グループ化 14">
          <a:extLst>
            <a:ext uri="{FF2B5EF4-FFF2-40B4-BE49-F238E27FC236}">
              <a16:creationId xmlns:a16="http://schemas.microsoft.com/office/drawing/2014/main" id="{720663F0-A7D4-40AB-AAB0-D023E80DD4DB}"/>
            </a:ext>
          </a:extLst>
        </xdr:cNvPr>
        <xdr:cNvGrpSpPr/>
      </xdr:nvGrpSpPr>
      <xdr:grpSpPr>
        <a:xfrm>
          <a:off x="8216620" y="5639829"/>
          <a:ext cx="659279" cy="670672"/>
          <a:chOff x="8089900" y="5883275"/>
          <a:chExt cx="660400" cy="657225"/>
        </a:xfrm>
      </xdr:grpSpPr>
      <xdr:sp macro="" textlink="">
        <xdr:nvSpPr>
          <xdr:cNvPr id="9" name="楕円 8">
            <a:extLst>
              <a:ext uri="{FF2B5EF4-FFF2-40B4-BE49-F238E27FC236}">
                <a16:creationId xmlns:a16="http://schemas.microsoft.com/office/drawing/2014/main" id="{409D8784-B763-499D-BB8C-6B9A78BE7681}"/>
              </a:ext>
            </a:extLst>
          </xdr:cNvPr>
          <xdr:cNvSpPr/>
        </xdr:nvSpPr>
        <xdr:spPr>
          <a:xfrm>
            <a:off x="8089900" y="5883275"/>
            <a:ext cx="657225" cy="657225"/>
          </a:xfrm>
          <a:prstGeom prst="ellipse">
            <a:avLst/>
          </a:prstGeom>
          <a:solidFill>
            <a:srgbClr xmlns:mc="http://schemas.openxmlformats.org/markup-compatibility/2006" xmlns:a14="http://schemas.microsoft.com/office/drawing/2010/main" val="FFFFFF" mc:Ignorable="a14" a14:legacySpreadsheetColorIndex="65"/>
          </a:solidFill>
          <a:ln w="19050" cap="flat" cmpd="sng" algn="ctr">
            <a:solidFill>
              <a:srgbClr val="FF0000"/>
            </a:solidFill>
            <a:prstDash val="solid"/>
            <a:miter lim="800000"/>
            <a:headEnd type="none" w="med" len="med"/>
            <a:tailEnd type="non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10" name="直線コネクタ 9">
            <a:extLst>
              <a:ext uri="{FF2B5EF4-FFF2-40B4-BE49-F238E27FC236}">
                <a16:creationId xmlns:a16="http://schemas.microsoft.com/office/drawing/2014/main" id="{C0391E19-46EE-4665-9B05-E64F93D85FDE}"/>
              </a:ext>
            </a:extLst>
          </xdr:cNvPr>
          <xdr:cNvCxnSpPr/>
        </xdr:nvCxnSpPr>
        <xdr:spPr>
          <a:xfrm>
            <a:off x="8115300" y="6102350"/>
            <a:ext cx="606425" cy="0"/>
          </a:xfrm>
          <a:prstGeom prst="line">
            <a:avLst/>
          </a:prstGeom>
          <a:ln w="9525" cap="flat" cmpd="sng" algn="ctr">
            <a:solidFill>
              <a:srgbClr val="FF0000"/>
            </a:solidFill>
            <a:prstDash val="solid"/>
            <a:miter lim="800000"/>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xnSp macro="">
        <xdr:nvCxnSpPr>
          <xdr:cNvPr id="11" name="直線コネクタ 10">
            <a:extLst>
              <a:ext uri="{FF2B5EF4-FFF2-40B4-BE49-F238E27FC236}">
                <a16:creationId xmlns:a16="http://schemas.microsoft.com/office/drawing/2014/main" id="{E8A360CC-4AB1-475D-87C1-F1AEC6D16B41}"/>
              </a:ext>
            </a:extLst>
          </xdr:cNvPr>
          <xdr:cNvCxnSpPr/>
        </xdr:nvCxnSpPr>
        <xdr:spPr>
          <a:xfrm>
            <a:off x="8115300" y="6321425"/>
            <a:ext cx="606425" cy="0"/>
          </a:xfrm>
          <a:prstGeom prst="line">
            <a:avLst/>
          </a:prstGeom>
          <a:ln w="9525" cap="flat" cmpd="sng" algn="ctr">
            <a:solidFill>
              <a:srgbClr val="FF0000"/>
            </a:solidFill>
            <a:prstDash val="solid"/>
            <a:miter lim="800000"/>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sp macro="" textlink="">
        <xdr:nvSpPr>
          <xdr:cNvPr id="12" name="テキスト ボックス 11">
            <a:extLst>
              <a:ext uri="{FF2B5EF4-FFF2-40B4-BE49-F238E27FC236}">
                <a16:creationId xmlns:a16="http://schemas.microsoft.com/office/drawing/2014/main" id="{8C45C6DD-C924-4EB3-9F2E-301A52B9311F}"/>
              </a:ext>
            </a:extLst>
          </xdr:cNvPr>
          <xdr:cNvSpPr txBox="1"/>
        </xdr:nvSpPr>
        <xdr:spPr>
          <a:xfrm>
            <a:off x="8102600" y="5930900"/>
            <a:ext cx="6350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ja-JP" altLang="en-US" sz="900">
                <a:solidFill>
                  <a:srgbClr val="FF0000"/>
                </a:solidFill>
                <a:ea typeface="ＭＳ Ｐ明朝" panose="02020600040205080304" pitchFamily="18" charset="-128"/>
              </a:rPr>
              <a:t>製造</a:t>
            </a:r>
          </a:p>
        </xdr:txBody>
      </xdr:sp>
      <xdr:sp macro="" textlink="">
        <xdr:nvSpPr>
          <xdr:cNvPr id="13" name="テキスト ボックス 12">
            <a:extLst>
              <a:ext uri="{FF2B5EF4-FFF2-40B4-BE49-F238E27FC236}">
                <a16:creationId xmlns:a16="http://schemas.microsoft.com/office/drawing/2014/main" id="{CC98A1F5-3BC6-4E1A-8716-0CF123313F5C}"/>
              </a:ext>
            </a:extLst>
          </xdr:cNvPr>
          <xdr:cNvSpPr txBox="1"/>
        </xdr:nvSpPr>
        <xdr:spPr>
          <a:xfrm>
            <a:off x="8089900" y="6129338"/>
            <a:ext cx="6604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en-US" altLang="ja-JP" sz="900">
                <a:solidFill>
                  <a:srgbClr val="FF0000"/>
                </a:solidFill>
                <a:ea typeface="ＭＳ Ｐ明朝" panose="02020600040205080304" pitchFamily="18" charset="-128"/>
              </a:rPr>
              <a:t>31/04/25</a:t>
            </a:r>
            <a:endParaRPr kumimoji="1" lang="ja-JP" altLang="en-US" sz="900">
              <a:solidFill>
                <a:srgbClr val="FF0000"/>
              </a:solidFill>
              <a:ea typeface="ＭＳ Ｐ明朝" panose="02020600040205080304" pitchFamily="18" charset="-128"/>
            </a:endParaRPr>
          </a:p>
        </xdr:txBody>
      </xdr:sp>
      <xdr:sp macro="" textlink="">
        <xdr:nvSpPr>
          <xdr:cNvPr id="14" name="テキスト ボックス 13">
            <a:extLst>
              <a:ext uri="{FF2B5EF4-FFF2-40B4-BE49-F238E27FC236}">
                <a16:creationId xmlns:a16="http://schemas.microsoft.com/office/drawing/2014/main" id="{4CCC751B-A7D0-472D-942F-FB4AAC355B8E}"/>
              </a:ext>
            </a:extLst>
          </xdr:cNvPr>
          <xdr:cNvSpPr txBox="1"/>
        </xdr:nvSpPr>
        <xdr:spPr>
          <a:xfrm>
            <a:off x="8102600" y="6330950"/>
            <a:ext cx="6350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ja-JP" altLang="en-US" sz="900">
                <a:solidFill>
                  <a:srgbClr val="FF0000"/>
                </a:solidFill>
                <a:ea typeface="ＭＳ Ｐ明朝" panose="02020600040205080304" pitchFamily="18" charset="-128"/>
              </a:rPr>
              <a:t>髙田</a:t>
            </a:r>
          </a:p>
        </xdr:txBody>
      </xdr:sp>
    </xdr:grpSp>
    <xdr:clientData/>
  </xdr:twoCellAnchor>
</xdr:wsDr>
</file>

<file path=xl/drawings/drawing43.xml><?xml version="1.0" encoding="utf-8"?>
<xdr:wsDr xmlns:xdr="http://schemas.openxmlformats.org/drawingml/2006/spreadsheetDrawing" xmlns:a="http://schemas.openxmlformats.org/drawingml/2006/main">
  <xdr:twoCellAnchor>
    <xdr:from>
      <xdr:col>16</xdr:col>
      <xdr:colOff>439738</xdr:colOff>
      <xdr:row>25</xdr:row>
      <xdr:rowOff>1588</xdr:rowOff>
    </xdr:from>
    <xdr:to>
      <xdr:col>18</xdr:col>
      <xdr:colOff>90488</xdr:colOff>
      <xdr:row>27</xdr:row>
      <xdr:rowOff>201613</xdr:rowOff>
    </xdr:to>
    <xdr:grpSp>
      <xdr:nvGrpSpPr>
        <xdr:cNvPr id="8" name="グループ化 7">
          <a:extLst>
            <a:ext uri="{FF2B5EF4-FFF2-40B4-BE49-F238E27FC236}">
              <a16:creationId xmlns:a16="http://schemas.microsoft.com/office/drawing/2014/main" id="{8684B7B0-B3C7-4E3E-A9D1-16EA300EC7DF}"/>
            </a:ext>
          </a:extLst>
        </xdr:cNvPr>
        <xdr:cNvGrpSpPr/>
      </xdr:nvGrpSpPr>
      <xdr:grpSpPr>
        <a:xfrm>
          <a:off x="8507973" y="5615735"/>
          <a:ext cx="659280" cy="648260"/>
          <a:chOff x="8594725" y="5940425"/>
          <a:chExt cx="660400" cy="657225"/>
        </a:xfrm>
      </xdr:grpSpPr>
      <xdr:sp macro="" textlink="">
        <xdr:nvSpPr>
          <xdr:cNvPr id="2" name="楕円 1">
            <a:extLst>
              <a:ext uri="{FF2B5EF4-FFF2-40B4-BE49-F238E27FC236}">
                <a16:creationId xmlns:a16="http://schemas.microsoft.com/office/drawing/2014/main" id="{C9646006-7428-4C11-91CC-9AA6613A0E25}"/>
              </a:ext>
            </a:extLst>
          </xdr:cNvPr>
          <xdr:cNvSpPr/>
        </xdr:nvSpPr>
        <xdr:spPr>
          <a:xfrm>
            <a:off x="8594725" y="5940425"/>
            <a:ext cx="657225" cy="657225"/>
          </a:xfrm>
          <a:prstGeom prst="ellipse">
            <a:avLst/>
          </a:prstGeom>
          <a:solidFill>
            <a:srgbClr xmlns:mc="http://schemas.openxmlformats.org/markup-compatibility/2006" xmlns:a14="http://schemas.microsoft.com/office/drawing/2010/main" val="FFFFFF" mc:Ignorable="a14" a14:legacySpreadsheetColorIndex="65"/>
          </a:solidFill>
          <a:ln w="19050" cap="flat" cmpd="sng" algn="ctr">
            <a:solidFill>
              <a:srgbClr val="FF0000"/>
            </a:solidFill>
            <a:prstDash val="solid"/>
            <a:miter lim="800000"/>
            <a:headEnd type="none" w="med" len="med"/>
            <a:tailEnd type="non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3" name="直線コネクタ 2">
            <a:extLst>
              <a:ext uri="{FF2B5EF4-FFF2-40B4-BE49-F238E27FC236}">
                <a16:creationId xmlns:a16="http://schemas.microsoft.com/office/drawing/2014/main" id="{C14758A6-9C0B-4A8E-89DF-81F503E93B6C}"/>
              </a:ext>
            </a:extLst>
          </xdr:cNvPr>
          <xdr:cNvCxnSpPr/>
        </xdr:nvCxnSpPr>
        <xdr:spPr>
          <a:xfrm>
            <a:off x="8620125" y="6159500"/>
            <a:ext cx="606425" cy="0"/>
          </a:xfrm>
          <a:prstGeom prst="line">
            <a:avLst/>
          </a:prstGeom>
          <a:ln w="9525" cap="flat" cmpd="sng" algn="ctr">
            <a:solidFill>
              <a:srgbClr val="FF0000"/>
            </a:solidFill>
            <a:prstDash val="solid"/>
            <a:miter lim="800000"/>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xnSp macro="">
        <xdr:nvCxnSpPr>
          <xdr:cNvPr id="4" name="直線コネクタ 3">
            <a:extLst>
              <a:ext uri="{FF2B5EF4-FFF2-40B4-BE49-F238E27FC236}">
                <a16:creationId xmlns:a16="http://schemas.microsoft.com/office/drawing/2014/main" id="{C09DAC93-F994-4ABB-824D-3C5397C56CDC}"/>
              </a:ext>
            </a:extLst>
          </xdr:cNvPr>
          <xdr:cNvCxnSpPr/>
        </xdr:nvCxnSpPr>
        <xdr:spPr>
          <a:xfrm>
            <a:off x="8620125" y="6378575"/>
            <a:ext cx="606425" cy="0"/>
          </a:xfrm>
          <a:prstGeom prst="line">
            <a:avLst/>
          </a:prstGeom>
          <a:ln w="9525" cap="flat" cmpd="sng" algn="ctr">
            <a:solidFill>
              <a:srgbClr val="FF0000"/>
            </a:solidFill>
            <a:prstDash val="solid"/>
            <a:miter lim="800000"/>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sp macro="" textlink="">
        <xdr:nvSpPr>
          <xdr:cNvPr id="5" name="テキスト ボックス 4">
            <a:extLst>
              <a:ext uri="{FF2B5EF4-FFF2-40B4-BE49-F238E27FC236}">
                <a16:creationId xmlns:a16="http://schemas.microsoft.com/office/drawing/2014/main" id="{4CC799D0-FD70-4069-A788-20F5A4B228B6}"/>
              </a:ext>
            </a:extLst>
          </xdr:cNvPr>
          <xdr:cNvSpPr txBox="1"/>
        </xdr:nvSpPr>
        <xdr:spPr>
          <a:xfrm>
            <a:off x="8607425" y="5988050"/>
            <a:ext cx="6350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ja-JP" altLang="en-US" sz="900">
                <a:solidFill>
                  <a:srgbClr val="FF0000"/>
                </a:solidFill>
                <a:ea typeface="ＭＳ Ｐ明朝" panose="02020600040205080304" pitchFamily="18" charset="-128"/>
              </a:rPr>
              <a:t>製造</a:t>
            </a:r>
          </a:p>
        </xdr:txBody>
      </xdr:sp>
      <xdr:sp macro="" textlink="">
        <xdr:nvSpPr>
          <xdr:cNvPr id="6" name="テキスト ボックス 5">
            <a:extLst>
              <a:ext uri="{FF2B5EF4-FFF2-40B4-BE49-F238E27FC236}">
                <a16:creationId xmlns:a16="http://schemas.microsoft.com/office/drawing/2014/main" id="{F40425B3-D1E9-45E1-8761-9A49FA94702F}"/>
              </a:ext>
            </a:extLst>
          </xdr:cNvPr>
          <xdr:cNvSpPr txBox="1"/>
        </xdr:nvSpPr>
        <xdr:spPr>
          <a:xfrm>
            <a:off x="8594725" y="6186488"/>
            <a:ext cx="6604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en-US" altLang="ja-JP" sz="900">
                <a:solidFill>
                  <a:srgbClr val="FF0000"/>
                </a:solidFill>
                <a:ea typeface="ＭＳ Ｐ明朝" panose="02020600040205080304" pitchFamily="18" charset="-128"/>
              </a:rPr>
              <a:t>31/02/11</a:t>
            </a:r>
            <a:endParaRPr kumimoji="1" lang="ja-JP" altLang="en-US" sz="900">
              <a:solidFill>
                <a:srgbClr val="FF0000"/>
              </a:solidFill>
              <a:ea typeface="ＭＳ Ｐ明朝" panose="02020600040205080304" pitchFamily="18" charset="-128"/>
            </a:endParaRPr>
          </a:p>
        </xdr:txBody>
      </xdr:sp>
      <xdr:sp macro="" textlink="">
        <xdr:nvSpPr>
          <xdr:cNvPr id="7" name="テキスト ボックス 6">
            <a:extLst>
              <a:ext uri="{FF2B5EF4-FFF2-40B4-BE49-F238E27FC236}">
                <a16:creationId xmlns:a16="http://schemas.microsoft.com/office/drawing/2014/main" id="{ED6AD818-AE57-489D-B188-5F09D72B1483}"/>
              </a:ext>
            </a:extLst>
          </xdr:cNvPr>
          <xdr:cNvSpPr txBox="1"/>
        </xdr:nvSpPr>
        <xdr:spPr>
          <a:xfrm>
            <a:off x="8607425" y="6388100"/>
            <a:ext cx="6350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ja-JP" altLang="en-US" sz="900">
                <a:solidFill>
                  <a:srgbClr val="FF0000"/>
                </a:solidFill>
                <a:ea typeface="ＭＳ Ｐ明朝" panose="02020600040205080304" pitchFamily="18" charset="-128"/>
              </a:rPr>
              <a:t>髙田</a:t>
            </a:r>
          </a:p>
        </xdr:txBody>
      </xdr:sp>
    </xdr:grpSp>
    <xdr:clientData/>
  </xdr:twoCellAnchor>
</xdr:wsDr>
</file>

<file path=xl/drawings/drawing44.xml><?xml version="1.0" encoding="utf-8"?>
<xdr:wsDr xmlns:xdr="http://schemas.openxmlformats.org/drawingml/2006/spreadsheetDrawing" xmlns:a="http://schemas.openxmlformats.org/drawingml/2006/main">
  <xdr:twoCellAnchor>
    <xdr:from>
      <xdr:col>15</xdr:col>
      <xdr:colOff>439738</xdr:colOff>
      <xdr:row>24</xdr:row>
      <xdr:rowOff>1588</xdr:rowOff>
    </xdr:from>
    <xdr:to>
      <xdr:col>17</xdr:col>
      <xdr:colOff>90488</xdr:colOff>
      <xdr:row>26</xdr:row>
      <xdr:rowOff>201613</xdr:rowOff>
    </xdr:to>
    <xdr:grpSp>
      <xdr:nvGrpSpPr>
        <xdr:cNvPr id="2" name="グループ化 1">
          <a:extLst>
            <a:ext uri="{FF2B5EF4-FFF2-40B4-BE49-F238E27FC236}">
              <a16:creationId xmlns:a16="http://schemas.microsoft.com/office/drawing/2014/main" id="{3AFC1684-CA3D-4A0B-B884-6E1D4D615D65}"/>
            </a:ext>
          </a:extLst>
        </xdr:cNvPr>
        <xdr:cNvGrpSpPr/>
      </xdr:nvGrpSpPr>
      <xdr:grpSpPr>
        <a:xfrm>
          <a:off x="8003709" y="5391617"/>
          <a:ext cx="659279" cy="648261"/>
          <a:chOff x="8089900" y="5711825"/>
          <a:chExt cx="660400" cy="657225"/>
        </a:xfrm>
      </xdr:grpSpPr>
      <xdr:sp macro="" textlink="">
        <xdr:nvSpPr>
          <xdr:cNvPr id="3" name="楕円 2">
            <a:extLst>
              <a:ext uri="{FF2B5EF4-FFF2-40B4-BE49-F238E27FC236}">
                <a16:creationId xmlns:a16="http://schemas.microsoft.com/office/drawing/2014/main" id="{E50B399A-5CC4-40C0-B45E-FD11B34DF8B5}"/>
              </a:ext>
            </a:extLst>
          </xdr:cNvPr>
          <xdr:cNvSpPr/>
        </xdr:nvSpPr>
        <xdr:spPr>
          <a:xfrm>
            <a:off x="8089900" y="5711825"/>
            <a:ext cx="657225" cy="657225"/>
          </a:xfrm>
          <a:prstGeom prst="ellipse">
            <a:avLst/>
          </a:prstGeom>
          <a:solidFill>
            <a:srgbClr xmlns:mc="http://schemas.openxmlformats.org/markup-compatibility/2006" xmlns:a14="http://schemas.microsoft.com/office/drawing/2010/main" val="FFFFFF" mc:Ignorable="a14" a14:legacySpreadsheetColorIndex="65"/>
          </a:solidFill>
          <a:ln w="19050" cap="flat" cmpd="sng" algn="ctr">
            <a:solidFill>
              <a:srgbClr val="FF0000"/>
            </a:solidFill>
            <a:prstDash val="solid"/>
            <a:miter lim="800000"/>
            <a:headEnd type="none" w="med" len="med"/>
            <a:tailEnd type="non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4" name="直線コネクタ 3">
            <a:extLst>
              <a:ext uri="{FF2B5EF4-FFF2-40B4-BE49-F238E27FC236}">
                <a16:creationId xmlns:a16="http://schemas.microsoft.com/office/drawing/2014/main" id="{5D638137-AE2E-4DC1-80B1-6DD944AD2F37}"/>
              </a:ext>
            </a:extLst>
          </xdr:cNvPr>
          <xdr:cNvCxnSpPr/>
        </xdr:nvCxnSpPr>
        <xdr:spPr>
          <a:xfrm>
            <a:off x="8115300" y="5930900"/>
            <a:ext cx="606425" cy="0"/>
          </a:xfrm>
          <a:prstGeom prst="line">
            <a:avLst/>
          </a:prstGeom>
          <a:ln w="9525" cap="flat" cmpd="sng" algn="ctr">
            <a:solidFill>
              <a:srgbClr val="FF0000"/>
            </a:solidFill>
            <a:prstDash val="solid"/>
            <a:miter lim="800000"/>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xnSp macro="">
        <xdr:nvCxnSpPr>
          <xdr:cNvPr id="5" name="直線コネクタ 4">
            <a:extLst>
              <a:ext uri="{FF2B5EF4-FFF2-40B4-BE49-F238E27FC236}">
                <a16:creationId xmlns:a16="http://schemas.microsoft.com/office/drawing/2014/main" id="{48617D8B-C30D-4412-A23B-DE3779F64526}"/>
              </a:ext>
            </a:extLst>
          </xdr:cNvPr>
          <xdr:cNvCxnSpPr/>
        </xdr:nvCxnSpPr>
        <xdr:spPr>
          <a:xfrm>
            <a:off x="8115300" y="6149975"/>
            <a:ext cx="606425" cy="0"/>
          </a:xfrm>
          <a:prstGeom prst="line">
            <a:avLst/>
          </a:prstGeom>
          <a:ln w="9525" cap="flat" cmpd="sng" algn="ctr">
            <a:solidFill>
              <a:srgbClr val="FF0000"/>
            </a:solidFill>
            <a:prstDash val="solid"/>
            <a:miter lim="800000"/>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sp macro="" textlink="">
        <xdr:nvSpPr>
          <xdr:cNvPr id="6" name="テキスト ボックス 5">
            <a:extLst>
              <a:ext uri="{FF2B5EF4-FFF2-40B4-BE49-F238E27FC236}">
                <a16:creationId xmlns:a16="http://schemas.microsoft.com/office/drawing/2014/main" id="{A8E4A13E-20BB-407A-9C47-A2A35EAA74A4}"/>
              </a:ext>
            </a:extLst>
          </xdr:cNvPr>
          <xdr:cNvSpPr txBox="1"/>
        </xdr:nvSpPr>
        <xdr:spPr>
          <a:xfrm>
            <a:off x="8102600" y="5759450"/>
            <a:ext cx="6350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ja-JP" altLang="en-US" sz="900">
                <a:solidFill>
                  <a:srgbClr val="FF0000"/>
                </a:solidFill>
                <a:ea typeface="ＭＳ Ｐ明朝" panose="02020600040205080304" pitchFamily="18" charset="-128"/>
              </a:rPr>
              <a:t>製造</a:t>
            </a:r>
          </a:p>
        </xdr:txBody>
      </xdr:sp>
      <xdr:sp macro="" textlink="">
        <xdr:nvSpPr>
          <xdr:cNvPr id="7" name="テキスト ボックス 6">
            <a:extLst>
              <a:ext uri="{FF2B5EF4-FFF2-40B4-BE49-F238E27FC236}">
                <a16:creationId xmlns:a16="http://schemas.microsoft.com/office/drawing/2014/main" id="{26F60B5A-FAB9-4C86-B57B-892E895E14D1}"/>
              </a:ext>
            </a:extLst>
          </xdr:cNvPr>
          <xdr:cNvSpPr txBox="1"/>
        </xdr:nvSpPr>
        <xdr:spPr>
          <a:xfrm>
            <a:off x="8089900" y="5957888"/>
            <a:ext cx="6604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en-US" altLang="ja-JP" sz="900">
                <a:solidFill>
                  <a:srgbClr val="FF0000"/>
                </a:solidFill>
                <a:ea typeface="ＭＳ Ｐ明朝" panose="02020600040205080304" pitchFamily="18" charset="-128"/>
              </a:rPr>
              <a:t>30/12/13</a:t>
            </a:r>
            <a:endParaRPr kumimoji="1" lang="ja-JP" altLang="en-US" sz="900">
              <a:solidFill>
                <a:srgbClr val="FF0000"/>
              </a:solidFill>
              <a:ea typeface="ＭＳ Ｐ明朝" panose="02020600040205080304" pitchFamily="18" charset="-128"/>
            </a:endParaRPr>
          </a:p>
        </xdr:txBody>
      </xdr:sp>
      <xdr:sp macro="" textlink="">
        <xdr:nvSpPr>
          <xdr:cNvPr id="8" name="テキスト ボックス 7">
            <a:extLst>
              <a:ext uri="{FF2B5EF4-FFF2-40B4-BE49-F238E27FC236}">
                <a16:creationId xmlns:a16="http://schemas.microsoft.com/office/drawing/2014/main" id="{0B686A92-A140-4D99-9CC9-7F0C53470590}"/>
              </a:ext>
            </a:extLst>
          </xdr:cNvPr>
          <xdr:cNvSpPr txBox="1"/>
        </xdr:nvSpPr>
        <xdr:spPr>
          <a:xfrm>
            <a:off x="8102600" y="6159500"/>
            <a:ext cx="6350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ja-JP" altLang="en-US" sz="900">
                <a:solidFill>
                  <a:srgbClr val="FF0000"/>
                </a:solidFill>
                <a:ea typeface="ＭＳ Ｐ明朝" panose="02020600040205080304" pitchFamily="18" charset="-128"/>
              </a:rPr>
              <a:t>髙田</a:t>
            </a:r>
          </a:p>
        </xdr:txBody>
      </xdr:sp>
    </xdr:grpSp>
    <xdr:clientData/>
  </xdr:twoCellAnchor>
</xdr:wsDr>
</file>

<file path=xl/drawings/drawing45.xml><?xml version="1.0" encoding="utf-8"?>
<xdr:wsDr xmlns:xdr="http://schemas.openxmlformats.org/drawingml/2006/spreadsheetDrawing" xmlns:a="http://schemas.openxmlformats.org/drawingml/2006/main">
  <xdr:twoCellAnchor>
    <xdr:from>
      <xdr:col>15</xdr:col>
      <xdr:colOff>439738</xdr:colOff>
      <xdr:row>24</xdr:row>
      <xdr:rowOff>1588</xdr:rowOff>
    </xdr:from>
    <xdr:to>
      <xdr:col>17</xdr:col>
      <xdr:colOff>90488</xdr:colOff>
      <xdr:row>26</xdr:row>
      <xdr:rowOff>201613</xdr:rowOff>
    </xdr:to>
    <xdr:grpSp>
      <xdr:nvGrpSpPr>
        <xdr:cNvPr id="8" name="グループ化 7">
          <a:extLst>
            <a:ext uri="{FF2B5EF4-FFF2-40B4-BE49-F238E27FC236}">
              <a16:creationId xmlns:a16="http://schemas.microsoft.com/office/drawing/2014/main" id="{89E1B6BF-C9E3-4A0C-A6F9-C41ABC53B9F3}"/>
            </a:ext>
          </a:extLst>
        </xdr:cNvPr>
        <xdr:cNvGrpSpPr/>
      </xdr:nvGrpSpPr>
      <xdr:grpSpPr>
        <a:xfrm>
          <a:off x="8003709" y="5391617"/>
          <a:ext cx="659279" cy="648261"/>
          <a:chOff x="8089900" y="5711825"/>
          <a:chExt cx="660400" cy="657225"/>
        </a:xfrm>
      </xdr:grpSpPr>
      <xdr:sp macro="" textlink="">
        <xdr:nvSpPr>
          <xdr:cNvPr id="2" name="楕円 1">
            <a:extLst>
              <a:ext uri="{FF2B5EF4-FFF2-40B4-BE49-F238E27FC236}">
                <a16:creationId xmlns:a16="http://schemas.microsoft.com/office/drawing/2014/main" id="{A37462E4-9FFC-49CC-B66F-6DBFB8FE71A3}"/>
              </a:ext>
            </a:extLst>
          </xdr:cNvPr>
          <xdr:cNvSpPr/>
        </xdr:nvSpPr>
        <xdr:spPr>
          <a:xfrm>
            <a:off x="8089900" y="5711825"/>
            <a:ext cx="657225" cy="657225"/>
          </a:xfrm>
          <a:prstGeom prst="ellipse">
            <a:avLst/>
          </a:prstGeom>
          <a:solidFill>
            <a:srgbClr xmlns:mc="http://schemas.openxmlformats.org/markup-compatibility/2006" xmlns:a14="http://schemas.microsoft.com/office/drawing/2010/main" val="FFFFFF" mc:Ignorable="a14" a14:legacySpreadsheetColorIndex="65"/>
          </a:solidFill>
          <a:ln w="19050" cap="flat" cmpd="sng" algn="ctr">
            <a:solidFill>
              <a:srgbClr val="FF0000"/>
            </a:solidFill>
            <a:prstDash val="solid"/>
            <a:miter lim="800000"/>
            <a:headEnd type="none" w="med" len="med"/>
            <a:tailEnd type="non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3" name="直線コネクタ 2">
            <a:extLst>
              <a:ext uri="{FF2B5EF4-FFF2-40B4-BE49-F238E27FC236}">
                <a16:creationId xmlns:a16="http://schemas.microsoft.com/office/drawing/2014/main" id="{080FF39B-F360-436A-919C-B39385993629}"/>
              </a:ext>
            </a:extLst>
          </xdr:cNvPr>
          <xdr:cNvCxnSpPr/>
        </xdr:nvCxnSpPr>
        <xdr:spPr>
          <a:xfrm>
            <a:off x="8115300" y="5930900"/>
            <a:ext cx="606425" cy="0"/>
          </a:xfrm>
          <a:prstGeom prst="line">
            <a:avLst/>
          </a:prstGeom>
          <a:ln w="9525" cap="flat" cmpd="sng" algn="ctr">
            <a:solidFill>
              <a:srgbClr val="FF0000"/>
            </a:solidFill>
            <a:prstDash val="solid"/>
            <a:miter lim="800000"/>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xnSp macro="">
        <xdr:nvCxnSpPr>
          <xdr:cNvPr id="4" name="直線コネクタ 3">
            <a:extLst>
              <a:ext uri="{FF2B5EF4-FFF2-40B4-BE49-F238E27FC236}">
                <a16:creationId xmlns:a16="http://schemas.microsoft.com/office/drawing/2014/main" id="{3D19B15E-31A8-4A80-B790-C4B1253ADD07}"/>
              </a:ext>
            </a:extLst>
          </xdr:cNvPr>
          <xdr:cNvCxnSpPr/>
        </xdr:nvCxnSpPr>
        <xdr:spPr>
          <a:xfrm>
            <a:off x="8115300" y="6149975"/>
            <a:ext cx="606425" cy="0"/>
          </a:xfrm>
          <a:prstGeom prst="line">
            <a:avLst/>
          </a:prstGeom>
          <a:ln w="9525" cap="flat" cmpd="sng" algn="ctr">
            <a:solidFill>
              <a:srgbClr val="FF0000"/>
            </a:solidFill>
            <a:prstDash val="solid"/>
            <a:miter lim="800000"/>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sp macro="" textlink="">
        <xdr:nvSpPr>
          <xdr:cNvPr id="5" name="テキスト ボックス 4">
            <a:extLst>
              <a:ext uri="{FF2B5EF4-FFF2-40B4-BE49-F238E27FC236}">
                <a16:creationId xmlns:a16="http://schemas.microsoft.com/office/drawing/2014/main" id="{86D1D703-728D-459B-A49B-7D2CF53BE74A}"/>
              </a:ext>
            </a:extLst>
          </xdr:cNvPr>
          <xdr:cNvSpPr txBox="1"/>
        </xdr:nvSpPr>
        <xdr:spPr>
          <a:xfrm>
            <a:off x="8102600" y="5759450"/>
            <a:ext cx="6350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ja-JP" altLang="en-US" sz="900">
                <a:solidFill>
                  <a:srgbClr val="FF0000"/>
                </a:solidFill>
                <a:ea typeface="ＭＳ Ｐ明朝" panose="02020600040205080304" pitchFamily="18" charset="-128"/>
              </a:rPr>
              <a:t>製造</a:t>
            </a:r>
          </a:p>
        </xdr:txBody>
      </xdr:sp>
      <xdr:sp macro="" textlink="">
        <xdr:nvSpPr>
          <xdr:cNvPr id="6" name="テキスト ボックス 5">
            <a:extLst>
              <a:ext uri="{FF2B5EF4-FFF2-40B4-BE49-F238E27FC236}">
                <a16:creationId xmlns:a16="http://schemas.microsoft.com/office/drawing/2014/main" id="{1FDFC2EF-DBC1-4D74-A942-852F66BC7DA4}"/>
              </a:ext>
            </a:extLst>
          </xdr:cNvPr>
          <xdr:cNvSpPr txBox="1"/>
        </xdr:nvSpPr>
        <xdr:spPr>
          <a:xfrm>
            <a:off x="8089900" y="5957888"/>
            <a:ext cx="6604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en-US" altLang="ja-JP" sz="900">
                <a:solidFill>
                  <a:srgbClr val="FF0000"/>
                </a:solidFill>
                <a:ea typeface="ＭＳ Ｐ明朝" panose="02020600040205080304" pitchFamily="18" charset="-128"/>
              </a:rPr>
              <a:t>30/10/08</a:t>
            </a:r>
            <a:endParaRPr kumimoji="1" lang="ja-JP" altLang="en-US" sz="900">
              <a:solidFill>
                <a:srgbClr val="FF0000"/>
              </a:solidFill>
              <a:ea typeface="ＭＳ Ｐ明朝" panose="02020600040205080304" pitchFamily="18" charset="-128"/>
            </a:endParaRPr>
          </a:p>
        </xdr:txBody>
      </xdr:sp>
      <xdr:sp macro="" textlink="">
        <xdr:nvSpPr>
          <xdr:cNvPr id="7" name="テキスト ボックス 6">
            <a:extLst>
              <a:ext uri="{FF2B5EF4-FFF2-40B4-BE49-F238E27FC236}">
                <a16:creationId xmlns:a16="http://schemas.microsoft.com/office/drawing/2014/main" id="{3589BA4C-1493-4D73-9C51-06200F29BBEE}"/>
              </a:ext>
            </a:extLst>
          </xdr:cNvPr>
          <xdr:cNvSpPr txBox="1"/>
        </xdr:nvSpPr>
        <xdr:spPr>
          <a:xfrm>
            <a:off x="8102600" y="6159500"/>
            <a:ext cx="6350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ja-JP" altLang="en-US" sz="900">
                <a:solidFill>
                  <a:srgbClr val="FF0000"/>
                </a:solidFill>
                <a:ea typeface="ＭＳ Ｐ明朝" panose="02020600040205080304" pitchFamily="18" charset="-128"/>
              </a:rPr>
              <a:t>髙田</a:t>
            </a:r>
          </a:p>
        </xdr:txBody>
      </xdr:sp>
    </xdr:grpSp>
    <xdr:clientData/>
  </xdr:twoCellAnchor>
</xdr:wsDr>
</file>

<file path=xl/drawings/drawing46.xml><?xml version="1.0" encoding="utf-8"?>
<xdr:wsDr xmlns:xdr="http://schemas.openxmlformats.org/drawingml/2006/spreadsheetDrawing" xmlns:a="http://schemas.openxmlformats.org/drawingml/2006/main">
  <xdr:twoCellAnchor>
    <xdr:from>
      <xdr:col>16</xdr:col>
      <xdr:colOff>159591</xdr:colOff>
      <xdr:row>24</xdr:row>
      <xdr:rowOff>80029</xdr:rowOff>
    </xdr:from>
    <xdr:to>
      <xdr:col>17</xdr:col>
      <xdr:colOff>314606</xdr:colOff>
      <xdr:row>27</xdr:row>
      <xdr:rowOff>55936</xdr:rowOff>
    </xdr:to>
    <xdr:grpSp>
      <xdr:nvGrpSpPr>
        <xdr:cNvPr id="8" name="グループ化 7">
          <a:extLst>
            <a:ext uri="{FF2B5EF4-FFF2-40B4-BE49-F238E27FC236}">
              <a16:creationId xmlns:a16="http://schemas.microsoft.com/office/drawing/2014/main" id="{FD04BBF9-3E7D-41BC-9B04-6D158A66BFB0}"/>
            </a:ext>
          </a:extLst>
        </xdr:cNvPr>
        <xdr:cNvGrpSpPr/>
      </xdr:nvGrpSpPr>
      <xdr:grpSpPr>
        <a:xfrm>
          <a:off x="8236791" y="5575954"/>
          <a:ext cx="659840" cy="661707"/>
          <a:chOff x="8594725" y="5940425"/>
          <a:chExt cx="660400" cy="657225"/>
        </a:xfrm>
      </xdr:grpSpPr>
      <xdr:sp macro="" textlink="">
        <xdr:nvSpPr>
          <xdr:cNvPr id="2" name="楕円 1">
            <a:extLst>
              <a:ext uri="{FF2B5EF4-FFF2-40B4-BE49-F238E27FC236}">
                <a16:creationId xmlns:a16="http://schemas.microsoft.com/office/drawing/2014/main" id="{01A70042-79AD-40FF-BD73-B73444AE5FB4}"/>
              </a:ext>
            </a:extLst>
          </xdr:cNvPr>
          <xdr:cNvSpPr/>
        </xdr:nvSpPr>
        <xdr:spPr>
          <a:xfrm>
            <a:off x="8594725" y="5940425"/>
            <a:ext cx="657225" cy="657225"/>
          </a:xfrm>
          <a:prstGeom prst="ellipse">
            <a:avLst/>
          </a:prstGeom>
          <a:solidFill>
            <a:srgbClr xmlns:mc="http://schemas.openxmlformats.org/markup-compatibility/2006" xmlns:a14="http://schemas.microsoft.com/office/drawing/2010/main" val="FFFFFF" mc:Ignorable="a14" a14:legacySpreadsheetColorIndex="65"/>
          </a:solidFill>
          <a:ln w="19050" cap="flat" cmpd="sng" algn="ctr">
            <a:solidFill>
              <a:srgbClr val="FF0000"/>
            </a:solidFill>
            <a:prstDash val="solid"/>
            <a:miter lim="800000"/>
            <a:headEnd type="none" w="med" len="med"/>
            <a:tailEnd type="non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3" name="直線コネクタ 2">
            <a:extLst>
              <a:ext uri="{FF2B5EF4-FFF2-40B4-BE49-F238E27FC236}">
                <a16:creationId xmlns:a16="http://schemas.microsoft.com/office/drawing/2014/main" id="{E0BFCF60-32D2-44D8-B502-81E7A87F1316}"/>
              </a:ext>
            </a:extLst>
          </xdr:cNvPr>
          <xdr:cNvCxnSpPr/>
        </xdr:nvCxnSpPr>
        <xdr:spPr>
          <a:xfrm>
            <a:off x="8620125" y="6159500"/>
            <a:ext cx="606425" cy="0"/>
          </a:xfrm>
          <a:prstGeom prst="line">
            <a:avLst/>
          </a:prstGeom>
          <a:ln w="9525" cap="flat" cmpd="sng" algn="ctr">
            <a:solidFill>
              <a:srgbClr val="FF0000"/>
            </a:solidFill>
            <a:prstDash val="solid"/>
            <a:miter lim="800000"/>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xnSp macro="">
        <xdr:nvCxnSpPr>
          <xdr:cNvPr id="4" name="直線コネクタ 3">
            <a:extLst>
              <a:ext uri="{FF2B5EF4-FFF2-40B4-BE49-F238E27FC236}">
                <a16:creationId xmlns:a16="http://schemas.microsoft.com/office/drawing/2014/main" id="{D1257307-E6E4-4444-A878-41C1FADAC859}"/>
              </a:ext>
            </a:extLst>
          </xdr:cNvPr>
          <xdr:cNvCxnSpPr/>
        </xdr:nvCxnSpPr>
        <xdr:spPr>
          <a:xfrm>
            <a:off x="8620125" y="6378575"/>
            <a:ext cx="606425" cy="0"/>
          </a:xfrm>
          <a:prstGeom prst="line">
            <a:avLst/>
          </a:prstGeom>
          <a:ln w="9525" cap="flat" cmpd="sng" algn="ctr">
            <a:solidFill>
              <a:srgbClr val="FF0000"/>
            </a:solidFill>
            <a:prstDash val="solid"/>
            <a:miter lim="800000"/>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sp macro="" textlink="">
        <xdr:nvSpPr>
          <xdr:cNvPr id="5" name="テキスト ボックス 4">
            <a:extLst>
              <a:ext uri="{FF2B5EF4-FFF2-40B4-BE49-F238E27FC236}">
                <a16:creationId xmlns:a16="http://schemas.microsoft.com/office/drawing/2014/main" id="{A359DC08-D934-4EEF-939A-5898BC2B6CC6}"/>
              </a:ext>
            </a:extLst>
          </xdr:cNvPr>
          <xdr:cNvSpPr txBox="1"/>
        </xdr:nvSpPr>
        <xdr:spPr>
          <a:xfrm>
            <a:off x="8607425" y="5988050"/>
            <a:ext cx="6350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ja-JP" altLang="en-US" sz="900">
                <a:solidFill>
                  <a:srgbClr val="FF0000"/>
                </a:solidFill>
                <a:ea typeface="ＭＳ Ｐ明朝" panose="02020600040205080304" pitchFamily="18" charset="-128"/>
              </a:rPr>
              <a:t>製造</a:t>
            </a:r>
          </a:p>
        </xdr:txBody>
      </xdr:sp>
      <xdr:sp macro="" textlink="">
        <xdr:nvSpPr>
          <xdr:cNvPr id="6" name="テキスト ボックス 5">
            <a:extLst>
              <a:ext uri="{FF2B5EF4-FFF2-40B4-BE49-F238E27FC236}">
                <a16:creationId xmlns:a16="http://schemas.microsoft.com/office/drawing/2014/main" id="{4E33F48C-04E3-4437-AA69-6041E988C377}"/>
              </a:ext>
            </a:extLst>
          </xdr:cNvPr>
          <xdr:cNvSpPr txBox="1"/>
        </xdr:nvSpPr>
        <xdr:spPr>
          <a:xfrm>
            <a:off x="8594725" y="6186488"/>
            <a:ext cx="6604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en-US" altLang="ja-JP" sz="900">
                <a:solidFill>
                  <a:srgbClr val="FF0000"/>
                </a:solidFill>
                <a:ea typeface="ＭＳ Ｐ明朝" panose="02020600040205080304" pitchFamily="18" charset="-128"/>
              </a:rPr>
              <a:t>30/08/10</a:t>
            </a:r>
            <a:endParaRPr kumimoji="1" lang="ja-JP" altLang="en-US" sz="900">
              <a:solidFill>
                <a:srgbClr val="FF0000"/>
              </a:solidFill>
              <a:ea typeface="ＭＳ Ｐ明朝" panose="02020600040205080304" pitchFamily="18" charset="-128"/>
            </a:endParaRPr>
          </a:p>
        </xdr:txBody>
      </xdr:sp>
      <xdr:sp macro="" textlink="">
        <xdr:nvSpPr>
          <xdr:cNvPr id="7" name="テキスト ボックス 6">
            <a:extLst>
              <a:ext uri="{FF2B5EF4-FFF2-40B4-BE49-F238E27FC236}">
                <a16:creationId xmlns:a16="http://schemas.microsoft.com/office/drawing/2014/main" id="{07EB4C32-55A9-430A-BF96-47D287A42217}"/>
              </a:ext>
            </a:extLst>
          </xdr:cNvPr>
          <xdr:cNvSpPr txBox="1"/>
        </xdr:nvSpPr>
        <xdr:spPr>
          <a:xfrm>
            <a:off x="8607425" y="6388100"/>
            <a:ext cx="6350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ja-JP" altLang="en-US" sz="900">
                <a:solidFill>
                  <a:srgbClr val="FF0000"/>
                </a:solidFill>
                <a:ea typeface="ＭＳ Ｐ明朝" panose="02020600040205080304" pitchFamily="18" charset="-128"/>
              </a:rPr>
              <a:t>髙田</a:t>
            </a:r>
          </a:p>
        </xdr:txBody>
      </xdr:sp>
    </xdr:grpSp>
    <xdr:clientData/>
  </xdr:twoCellAnchor>
</xdr:wsDr>
</file>

<file path=xl/drawings/drawing47.xml><?xml version="1.0" encoding="utf-8"?>
<xdr:wsDr xmlns:xdr="http://schemas.openxmlformats.org/drawingml/2006/spreadsheetDrawing" xmlns:a="http://schemas.openxmlformats.org/drawingml/2006/main">
  <xdr:twoCellAnchor>
    <xdr:from>
      <xdr:col>15</xdr:col>
      <xdr:colOff>439738</xdr:colOff>
      <xdr:row>24</xdr:row>
      <xdr:rowOff>1588</xdr:rowOff>
    </xdr:from>
    <xdr:to>
      <xdr:col>17</xdr:col>
      <xdr:colOff>90488</xdr:colOff>
      <xdr:row>26</xdr:row>
      <xdr:rowOff>201613</xdr:rowOff>
    </xdr:to>
    <xdr:grpSp>
      <xdr:nvGrpSpPr>
        <xdr:cNvPr id="8" name="グループ化 7">
          <a:extLst>
            <a:ext uri="{FF2B5EF4-FFF2-40B4-BE49-F238E27FC236}">
              <a16:creationId xmlns:a16="http://schemas.microsoft.com/office/drawing/2014/main" id="{C9CFEAC4-DC8F-482B-9692-E7ECB9BCDA61}"/>
            </a:ext>
          </a:extLst>
        </xdr:cNvPr>
        <xdr:cNvGrpSpPr/>
      </xdr:nvGrpSpPr>
      <xdr:grpSpPr>
        <a:xfrm>
          <a:off x="8012113" y="5497513"/>
          <a:ext cx="660400" cy="657225"/>
          <a:chOff x="8089900" y="5711825"/>
          <a:chExt cx="660400" cy="657225"/>
        </a:xfrm>
      </xdr:grpSpPr>
      <xdr:sp macro="" textlink="">
        <xdr:nvSpPr>
          <xdr:cNvPr id="2" name="楕円 1">
            <a:extLst>
              <a:ext uri="{FF2B5EF4-FFF2-40B4-BE49-F238E27FC236}">
                <a16:creationId xmlns:a16="http://schemas.microsoft.com/office/drawing/2014/main" id="{67DDEB82-EB2A-4D82-9595-87E30D008635}"/>
              </a:ext>
            </a:extLst>
          </xdr:cNvPr>
          <xdr:cNvSpPr/>
        </xdr:nvSpPr>
        <xdr:spPr>
          <a:xfrm>
            <a:off x="8089900" y="5711825"/>
            <a:ext cx="657225" cy="657225"/>
          </a:xfrm>
          <a:prstGeom prst="ellipse">
            <a:avLst/>
          </a:prstGeom>
          <a:solidFill>
            <a:srgbClr xmlns:mc="http://schemas.openxmlformats.org/markup-compatibility/2006" xmlns:a14="http://schemas.microsoft.com/office/drawing/2010/main" val="FFFFFF" mc:Ignorable="a14" a14:legacySpreadsheetColorIndex="65"/>
          </a:solidFill>
          <a:ln w="19050" cap="flat" cmpd="sng" algn="ctr">
            <a:solidFill>
              <a:srgbClr val="FF0000"/>
            </a:solidFill>
            <a:prstDash val="solid"/>
            <a:miter lim="800000"/>
            <a:headEnd type="none" w="med" len="med"/>
            <a:tailEnd type="non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3" name="直線コネクタ 2">
            <a:extLst>
              <a:ext uri="{FF2B5EF4-FFF2-40B4-BE49-F238E27FC236}">
                <a16:creationId xmlns:a16="http://schemas.microsoft.com/office/drawing/2014/main" id="{E9A27AFC-0E24-46AF-AC47-363B8B94AAD8}"/>
              </a:ext>
            </a:extLst>
          </xdr:cNvPr>
          <xdr:cNvCxnSpPr/>
        </xdr:nvCxnSpPr>
        <xdr:spPr>
          <a:xfrm>
            <a:off x="8115300" y="5930900"/>
            <a:ext cx="606425" cy="0"/>
          </a:xfrm>
          <a:prstGeom prst="line">
            <a:avLst/>
          </a:prstGeom>
          <a:ln w="9525" cap="flat" cmpd="sng" algn="ctr">
            <a:solidFill>
              <a:srgbClr val="FF0000"/>
            </a:solidFill>
            <a:prstDash val="solid"/>
            <a:miter lim="800000"/>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xnSp macro="">
        <xdr:nvCxnSpPr>
          <xdr:cNvPr id="4" name="直線コネクタ 3">
            <a:extLst>
              <a:ext uri="{FF2B5EF4-FFF2-40B4-BE49-F238E27FC236}">
                <a16:creationId xmlns:a16="http://schemas.microsoft.com/office/drawing/2014/main" id="{51508E49-729F-4608-9427-D4FA1215A395}"/>
              </a:ext>
            </a:extLst>
          </xdr:cNvPr>
          <xdr:cNvCxnSpPr/>
        </xdr:nvCxnSpPr>
        <xdr:spPr>
          <a:xfrm>
            <a:off x="8115300" y="6149975"/>
            <a:ext cx="606425" cy="0"/>
          </a:xfrm>
          <a:prstGeom prst="line">
            <a:avLst/>
          </a:prstGeom>
          <a:ln w="9525" cap="flat" cmpd="sng" algn="ctr">
            <a:solidFill>
              <a:srgbClr val="FF0000"/>
            </a:solidFill>
            <a:prstDash val="solid"/>
            <a:miter lim="800000"/>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sp macro="" textlink="">
        <xdr:nvSpPr>
          <xdr:cNvPr id="5" name="テキスト ボックス 4">
            <a:extLst>
              <a:ext uri="{FF2B5EF4-FFF2-40B4-BE49-F238E27FC236}">
                <a16:creationId xmlns:a16="http://schemas.microsoft.com/office/drawing/2014/main" id="{2570A888-C7AB-4035-BB5C-938F2E24EF1A}"/>
              </a:ext>
            </a:extLst>
          </xdr:cNvPr>
          <xdr:cNvSpPr txBox="1"/>
        </xdr:nvSpPr>
        <xdr:spPr>
          <a:xfrm>
            <a:off x="8102600" y="5759450"/>
            <a:ext cx="6350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ja-JP" altLang="en-US" sz="900">
                <a:solidFill>
                  <a:srgbClr val="FF0000"/>
                </a:solidFill>
                <a:ea typeface="ＭＳ Ｐ明朝" panose="02020600040205080304" pitchFamily="18" charset="-128"/>
              </a:rPr>
              <a:t>製造</a:t>
            </a:r>
          </a:p>
        </xdr:txBody>
      </xdr:sp>
      <xdr:sp macro="" textlink="">
        <xdr:nvSpPr>
          <xdr:cNvPr id="6" name="テキスト ボックス 5">
            <a:extLst>
              <a:ext uri="{FF2B5EF4-FFF2-40B4-BE49-F238E27FC236}">
                <a16:creationId xmlns:a16="http://schemas.microsoft.com/office/drawing/2014/main" id="{12436ADF-C6CC-4456-8584-87B698471274}"/>
              </a:ext>
            </a:extLst>
          </xdr:cNvPr>
          <xdr:cNvSpPr txBox="1"/>
        </xdr:nvSpPr>
        <xdr:spPr>
          <a:xfrm>
            <a:off x="8089900" y="5957888"/>
            <a:ext cx="6604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en-US" altLang="ja-JP" sz="900">
                <a:solidFill>
                  <a:srgbClr val="FF0000"/>
                </a:solidFill>
                <a:ea typeface="ＭＳ Ｐ明朝" panose="02020600040205080304" pitchFamily="18" charset="-128"/>
              </a:rPr>
              <a:t>30/06/12</a:t>
            </a:r>
            <a:endParaRPr kumimoji="1" lang="ja-JP" altLang="en-US" sz="900">
              <a:solidFill>
                <a:srgbClr val="FF0000"/>
              </a:solidFill>
              <a:ea typeface="ＭＳ Ｐ明朝" panose="02020600040205080304" pitchFamily="18" charset="-128"/>
            </a:endParaRPr>
          </a:p>
        </xdr:txBody>
      </xdr:sp>
      <xdr:sp macro="" textlink="">
        <xdr:nvSpPr>
          <xdr:cNvPr id="7" name="テキスト ボックス 6">
            <a:extLst>
              <a:ext uri="{FF2B5EF4-FFF2-40B4-BE49-F238E27FC236}">
                <a16:creationId xmlns:a16="http://schemas.microsoft.com/office/drawing/2014/main" id="{1B7B16E4-AF54-465D-8560-97AB843F9B3F}"/>
              </a:ext>
            </a:extLst>
          </xdr:cNvPr>
          <xdr:cNvSpPr txBox="1"/>
        </xdr:nvSpPr>
        <xdr:spPr>
          <a:xfrm>
            <a:off x="8102600" y="6159500"/>
            <a:ext cx="6350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ja-JP" altLang="en-US" sz="900">
                <a:solidFill>
                  <a:srgbClr val="FF0000"/>
                </a:solidFill>
                <a:ea typeface="ＭＳ Ｐ明朝" panose="02020600040205080304" pitchFamily="18" charset="-128"/>
              </a:rPr>
              <a:t>髙田</a:t>
            </a:r>
          </a:p>
        </xdr:txBody>
      </xdr:sp>
    </xdr:grpSp>
    <xdr:clientData/>
  </xdr:twoCellAnchor>
</xdr:wsDr>
</file>

<file path=xl/drawings/drawing48.xml><?xml version="1.0" encoding="utf-8"?>
<xdr:wsDr xmlns:xdr="http://schemas.openxmlformats.org/drawingml/2006/spreadsheetDrawing" xmlns:a="http://schemas.openxmlformats.org/drawingml/2006/main">
  <xdr:twoCellAnchor>
    <xdr:from>
      <xdr:col>16</xdr:col>
      <xdr:colOff>153988</xdr:colOff>
      <xdr:row>24</xdr:row>
      <xdr:rowOff>87313</xdr:rowOff>
    </xdr:from>
    <xdr:to>
      <xdr:col>17</xdr:col>
      <xdr:colOff>309563</xdr:colOff>
      <xdr:row>27</xdr:row>
      <xdr:rowOff>58738</xdr:rowOff>
    </xdr:to>
    <xdr:grpSp>
      <xdr:nvGrpSpPr>
        <xdr:cNvPr id="8" name="グループ化 7">
          <a:extLst>
            <a:ext uri="{FF2B5EF4-FFF2-40B4-BE49-F238E27FC236}">
              <a16:creationId xmlns:a16="http://schemas.microsoft.com/office/drawing/2014/main" id="{65CEB117-E6E5-486A-9224-B60493A9B233}"/>
            </a:ext>
          </a:extLst>
        </xdr:cNvPr>
        <xdr:cNvGrpSpPr/>
      </xdr:nvGrpSpPr>
      <xdr:grpSpPr>
        <a:xfrm>
          <a:off x="8231188" y="5583238"/>
          <a:ext cx="660400" cy="657225"/>
          <a:chOff x="8089900" y="5940425"/>
          <a:chExt cx="660400" cy="657225"/>
        </a:xfrm>
      </xdr:grpSpPr>
      <xdr:sp macro="" textlink="">
        <xdr:nvSpPr>
          <xdr:cNvPr id="2" name="楕円 1">
            <a:extLst>
              <a:ext uri="{FF2B5EF4-FFF2-40B4-BE49-F238E27FC236}">
                <a16:creationId xmlns:a16="http://schemas.microsoft.com/office/drawing/2014/main" id="{E431B377-7681-4E6D-A3C4-BA39160B209D}"/>
              </a:ext>
            </a:extLst>
          </xdr:cNvPr>
          <xdr:cNvSpPr/>
        </xdr:nvSpPr>
        <xdr:spPr>
          <a:xfrm>
            <a:off x="8089900" y="5940425"/>
            <a:ext cx="657225" cy="657225"/>
          </a:xfrm>
          <a:prstGeom prst="ellipse">
            <a:avLst/>
          </a:prstGeom>
          <a:solidFill>
            <a:srgbClr xmlns:mc="http://schemas.openxmlformats.org/markup-compatibility/2006" xmlns:a14="http://schemas.microsoft.com/office/drawing/2010/main" val="FFFFFF" mc:Ignorable="a14" a14:legacySpreadsheetColorIndex="65"/>
          </a:solidFill>
          <a:ln w="19050" cap="flat" cmpd="sng" algn="ctr">
            <a:solidFill>
              <a:srgbClr val="FF0000"/>
            </a:solidFill>
            <a:prstDash val="solid"/>
            <a:miter lim="800000"/>
            <a:headEnd type="none" w="med" len="med"/>
            <a:tailEnd type="non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3" name="直線コネクタ 2">
            <a:extLst>
              <a:ext uri="{FF2B5EF4-FFF2-40B4-BE49-F238E27FC236}">
                <a16:creationId xmlns:a16="http://schemas.microsoft.com/office/drawing/2014/main" id="{4EC905A7-7F93-4708-BD7B-38F74AC726BC}"/>
              </a:ext>
            </a:extLst>
          </xdr:cNvPr>
          <xdr:cNvCxnSpPr/>
        </xdr:nvCxnSpPr>
        <xdr:spPr>
          <a:xfrm>
            <a:off x="8115300" y="6159500"/>
            <a:ext cx="606425" cy="0"/>
          </a:xfrm>
          <a:prstGeom prst="line">
            <a:avLst/>
          </a:prstGeom>
          <a:ln w="9525" cap="flat" cmpd="sng" algn="ctr">
            <a:solidFill>
              <a:srgbClr val="FF0000"/>
            </a:solidFill>
            <a:prstDash val="solid"/>
            <a:miter lim="800000"/>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xnSp macro="">
        <xdr:nvCxnSpPr>
          <xdr:cNvPr id="4" name="直線コネクタ 3">
            <a:extLst>
              <a:ext uri="{FF2B5EF4-FFF2-40B4-BE49-F238E27FC236}">
                <a16:creationId xmlns:a16="http://schemas.microsoft.com/office/drawing/2014/main" id="{91669E83-4CD8-40C6-8E6E-DFEC81A5A21E}"/>
              </a:ext>
            </a:extLst>
          </xdr:cNvPr>
          <xdr:cNvCxnSpPr/>
        </xdr:nvCxnSpPr>
        <xdr:spPr>
          <a:xfrm>
            <a:off x="8115300" y="6378575"/>
            <a:ext cx="606425" cy="0"/>
          </a:xfrm>
          <a:prstGeom prst="line">
            <a:avLst/>
          </a:prstGeom>
          <a:ln w="9525" cap="flat" cmpd="sng" algn="ctr">
            <a:solidFill>
              <a:srgbClr val="FF0000"/>
            </a:solidFill>
            <a:prstDash val="solid"/>
            <a:miter lim="800000"/>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sp macro="" textlink="">
        <xdr:nvSpPr>
          <xdr:cNvPr id="5" name="テキスト ボックス 4">
            <a:extLst>
              <a:ext uri="{FF2B5EF4-FFF2-40B4-BE49-F238E27FC236}">
                <a16:creationId xmlns:a16="http://schemas.microsoft.com/office/drawing/2014/main" id="{ED6FE3E5-59D9-40B0-8FCB-C2D7AED58ECE}"/>
              </a:ext>
            </a:extLst>
          </xdr:cNvPr>
          <xdr:cNvSpPr txBox="1"/>
        </xdr:nvSpPr>
        <xdr:spPr>
          <a:xfrm>
            <a:off x="8102600" y="5988050"/>
            <a:ext cx="6350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ja-JP" altLang="en-US" sz="900">
                <a:solidFill>
                  <a:srgbClr val="FF0000"/>
                </a:solidFill>
                <a:ea typeface="ＭＳ Ｐ明朝" panose="02020600040205080304" pitchFamily="18" charset="-128"/>
              </a:rPr>
              <a:t>製造課</a:t>
            </a:r>
          </a:p>
        </xdr:txBody>
      </xdr:sp>
      <xdr:sp macro="" textlink="">
        <xdr:nvSpPr>
          <xdr:cNvPr id="6" name="テキスト ボックス 5">
            <a:extLst>
              <a:ext uri="{FF2B5EF4-FFF2-40B4-BE49-F238E27FC236}">
                <a16:creationId xmlns:a16="http://schemas.microsoft.com/office/drawing/2014/main" id="{A97EA4F7-7CA0-4CF4-819E-E6B3C291D813}"/>
              </a:ext>
            </a:extLst>
          </xdr:cNvPr>
          <xdr:cNvSpPr txBox="1"/>
        </xdr:nvSpPr>
        <xdr:spPr>
          <a:xfrm>
            <a:off x="8089900" y="6186488"/>
            <a:ext cx="6604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en-US" altLang="ja-JP" sz="900">
                <a:solidFill>
                  <a:srgbClr val="FF0000"/>
                </a:solidFill>
                <a:ea typeface="ＭＳ Ｐ明朝" panose="02020600040205080304" pitchFamily="18" charset="-128"/>
              </a:rPr>
              <a:t>18/04/12</a:t>
            </a:r>
            <a:endParaRPr kumimoji="1" lang="ja-JP" altLang="en-US" sz="900">
              <a:solidFill>
                <a:srgbClr val="FF0000"/>
              </a:solidFill>
              <a:ea typeface="ＭＳ Ｐ明朝" panose="02020600040205080304" pitchFamily="18" charset="-128"/>
            </a:endParaRPr>
          </a:p>
        </xdr:txBody>
      </xdr:sp>
      <xdr:sp macro="" textlink="">
        <xdr:nvSpPr>
          <xdr:cNvPr id="7" name="テキスト ボックス 6">
            <a:extLst>
              <a:ext uri="{FF2B5EF4-FFF2-40B4-BE49-F238E27FC236}">
                <a16:creationId xmlns:a16="http://schemas.microsoft.com/office/drawing/2014/main" id="{11C09D36-3DCF-4DFD-BC1B-501952DCAFD7}"/>
              </a:ext>
            </a:extLst>
          </xdr:cNvPr>
          <xdr:cNvSpPr txBox="1"/>
        </xdr:nvSpPr>
        <xdr:spPr>
          <a:xfrm>
            <a:off x="8102600" y="6388100"/>
            <a:ext cx="6350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ja-JP" altLang="en-US" sz="900">
                <a:solidFill>
                  <a:srgbClr val="FF0000"/>
                </a:solidFill>
                <a:ea typeface="ＭＳ Ｐ明朝" panose="02020600040205080304" pitchFamily="18" charset="-128"/>
              </a:rPr>
              <a:t>髙田</a:t>
            </a:r>
          </a:p>
        </xdr:txBody>
      </xdr:sp>
    </xdr:grpSp>
    <xdr:clientData/>
  </xdr:twoCellAnchor>
</xdr:wsDr>
</file>

<file path=xl/drawings/drawing49.xml><?xml version="1.0" encoding="utf-8"?>
<xdr:wsDr xmlns:xdr="http://schemas.openxmlformats.org/drawingml/2006/spreadsheetDrawing" xmlns:a="http://schemas.openxmlformats.org/drawingml/2006/main">
  <xdr:twoCellAnchor>
    <xdr:from>
      <xdr:col>16</xdr:col>
      <xdr:colOff>211138</xdr:colOff>
      <xdr:row>26</xdr:row>
      <xdr:rowOff>144463</xdr:rowOff>
    </xdr:from>
    <xdr:to>
      <xdr:col>17</xdr:col>
      <xdr:colOff>366713</xdr:colOff>
      <xdr:row>29</xdr:row>
      <xdr:rowOff>115888</xdr:rowOff>
    </xdr:to>
    <xdr:grpSp>
      <xdr:nvGrpSpPr>
        <xdr:cNvPr id="15" name="グループ化 14">
          <a:extLst>
            <a:ext uri="{FF2B5EF4-FFF2-40B4-BE49-F238E27FC236}">
              <a16:creationId xmlns:a16="http://schemas.microsoft.com/office/drawing/2014/main" id="{0AEC167D-FE41-4999-B8DC-0AC2231DC15E}"/>
            </a:ext>
          </a:extLst>
        </xdr:cNvPr>
        <xdr:cNvGrpSpPr/>
      </xdr:nvGrpSpPr>
      <xdr:grpSpPr>
        <a:xfrm>
          <a:off x="8288338" y="6097588"/>
          <a:ext cx="660400" cy="657225"/>
          <a:chOff x="8089900" y="6169025"/>
          <a:chExt cx="660400" cy="657225"/>
        </a:xfrm>
      </xdr:grpSpPr>
      <xdr:sp macro="" textlink="">
        <xdr:nvSpPr>
          <xdr:cNvPr id="9" name="楕円 8">
            <a:extLst>
              <a:ext uri="{FF2B5EF4-FFF2-40B4-BE49-F238E27FC236}">
                <a16:creationId xmlns:a16="http://schemas.microsoft.com/office/drawing/2014/main" id="{A40A8566-14F0-4828-8C6A-E4412429D5DB}"/>
              </a:ext>
            </a:extLst>
          </xdr:cNvPr>
          <xdr:cNvSpPr/>
        </xdr:nvSpPr>
        <xdr:spPr>
          <a:xfrm>
            <a:off x="8089900" y="6169025"/>
            <a:ext cx="657225" cy="657225"/>
          </a:xfrm>
          <a:prstGeom prst="ellipse">
            <a:avLst/>
          </a:prstGeom>
          <a:solidFill>
            <a:srgbClr xmlns:mc="http://schemas.openxmlformats.org/markup-compatibility/2006" xmlns:a14="http://schemas.microsoft.com/office/drawing/2010/main" val="FFFFFF" mc:Ignorable="a14" a14:legacySpreadsheetColorIndex="65"/>
          </a:solidFill>
          <a:ln w="19050" cap="flat" cmpd="sng" algn="ctr">
            <a:solidFill>
              <a:srgbClr val="FF0000"/>
            </a:solidFill>
            <a:prstDash val="solid"/>
            <a:miter lim="800000"/>
            <a:headEnd type="none" w="med" len="med"/>
            <a:tailEnd type="non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10" name="直線コネクタ 9">
            <a:extLst>
              <a:ext uri="{FF2B5EF4-FFF2-40B4-BE49-F238E27FC236}">
                <a16:creationId xmlns:a16="http://schemas.microsoft.com/office/drawing/2014/main" id="{1952387D-EB27-4CD4-B4BE-7286D81996F1}"/>
              </a:ext>
            </a:extLst>
          </xdr:cNvPr>
          <xdr:cNvCxnSpPr/>
        </xdr:nvCxnSpPr>
        <xdr:spPr>
          <a:xfrm>
            <a:off x="8115300" y="6388100"/>
            <a:ext cx="606425" cy="0"/>
          </a:xfrm>
          <a:prstGeom prst="line">
            <a:avLst/>
          </a:prstGeom>
          <a:ln w="9525" cap="flat" cmpd="sng" algn="ctr">
            <a:solidFill>
              <a:srgbClr val="FF0000"/>
            </a:solidFill>
            <a:prstDash val="solid"/>
            <a:miter lim="800000"/>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xnSp macro="">
        <xdr:nvCxnSpPr>
          <xdr:cNvPr id="11" name="直線コネクタ 10">
            <a:extLst>
              <a:ext uri="{FF2B5EF4-FFF2-40B4-BE49-F238E27FC236}">
                <a16:creationId xmlns:a16="http://schemas.microsoft.com/office/drawing/2014/main" id="{671BD362-9B9D-4137-B0DC-F64CDD7ADE52}"/>
              </a:ext>
            </a:extLst>
          </xdr:cNvPr>
          <xdr:cNvCxnSpPr/>
        </xdr:nvCxnSpPr>
        <xdr:spPr>
          <a:xfrm>
            <a:off x="8115300" y="6607175"/>
            <a:ext cx="606425" cy="0"/>
          </a:xfrm>
          <a:prstGeom prst="line">
            <a:avLst/>
          </a:prstGeom>
          <a:ln w="9525" cap="flat" cmpd="sng" algn="ctr">
            <a:solidFill>
              <a:srgbClr val="FF0000"/>
            </a:solidFill>
            <a:prstDash val="solid"/>
            <a:miter lim="800000"/>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sp macro="" textlink="">
        <xdr:nvSpPr>
          <xdr:cNvPr id="12" name="テキスト ボックス 11">
            <a:extLst>
              <a:ext uri="{FF2B5EF4-FFF2-40B4-BE49-F238E27FC236}">
                <a16:creationId xmlns:a16="http://schemas.microsoft.com/office/drawing/2014/main" id="{141FBAE2-7CC4-40F1-BF1E-53F2C10BC5AD}"/>
              </a:ext>
            </a:extLst>
          </xdr:cNvPr>
          <xdr:cNvSpPr txBox="1"/>
        </xdr:nvSpPr>
        <xdr:spPr>
          <a:xfrm>
            <a:off x="8102600" y="6216650"/>
            <a:ext cx="6350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ja-JP" altLang="en-US" sz="900">
                <a:solidFill>
                  <a:srgbClr val="FF0000"/>
                </a:solidFill>
                <a:ea typeface="ＭＳ Ｐ明朝" panose="02020600040205080304" pitchFamily="18" charset="-128"/>
              </a:rPr>
              <a:t>製造課</a:t>
            </a:r>
          </a:p>
        </xdr:txBody>
      </xdr:sp>
      <xdr:sp macro="" textlink="">
        <xdr:nvSpPr>
          <xdr:cNvPr id="13" name="テキスト ボックス 12">
            <a:extLst>
              <a:ext uri="{FF2B5EF4-FFF2-40B4-BE49-F238E27FC236}">
                <a16:creationId xmlns:a16="http://schemas.microsoft.com/office/drawing/2014/main" id="{3B160F8F-8C93-47C2-BD37-4A5602A94B60}"/>
              </a:ext>
            </a:extLst>
          </xdr:cNvPr>
          <xdr:cNvSpPr txBox="1"/>
        </xdr:nvSpPr>
        <xdr:spPr>
          <a:xfrm>
            <a:off x="8089900" y="6415088"/>
            <a:ext cx="6604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en-US" altLang="ja-JP" sz="900">
                <a:solidFill>
                  <a:srgbClr val="FF0000"/>
                </a:solidFill>
                <a:ea typeface="ＭＳ Ｐ明朝" panose="02020600040205080304" pitchFamily="18" charset="-128"/>
              </a:rPr>
              <a:t>17/12/01</a:t>
            </a:r>
            <a:endParaRPr kumimoji="1" lang="ja-JP" altLang="en-US" sz="900">
              <a:solidFill>
                <a:srgbClr val="FF0000"/>
              </a:solidFill>
              <a:ea typeface="ＭＳ Ｐ明朝" panose="02020600040205080304" pitchFamily="18" charset="-128"/>
            </a:endParaRPr>
          </a:p>
        </xdr:txBody>
      </xdr:sp>
      <xdr:sp macro="" textlink="">
        <xdr:nvSpPr>
          <xdr:cNvPr id="14" name="テキスト ボックス 13">
            <a:extLst>
              <a:ext uri="{FF2B5EF4-FFF2-40B4-BE49-F238E27FC236}">
                <a16:creationId xmlns:a16="http://schemas.microsoft.com/office/drawing/2014/main" id="{94CA3224-AAC1-43D4-ADDB-112B04221B3C}"/>
              </a:ext>
            </a:extLst>
          </xdr:cNvPr>
          <xdr:cNvSpPr txBox="1"/>
        </xdr:nvSpPr>
        <xdr:spPr>
          <a:xfrm>
            <a:off x="8102600" y="6616700"/>
            <a:ext cx="6350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ctr"/>
          <a:lstStyle/>
          <a:p>
            <a:pPr algn="ctr"/>
            <a:r>
              <a:rPr kumimoji="1" lang="ja-JP" altLang="en-US" sz="900">
                <a:solidFill>
                  <a:srgbClr val="FF0000"/>
                </a:solidFill>
                <a:ea typeface="ＭＳ Ｐ明朝" panose="02020600040205080304" pitchFamily="18" charset="-128"/>
              </a:rPr>
              <a:t>髙田</a:t>
            </a:r>
          </a:p>
        </xdr:txBody>
      </xdr:sp>
    </xdr:grpSp>
    <xdr:clientData/>
  </xdr:twoCellAnchor>
</xdr:wsDr>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 Id="rId4" Type="http://schemas.openxmlformats.org/officeDocument/2006/relationships/comments" Target="../comments5.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 Id="rId4" Type="http://schemas.openxmlformats.org/officeDocument/2006/relationships/comments" Target="../comments6.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 Id="rId4" Type="http://schemas.openxmlformats.org/officeDocument/2006/relationships/comments" Target="../comments7.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 Id="rId4" Type="http://schemas.openxmlformats.org/officeDocument/2006/relationships/comments" Target="../comments8.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9.xml"/><Relationship Id="rId1" Type="http://schemas.openxmlformats.org/officeDocument/2006/relationships/printerSettings" Target="../printerSettings/printerSettings10.bin"/><Relationship Id="rId4" Type="http://schemas.openxmlformats.org/officeDocument/2006/relationships/comments" Target="../comments9.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0.xml"/><Relationship Id="rId1" Type="http://schemas.openxmlformats.org/officeDocument/2006/relationships/printerSettings" Target="../printerSettings/printerSettings11.bin"/><Relationship Id="rId4" Type="http://schemas.openxmlformats.org/officeDocument/2006/relationships/comments" Target="../comments10.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11.xml"/><Relationship Id="rId1" Type="http://schemas.openxmlformats.org/officeDocument/2006/relationships/printerSettings" Target="../printerSettings/printerSettings13.bin"/><Relationship Id="rId4" Type="http://schemas.openxmlformats.org/officeDocument/2006/relationships/comments" Target="../comments11.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12.xml"/><Relationship Id="rId1" Type="http://schemas.openxmlformats.org/officeDocument/2006/relationships/printerSettings" Target="../printerSettings/printerSettings14.bin"/><Relationship Id="rId4" Type="http://schemas.openxmlformats.org/officeDocument/2006/relationships/comments" Target="../comments12.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3.xml"/><Relationship Id="rId1" Type="http://schemas.openxmlformats.org/officeDocument/2006/relationships/printerSettings" Target="../printerSettings/printerSettings15.bin"/><Relationship Id="rId4" Type="http://schemas.openxmlformats.org/officeDocument/2006/relationships/comments" Target="../comments13.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4.xml"/><Relationship Id="rId1" Type="http://schemas.openxmlformats.org/officeDocument/2006/relationships/printerSettings" Target="../printerSettings/printerSettings16.bin"/><Relationship Id="rId4" Type="http://schemas.openxmlformats.org/officeDocument/2006/relationships/comments" Target="../comments14.xml"/></Relationships>
</file>

<file path=xl/worksheets/_rels/sheet17.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15.xml"/><Relationship Id="rId1" Type="http://schemas.openxmlformats.org/officeDocument/2006/relationships/printerSettings" Target="../printerSettings/printerSettings18.bin"/><Relationship Id="rId4" Type="http://schemas.openxmlformats.org/officeDocument/2006/relationships/comments" Target="../comments16.xml"/></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16.xml"/><Relationship Id="rId1" Type="http://schemas.openxmlformats.org/officeDocument/2006/relationships/printerSettings" Target="../printerSettings/printerSettings19.bin"/><Relationship Id="rId4" Type="http://schemas.openxmlformats.org/officeDocument/2006/relationships/comments" Target="../comments17.xml"/></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17.xml"/><Relationship Id="rId1" Type="http://schemas.openxmlformats.org/officeDocument/2006/relationships/printerSettings" Target="../printerSettings/printerSettings20.bin"/><Relationship Id="rId4" Type="http://schemas.openxmlformats.org/officeDocument/2006/relationships/comments" Target="../comments18.xml"/></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18.xml"/><Relationship Id="rId1" Type="http://schemas.openxmlformats.org/officeDocument/2006/relationships/printerSettings" Target="../printerSettings/printerSettings21.bin"/><Relationship Id="rId4" Type="http://schemas.openxmlformats.org/officeDocument/2006/relationships/comments" Target="../comments19.xm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19.xml"/><Relationship Id="rId1" Type="http://schemas.openxmlformats.org/officeDocument/2006/relationships/printerSettings" Target="../printerSettings/printerSettings22.bin"/><Relationship Id="rId4" Type="http://schemas.openxmlformats.org/officeDocument/2006/relationships/comments" Target="../comments20.xml"/></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21.vml"/><Relationship Id="rId2" Type="http://schemas.openxmlformats.org/officeDocument/2006/relationships/drawing" Target="../drawings/drawing20.xml"/><Relationship Id="rId1" Type="http://schemas.openxmlformats.org/officeDocument/2006/relationships/printerSettings" Target="../printerSettings/printerSettings23.bin"/><Relationship Id="rId4" Type="http://schemas.openxmlformats.org/officeDocument/2006/relationships/comments" Target="../comments21.xml"/></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22.vml"/><Relationship Id="rId2" Type="http://schemas.openxmlformats.org/officeDocument/2006/relationships/drawing" Target="../drawings/drawing21.xml"/><Relationship Id="rId1" Type="http://schemas.openxmlformats.org/officeDocument/2006/relationships/printerSettings" Target="../printerSettings/printerSettings24.bin"/><Relationship Id="rId4" Type="http://schemas.openxmlformats.org/officeDocument/2006/relationships/comments" Target="../comments22.xml"/></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23.vml"/><Relationship Id="rId2" Type="http://schemas.openxmlformats.org/officeDocument/2006/relationships/drawing" Target="../drawings/drawing22.xml"/><Relationship Id="rId1" Type="http://schemas.openxmlformats.org/officeDocument/2006/relationships/printerSettings" Target="../printerSettings/printerSettings25.bin"/><Relationship Id="rId4" Type="http://schemas.openxmlformats.org/officeDocument/2006/relationships/comments" Target="../comments23.xml"/></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24.vml"/><Relationship Id="rId2" Type="http://schemas.openxmlformats.org/officeDocument/2006/relationships/drawing" Target="../drawings/drawing23.xml"/><Relationship Id="rId1" Type="http://schemas.openxmlformats.org/officeDocument/2006/relationships/printerSettings" Target="../printerSettings/printerSettings26.bin"/><Relationship Id="rId4" Type="http://schemas.openxmlformats.org/officeDocument/2006/relationships/comments" Target="../comments24.xml"/></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25.vml"/><Relationship Id="rId2" Type="http://schemas.openxmlformats.org/officeDocument/2006/relationships/drawing" Target="../drawings/drawing24.xml"/><Relationship Id="rId1" Type="http://schemas.openxmlformats.org/officeDocument/2006/relationships/printerSettings" Target="../printerSettings/printerSettings27.bin"/><Relationship Id="rId4" Type="http://schemas.openxmlformats.org/officeDocument/2006/relationships/comments" Target="../comments25.xml"/></Relationships>
</file>

<file path=xl/worksheets/_rels/sheet28.xml.rels><?xml version="1.0" encoding="UTF-8" standalone="yes"?>
<Relationships xmlns="http://schemas.openxmlformats.org/package/2006/relationships"><Relationship Id="rId3" Type="http://schemas.openxmlformats.org/officeDocument/2006/relationships/vmlDrawing" Target="../drawings/vmlDrawing26.vml"/><Relationship Id="rId2" Type="http://schemas.openxmlformats.org/officeDocument/2006/relationships/drawing" Target="../drawings/drawing25.xml"/><Relationship Id="rId1" Type="http://schemas.openxmlformats.org/officeDocument/2006/relationships/printerSettings" Target="../printerSettings/printerSettings28.bin"/><Relationship Id="rId4" Type="http://schemas.openxmlformats.org/officeDocument/2006/relationships/comments" Target="../comments26.xml"/></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27.vml"/><Relationship Id="rId2" Type="http://schemas.openxmlformats.org/officeDocument/2006/relationships/drawing" Target="../drawings/drawing26.xml"/><Relationship Id="rId1" Type="http://schemas.openxmlformats.org/officeDocument/2006/relationships/printerSettings" Target="../printerSettings/printerSettings29.bin"/><Relationship Id="rId4" Type="http://schemas.openxmlformats.org/officeDocument/2006/relationships/comments" Target="../comments27.xml"/></Relationships>
</file>

<file path=xl/worksheets/_rels/sheet30.xml.rels><?xml version="1.0" encoding="UTF-8" standalone="yes"?>
<Relationships xmlns="http://schemas.openxmlformats.org/package/2006/relationships"><Relationship Id="rId3" Type="http://schemas.openxmlformats.org/officeDocument/2006/relationships/vmlDrawing" Target="../drawings/vmlDrawing28.vml"/><Relationship Id="rId2" Type="http://schemas.openxmlformats.org/officeDocument/2006/relationships/drawing" Target="../drawings/drawing27.xml"/><Relationship Id="rId1" Type="http://schemas.openxmlformats.org/officeDocument/2006/relationships/printerSettings" Target="../printerSettings/printerSettings30.bin"/><Relationship Id="rId4" Type="http://schemas.openxmlformats.org/officeDocument/2006/relationships/comments" Target="../comments28.xml"/></Relationships>
</file>

<file path=xl/worksheets/_rels/sheet31.xml.rels><?xml version="1.0" encoding="UTF-8" standalone="yes"?>
<Relationships xmlns="http://schemas.openxmlformats.org/package/2006/relationships"><Relationship Id="rId3" Type="http://schemas.openxmlformats.org/officeDocument/2006/relationships/vmlDrawing" Target="../drawings/vmlDrawing29.vml"/><Relationship Id="rId2" Type="http://schemas.openxmlformats.org/officeDocument/2006/relationships/drawing" Target="../drawings/drawing28.xml"/><Relationship Id="rId1" Type="http://schemas.openxmlformats.org/officeDocument/2006/relationships/printerSettings" Target="../printerSettings/printerSettings31.bin"/><Relationship Id="rId4" Type="http://schemas.openxmlformats.org/officeDocument/2006/relationships/comments" Target="../comments29.xml"/></Relationships>
</file>

<file path=xl/worksheets/_rels/sheet32.xml.rels><?xml version="1.0" encoding="UTF-8" standalone="yes"?>
<Relationships xmlns="http://schemas.openxmlformats.org/package/2006/relationships"><Relationship Id="rId3" Type="http://schemas.openxmlformats.org/officeDocument/2006/relationships/vmlDrawing" Target="../drawings/vmlDrawing30.vml"/><Relationship Id="rId2" Type="http://schemas.openxmlformats.org/officeDocument/2006/relationships/drawing" Target="../drawings/drawing29.xml"/><Relationship Id="rId1" Type="http://schemas.openxmlformats.org/officeDocument/2006/relationships/printerSettings" Target="../printerSettings/printerSettings32.bin"/><Relationship Id="rId4" Type="http://schemas.openxmlformats.org/officeDocument/2006/relationships/comments" Target="../comments30.xml"/></Relationships>
</file>

<file path=xl/worksheets/_rels/sheet33.xml.rels><?xml version="1.0" encoding="UTF-8" standalone="yes"?>
<Relationships xmlns="http://schemas.openxmlformats.org/package/2006/relationships"><Relationship Id="rId3" Type="http://schemas.openxmlformats.org/officeDocument/2006/relationships/vmlDrawing" Target="../drawings/vmlDrawing31.vml"/><Relationship Id="rId2" Type="http://schemas.openxmlformats.org/officeDocument/2006/relationships/drawing" Target="../drawings/drawing30.xml"/><Relationship Id="rId1" Type="http://schemas.openxmlformats.org/officeDocument/2006/relationships/printerSettings" Target="../printerSettings/printerSettings33.bin"/><Relationship Id="rId4" Type="http://schemas.openxmlformats.org/officeDocument/2006/relationships/comments" Target="../comments31.xml"/></Relationships>
</file>

<file path=xl/worksheets/_rels/sheet34.xml.rels><?xml version="1.0" encoding="UTF-8" standalone="yes"?>
<Relationships xmlns="http://schemas.openxmlformats.org/package/2006/relationships"><Relationship Id="rId3" Type="http://schemas.openxmlformats.org/officeDocument/2006/relationships/vmlDrawing" Target="../drawings/vmlDrawing32.vml"/><Relationship Id="rId2" Type="http://schemas.openxmlformats.org/officeDocument/2006/relationships/drawing" Target="../drawings/drawing31.xml"/><Relationship Id="rId1" Type="http://schemas.openxmlformats.org/officeDocument/2006/relationships/printerSettings" Target="../printerSettings/printerSettings34.bin"/><Relationship Id="rId4" Type="http://schemas.openxmlformats.org/officeDocument/2006/relationships/comments" Target="../comments32.xml"/></Relationships>
</file>

<file path=xl/worksheets/_rels/sheet35.xml.rels><?xml version="1.0" encoding="UTF-8" standalone="yes"?>
<Relationships xmlns="http://schemas.openxmlformats.org/package/2006/relationships"><Relationship Id="rId3" Type="http://schemas.openxmlformats.org/officeDocument/2006/relationships/vmlDrawing" Target="../drawings/vmlDrawing33.vml"/><Relationship Id="rId2" Type="http://schemas.openxmlformats.org/officeDocument/2006/relationships/drawing" Target="../drawings/drawing32.xml"/><Relationship Id="rId1" Type="http://schemas.openxmlformats.org/officeDocument/2006/relationships/printerSettings" Target="../printerSettings/printerSettings35.bin"/><Relationship Id="rId4" Type="http://schemas.openxmlformats.org/officeDocument/2006/relationships/comments" Target="../comments33.xml"/></Relationships>
</file>

<file path=xl/worksheets/_rels/sheet36.xml.rels><?xml version="1.0" encoding="UTF-8" standalone="yes"?>
<Relationships xmlns="http://schemas.openxmlformats.org/package/2006/relationships"><Relationship Id="rId3" Type="http://schemas.openxmlformats.org/officeDocument/2006/relationships/vmlDrawing" Target="../drawings/vmlDrawing34.vml"/><Relationship Id="rId2" Type="http://schemas.openxmlformats.org/officeDocument/2006/relationships/drawing" Target="../drawings/drawing33.xml"/><Relationship Id="rId1" Type="http://schemas.openxmlformats.org/officeDocument/2006/relationships/printerSettings" Target="../printerSettings/printerSettings36.bin"/><Relationship Id="rId4" Type="http://schemas.openxmlformats.org/officeDocument/2006/relationships/comments" Target="../comments34.xml"/></Relationships>
</file>

<file path=xl/worksheets/_rels/sheet37.xml.rels><?xml version="1.0" encoding="UTF-8" standalone="yes"?>
<Relationships xmlns="http://schemas.openxmlformats.org/package/2006/relationships"><Relationship Id="rId3" Type="http://schemas.openxmlformats.org/officeDocument/2006/relationships/vmlDrawing" Target="../drawings/vmlDrawing35.vml"/><Relationship Id="rId2" Type="http://schemas.openxmlformats.org/officeDocument/2006/relationships/drawing" Target="../drawings/drawing34.xml"/><Relationship Id="rId1" Type="http://schemas.openxmlformats.org/officeDocument/2006/relationships/printerSettings" Target="../printerSettings/printerSettings37.bin"/><Relationship Id="rId4" Type="http://schemas.openxmlformats.org/officeDocument/2006/relationships/comments" Target="../comments35.xml"/></Relationships>
</file>

<file path=xl/worksheets/_rels/sheet38.xml.rels><?xml version="1.0" encoding="UTF-8" standalone="yes"?>
<Relationships xmlns="http://schemas.openxmlformats.org/package/2006/relationships"><Relationship Id="rId3" Type="http://schemas.openxmlformats.org/officeDocument/2006/relationships/vmlDrawing" Target="../drawings/vmlDrawing36.vml"/><Relationship Id="rId2" Type="http://schemas.openxmlformats.org/officeDocument/2006/relationships/drawing" Target="../drawings/drawing35.xml"/><Relationship Id="rId1" Type="http://schemas.openxmlformats.org/officeDocument/2006/relationships/printerSettings" Target="../printerSettings/printerSettings38.bin"/><Relationship Id="rId4" Type="http://schemas.openxmlformats.org/officeDocument/2006/relationships/comments" Target="../comments36.xml"/></Relationships>
</file>

<file path=xl/worksheets/_rels/sheet39.xml.rels><?xml version="1.0" encoding="UTF-8" standalone="yes"?>
<Relationships xmlns="http://schemas.openxmlformats.org/package/2006/relationships"><Relationship Id="rId3" Type="http://schemas.openxmlformats.org/officeDocument/2006/relationships/vmlDrawing" Target="../drawings/vmlDrawing37.vml"/><Relationship Id="rId2" Type="http://schemas.openxmlformats.org/officeDocument/2006/relationships/drawing" Target="../drawings/drawing36.xml"/><Relationship Id="rId1" Type="http://schemas.openxmlformats.org/officeDocument/2006/relationships/printerSettings" Target="../printerSettings/printerSettings39.bin"/><Relationship Id="rId4" Type="http://schemas.openxmlformats.org/officeDocument/2006/relationships/comments" Target="../comments37.xml"/></Relationships>
</file>

<file path=xl/worksheets/_rels/sheet40.xml.rels><?xml version="1.0" encoding="UTF-8" standalone="yes"?>
<Relationships xmlns="http://schemas.openxmlformats.org/package/2006/relationships"><Relationship Id="rId3" Type="http://schemas.openxmlformats.org/officeDocument/2006/relationships/vmlDrawing" Target="../drawings/vmlDrawing38.vml"/><Relationship Id="rId2" Type="http://schemas.openxmlformats.org/officeDocument/2006/relationships/drawing" Target="../drawings/drawing37.xml"/><Relationship Id="rId1" Type="http://schemas.openxmlformats.org/officeDocument/2006/relationships/printerSettings" Target="../printerSettings/printerSettings40.bin"/><Relationship Id="rId4" Type="http://schemas.openxmlformats.org/officeDocument/2006/relationships/comments" Target="../comments38.xml"/></Relationships>
</file>

<file path=xl/worksheets/_rels/sheet41.xml.rels><?xml version="1.0" encoding="UTF-8" standalone="yes"?>
<Relationships xmlns="http://schemas.openxmlformats.org/package/2006/relationships"><Relationship Id="rId3" Type="http://schemas.openxmlformats.org/officeDocument/2006/relationships/vmlDrawing" Target="../drawings/vmlDrawing39.vml"/><Relationship Id="rId2" Type="http://schemas.openxmlformats.org/officeDocument/2006/relationships/drawing" Target="../drawings/drawing38.xml"/><Relationship Id="rId1" Type="http://schemas.openxmlformats.org/officeDocument/2006/relationships/printerSettings" Target="../printerSettings/printerSettings41.bin"/><Relationship Id="rId4" Type="http://schemas.openxmlformats.org/officeDocument/2006/relationships/comments" Target="../comments39.xml"/></Relationships>
</file>

<file path=xl/worksheets/_rels/sheet42.xml.rels><?xml version="1.0" encoding="UTF-8" standalone="yes"?>
<Relationships xmlns="http://schemas.openxmlformats.org/package/2006/relationships"><Relationship Id="rId3" Type="http://schemas.openxmlformats.org/officeDocument/2006/relationships/vmlDrawing" Target="../drawings/vmlDrawing40.vml"/><Relationship Id="rId2" Type="http://schemas.openxmlformats.org/officeDocument/2006/relationships/drawing" Target="../drawings/drawing39.xml"/><Relationship Id="rId1" Type="http://schemas.openxmlformats.org/officeDocument/2006/relationships/printerSettings" Target="../printerSettings/printerSettings42.bin"/><Relationship Id="rId4" Type="http://schemas.openxmlformats.org/officeDocument/2006/relationships/comments" Target="../comments40.xml"/></Relationships>
</file>

<file path=xl/worksheets/_rels/sheet43.xml.rels><?xml version="1.0" encoding="UTF-8" standalone="yes"?>
<Relationships xmlns="http://schemas.openxmlformats.org/package/2006/relationships"><Relationship Id="rId3" Type="http://schemas.openxmlformats.org/officeDocument/2006/relationships/vmlDrawing" Target="../drawings/vmlDrawing41.vml"/><Relationship Id="rId2" Type="http://schemas.openxmlformats.org/officeDocument/2006/relationships/drawing" Target="../drawings/drawing40.xml"/><Relationship Id="rId1" Type="http://schemas.openxmlformats.org/officeDocument/2006/relationships/printerSettings" Target="../printerSettings/printerSettings43.bin"/><Relationship Id="rId4" Type="http://schemas.openxmlformats.org/officeDocument/2006/relationships/comments" Target="../comments41.xml"/></Relationships>
</file>

<file path=xl/worksheets/_rels/sheet44.xml.rels><?xml version="1.0" encoding="UTF-8" standalone="yes"?>
<Relationships xmlns="http://schemas.openxmlformats.org/package/2006/relationships"><Relationship Id="rId3" Type="http://schemas.openxmlformats.org/officeDocument/2006/relationships/vmlDrawing" Target="../drawings/vmlDrawing42.vml"/><Relationship Id="rId2" Type="http://schemas.openxmlformats.org/officeDocument/2006/relationships/drawing" Target="../drawings/drawing41.xml"/><Relationship Id="rId1" Type="http://schemas.openxmlformats.org/officeDocument/2006/relationships/printerSettings" Target="../printerSettings/printerSettings44.bin"/><Relationship Id="rId4" Type="http://schemas.openxmlformats.org/officeDocument/2006/relationships/comments" Target="../comments42.xml"/></Relationships>
</file>

<file path=xl/worksheets/_rels/sheet45.xml.rels><?xml version="1.0" encoding="UTF-8" standalone="yes"?>
<Relationships xmlns="http://schemas.openxmlformats.org/package/2006/relationships"><Relationship Id="rId3" Type="http://schemas.openxmlformats.org/officeDocument/2006/relationships/vmlDrawing" Target="../drawings/vmlDrawing43.vml"/><Relationship Id="rId2" Type="http://schemas.openxmlformats.org/officeDocument/2006/relationships/drawing" Target="../drawings/drawing42.xml"/><Relationship Id="rId1" Type="http://schemas.openxmlformats.org/officeDocument/2006/relationships/printerSettings" Target="../printerSettings/printerSettings45.bin"/><Relationship Id="rId4" Type="http://schemas.openxmlformats.org/officeDocument/2006/relationships/comments" Target="../comments43.xml"/></Relationships>
</file>

<file path=xl/worksheets/_rels/sheet46.xml.rels><?xml version="1.0" encoding="UTF-8" standalone="yes"?>
<Relationships xmlns="http://schemas.openxmlformats.org/package/2006/relationships"><Relationship Id="rId3" Type="http://schemas.openxmlformats.org/officeDocument/2006/relationships/vmlDrawing" Target="../drawings/vmlDrawing44.vml"/><Relationship Id="rId2" Type="http://schemas.openxmlformats.org/officeDocument/2006/relationships/drawing" Target="../drawings/drawing43.xml"/><Relationship Id="rId1" Type="http://schemas.openxmlformats.org/officeDocument/2006/relationships/printerSettings" Target="../printerSettings/printerSettings46.bin"/><Relationship Id="rId4" Type="http://schemas.openxmlformats.org/officeDocument/2006/relationships/comments" Target="../comments44.xml"/></Relationships>
</file>

<file path=xl/worksheets/_rels/sheet47.xml.rels><?xml version="1.0" encoding="UTF-8" standalone="yes"?>
<Relationships xmlns="http://schemas.openxmlformats.org/package/2006/relationships"><Relationship Id="rId3" Type="http://schemas.openxmlformats.org/officeDocument/2006/relationships/vmlDrawing" Target="../drawings/vmlDrawing45.vml"/><Relationship Id="rId2" Type="http://schemas.openxmlformats.org/officeDocument/2006/relationships/drawing" Target="../drawings/drawing44.xml"/><Relationship Id="rId1" Type="http://schemas.openxmlformats.org/officeDocument/2006/relationships/printerSettings" Target="../printerSettings/printerSettings47.bin"/><Relationship Id="rId4" Type="http://schemas.openxmlformats.org/officeDocument/2006/relationships/comments" Target="../comments45.xml"/></Relationships>
</file>

<file path=xl/worksheets/_rels/sheet48.xml.rels><?xml version="1.0" encoding="UTF-8" standalone="yes"?>
<Relationships xmlns="http://schemas.openxmlformats.org/package/2006/relationships"><Relationship Id="rId3" Type="http://schemas.openxmlformats.org/officeDocument/2006/relationships/vmlDrawing" Target="../drawings/vmlDrawing46.vml"/><Relationship Id="rId2" Type="http://schemas.openxmlformats.org/officeDocument/2006/relationships/drawing" Target="../drawings/drawing45.xml"/><Relationship Id="rId1" Type="http://schemas.openxmlformats.org/officeDocument/2006/relationships/printerSettings" Target="../printerSettings/printerSettings48.bin"/><Relationship Id="rId4" Type="http://schemas.openxmlformats.org/officeDocument/2006/relationships/comments" Target="../comments46.xml"/></Relationships>
</file>

<file path=xl/worksheets/_rels/sheet49.xml.rels><?xml version="1.0" encoding="UTF-8" standalone="yes"?>
<Relationships xmlns="http://schemas.openxmlformats.org/package/2006/relationships"><Relationship Id="rId3" Type="http://schemas.openxmlformats.org/officeDocument/2006/relationships/vmlDrawing" Target="../drawings/vmlDrawing47.vml"/><Relationship Id="rId2" Type="http://schemas.openxmlformats.org/officeDocument/2006/relationships/drawing" Target="../drawings/drawing46.xml"/><Relationship Id="rId1" Type="http://schemas.openxmlformats.org/officeDocument/2006/relationships/printerSettings" Target="../printerSettings/printerSettings49.bin"/><Relationship Id="rId4" Type="http://schemas.openxmlformats.org/officeDocument/2006/relationships/comments" Target="../comments47.xml"/></Relationships>
</file>

<file path=xl/worksheets/_rels/sheet50.xml.rels><?xml version="1.0" encoding="UTF-8" standalone="yes"?>
<Relationships xmlns="http://schemas.openxmlformats.org/package/2006/relationships"><Relationship Id="rId3" Type="http://schemas.openxmlformats.org/officeDocument/2006/relationships/vmlDrawing" Target="../drawings/vmlDrawing48.vml"/><Relationship Id="rId2" Type="http://schemas.openxmlformats.org/officeDocument/2006/relationships/drawing" Target="../drawings/drawing47.xml"/><Relationship Id="rId1" Type="http://schemas.openxmlformats.org/officeDocument/2006/relationships/printerSettings" Target="../printerSettings/printerSettings50.bin"/><Relationship Id="rId4" Type="http://schemas.openxmlformats.org/officeDocument/2006/relationships/comments" Target="../comments48.xml"/></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48.xml"/><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5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0FD79-4688-48BA-838F-C4A5796EE753}">
  <dimension ref="A1:BV74"/>
  <sheetViews>
    <sheetView tabSelected="1" zoomScaleNormal="100" workbookViewId="0"/>
  </sheetViews>
  <sheetFormatPr defaultColWidth="9" defaultRowHeight="18.75"/>
  <cols>
    <col min="1" max="18" width="6.625" style="40" customWidth="1"/>
    <col min="19" max="19" width="3.625" style="40" customWidth="1"/>
    <col min="20" max="20" width="6.625" style="40" customWidth="1"/>
    <col min="21" max="21" width="3.625" style="40" customWidth="1"/>
    <col min="22" max="39" width="6.625" style="40" customWidth="1"/>
    <col min="40" max="40" width="3.625" style="40" customWidth="1"/>
    <col min="41" max="16384" width="9" style="40"/>
  </cols>
  <sheetData>
    <row r="1" spans="1:74">
      <c r="A1" s="127"/>
      <c r="B1" s="127"/>
      <c r="C1" s="127"/>
      <c r="D1" s="127"/>
      <c r="G1" s="144" t="str">
        <f>TEXT(DATE(YEAR(AQ1), MONTH(AQ1) + 2, 1), "yyyy年")</f>
        <v>2026年</v>
      </c>
      <c r="H1" s="144"/>
      <c r="I1" s="138" t="str">
        <f>TEXT(DATE(YEAR($AQ$1), MONTH($AQ$1) + 2, 1), "m月")</f>
        <v>1月</v>
      </c>
      <c r="J1" s="138" t="str">
        <f>TEXT(DATE(YEAR($AQ$1), MONTH($AQ$1) + 3, 1), "m月")</f>
        <v>2月</v>
      </c>
      <c r="K1" s="144" t="s">
        <v>1407</v>
      </c>
      <c r="L1" s="144"/>
      <c r="M1" s="144"/>
      <c r="P1" s="127"/>
      <c r="Q1" s="127"/>
      <c r="R1" s="127"/>
      <c r="W1" s="40" t="s">
        <v>1435</v>
      </c>
      <c r="X1" s="40" t="s">
        <v>1430</v>
      </c>
      <c r="Y1" s="40" t="s">
        <v>1431</v>
      </c>
      <c r="Z1" s="40" t="s">
        <v>957</v>
      </c>
      <c r="AA1" s="40" t="s">
        <v>958</v>
      </c>
      <c r="AC1" s="40" t="s">
        <v>1395</v>
      </c>
      <c r="AD1" s="40" t="s">
        <v>1431</v>
      </c>
      <c r="AE1" s="40" t="s">
        <v>1398</v>
      </c>
      <c r="AG1" s="40" t="s">
        <v>1438</v>
      </c>
      <c r="AH1" s="40" t="s">
        <v>1396</v>
      </c>
      <c r="AJ1" s="40" t="s">
        <v>1438</v>
      </c>
      <c r="AK1" s="40" t="s">
        <v>874</v>
      </c>
      <c r="AQ1" s="137">
        <v>45962</v>
      </c>
      <c r="AR1" s="40">
        <v>1</v>
      </c>
      <c r="AS1" s="40">
        <v>2</v>
      </c>
      <c r="AT1" s="40">
        <v>3</v>
      </c>
      <c r="AU1" s="40">
        <v>4</v>
      </c>
      <c r="AV1" s="40">
        <v>5</v>
      </c>
      <c r="AW1" s="40">
        <v>6</v>
      </c>
      <c r="AX1" s="40">
        <v>7</v>
      </c>
      <c r="AY1" s="40">
        <v>8</v>
      </c>
      <c r="AZ1" s="40">
        <v>9</v>
      </c>
      <c r="BA1" s="40">
        <v>10</v>
      </c>
      <c r="BB1" s="40">
        <v>11</v>
      </c>
      <c r="BC1" s="40">
        <v>12</v>
      </c>
      <c r="BD1" s="40">
        <v>13</v>
      </c>
      <c r="BE1" s="40">
        <v>14</v>
      </c>
      <c r="BF1" s="40">
        <v>15</v>
      </c>
      <c r="BG1" s="40">
        <v>16</v>
      </c>
      <c r="BH1" s="40">
        <v>17</v>
      </c>
      <c r="BI1" s="40">
        <v>18</v>
      </c>
      <c r="BJ1" s="40">
        <v>19</v>
      </c>
      <c r="BK1" s="40">
        <v>20</v>
      </c>
      <c r="BL1" s="40">
        <v>21</v>
      </c>
      <c r="BM1" s="40">
        <v>22</v>
      </c>
      <c r="BN1" s="40">
        <v>23</v>
      </c>
      <c r="BO1" s="40">
        <v>24</v>
      </c>
      <c r="BP1" s="40">
        <v>25</v>
      </c>
      <c r="BQ1" s="40">
        <v>26</v>
      </c>
      <c r="BR1" s="40">
        <v>27</v>
      </c>
      <c r="BS1" s="40">
        <v>28</v>
      </c>
      <c r="BT1" s="40">
        <v>29</v>
      </c>
      <c r="BU1" s="40">
        <v>30</v>
      </c>
      <c r="BV1" s="40">
        <v>31</v>
      </c>
    </row>
    <row r="2" spans="1:74" ht="16.5" customHeight="1">
      <c r="A2" s="139" t="str">
        <f>TEXT(DATE(YEAR(AQ1), MONTH(AQ1) + 1, 1), "m月")</f>
        <v>12月</v>
      </c>
      <c r="B2" s="116">
        <f>DATE(YEAR($AQ$1), MONTH($AQ$1)+1, BL1)</f>
        <v>46012</v>
      </c>
      <c r="C2" s="116">
        <f t="shared" ref="C2:L2" si="0">DATE(YEAR($AQ$1), MONTH($AQ$1)+1, BM1)</f>
        <v>46013</v>
      </c>
      <c r="D2" s="116">
        <f t="shared" si="0"/>
        <v>46014</v>
      </c>
      <c r="E2" s="116">
        <f t="shared" si="0"/>
        <v>46015</v>
      </c>
      <c r="F2" s="116">
        <f t="shared" si="0"/>
        <v>46016</v>
      </c>
      <c r="G2" s="116">
        <f t="shared" si="0"/>
        <v>46017</v>
      </c>
      <c r="H2" s="116">
        <f t="shared" si="0"/>
        <v>46018</v>
      </c>
      <c r="I2" s="116">
        <f t="shared" si="0"/>
        <v>46019</v>
      </c>
      <c r="J2" s="116">
        <f t="shared" si="0"/>
        <v>46020</v>
      </c>
      <c r="K2" s="116">
        <f t="shared" si="0"/>
        <v>46021</v>
      </c>
      <c r="L2" s="116">
        <f t="shared" si="0"/>
        <v>46022</v>
      </c>
      <c r="M2" s="140" t="str">
        <f>TEXT(DATE(YEAR($AQ$1), MONTH($AQ$1) + 2, 1), "m月")</f>
        <v>1月</v>
      </c>
      <c r="N2" s="60">
        <f>DATE(YEAR($AQ$1), MONTH($AQ$1) + 2, AR1)</f>
        <v>46023</v>
      </c>
      <c r="O2" s="60">
        <f t="shared" ref="O2:R2" si="1">DATE(YEAR($AQ$1), MONTH($AQ$1) + 2, AS1)</f>
        <v>46024</v>
      </c>
      <c r="P2" s="60">
        <f t="shared" si="1"/>
        <v>46025</v>
      </c>
      <c r="Q2" s="60">
        <f t="shared" si="1"/>
        <v>46026</v>
      </c>
      <c r="R2" s="60">
        <f t="shared" si="1"/>
        <v>46027</v>
      </c>
      <c r="X2" s="40" t="s">
        <v>2</v>
      </c>
      <c r="Y2" s="40">
        <v>2</v>
      </c>
      <c r="Z2" s="40" t="s">
        <v>2</v>
      </c>
      <c r="AA2" s="40" t="s">
        <v>14</v>
      </c>
      <c r="AC2" s="40" t="s">
        <v>1159</v>
      </c>
      <c r="AD2" s="40">
        <v>2</v>
      </c>
      <c r="AE2" s="40" t="s">
        <v>1159</v>
      </c>
      <c r="AG2" s="40">
        <v>1</v>
      </c>
      <c r="AH2" s="40" t="s">
        <v>26</v>
      </c>
      <c r="AJ2" s="40">
        <v>1</v>
      </c>
      <c r="AK2" s="40" t="s">
        <v>1159</v>
      </c>
    </row>
    <row r="3" spans="1:74" ht="16.5" customHeight="1">
      <c r="A3" s="28">
        <v>1</v>
      </c>
      <c r="B3" s="19"/>
      <c r="C3" s="19"/>
      <c r="D3" s="19"/>
      <c r="E3" s="19"/>
      <c r="F3" s="19"/>
      <c r="G3" s="19"/>
      <c r="H3" s="19"/>
      <c r="I3" s="19"/>
      <c r="J3" s="19"/>
      <c r="K3" s="19"/>
      <c r="L3" s="19"/>
      <c r="M3" s="36"/>
      <c r="N3" s="19"/>
      <c r="O3" s="35"/>
      <c r="P3" s="19"/>
      <c r="Q3" s="19"/>
      <c r="R3" s="19"/>
      <c r="X3" s="40" t="s">
        <v>7</v>
      </c>
      <c r="Y3" s="40">
        <v>2</v>
      </c>
      <c r="Z3" s="40" t="s">
        <v>7</v>
      </c>
      <c r="AA3" s="40" t="s">
        <v>153</v>
      </c>
      <c r="AC3" s="40" t="s">
        <v>1065</v>
      </c>
      <c r="AD3" s="40">
        <v>4</v>
      </c>
      <c r="AE3" s="40" t="s">
        <v>1065</v>
      </c>
      <c r="AG3" s="40">
        <v>2</v>
      </c>
      <c r="AH3" s="40" t="s">
        <v>1114</v>
      </c>
      <c r="AJ3" s="40">
        <v>2</v>
      </c>
      <c r="AK3" s="40" t="s">
        <v>356</v>
      </c>
    </row>
    <row r="4" spans="1:74" ht="16.5" customHeight="1">
      <c r="A4" s="28">
        <v>2</v>
      </c>
      <c r="B4" s="19"/>
      <c r="C4" s="19"/>
      <c r="D4" s="19"/>
      <c r="E4" s="19"/>
      <c r="F4" s="19"/>
      <c r="G4" s="19"/>
      <c r="H4" s="19"/>
      <c r="I4" s="19"/>
      <c r="J4" s="19"/>
      <c r="K4" s="19"/>
      <c r="L4" s="19"/>
      <c r="M4" s="36"/>
      <c r="N4" s="19"/>
      <c r="O4" s="19"/>
      <c r="P4" s="19"/>
      <c r="Q4" s="19"/>
      <c r="R4" s="19"/>
      <c r="T4" s="41"/>
      <c r="V4" s="41"/>
      <c r="X4" s="40" t="s">
        <v>107</v>
      </c>
      <c r="Y4" s="40">
        <v>3</v>
      </c>
      <c r="Z4" s="40" t="s">
        <v>107</v>
      </c>
      <c r="AA4" s="40" t="s">
        <v>314</v>
      </c>
      <c r="AC4" s="40" t="s">
        <v>37</v>
      </c>
      <c r="AD4" s="40">
        <v>4</v>
      </c>
      <c r="AE4" s="40" t="s">
        <v>37</v>
      </c>
      <c r="AG4" s="40">
        <v>3</v>
      </c>
      <c r="AH4" s="40" t="s">
        <v>327</v>
      </c>
      <c r="AI4" s="64"/>
      <c r="AJ4" s="40">
        <v>3</v>
      </c>
      <c r="AK4" s="40" t="s">
        <v>875</v>
      </c>
    </row>
    <row r="5" spans="1:74" ht="16.5" customHeight="1">
      <c r="A5" s="28">
        <v>3</v>
      </c>
      <c r="B5" s="19"/>
      <c r="C5" s="19"/>
      <c r="D5" s="19"/>
      <c r="E5" s="19"/>
      <c r="F5" s="19"/>
      <c r="G5" s="19"/>
      <c r="H5" s="19"/>
      <c r="I5" s="19"/>
      <c r="J5" s="19"/>
      <c r="K5" s="19"/>
      <c r="L5" s="19"/>
      <c r="M5" s="36"/>
      <c r="N5" s="19"/>
      <c r="O5" s="19"/>
      <c r="P5" s="19"/>
      <c r="Q5" s="19"/>
      <c r="R5" s="19"/>
      <c r="T5" s="41"/>
      <c r="V5" s="41"/>
      <c r="X5" s="40" t="s">
        <v>14</v>
      </c>
      <c r="Y5" s="40">
        <v>2</v>
      </c>
      <c r="Z5" s="40" t="s">
        <v>312</v>
      </c>
      <c r="AA5" s="40" t="s">
        <v>93</v>
      </c>
      <c r="AC5" s="40" t="s">
        <v>875</v>
      </c>
      <c r="AD5" s="40">
        <v>2</v>
      </c>
      <c r="AE5" s="64" t="s">
        <v>875</v>
      </c>
      <c r="AG5" s="40">
        <v>4</v>
      </c>
      <c r="AH5" s="40" t="s">
        <v>153</v>
      </c>
      <c r="AJ5" s="40">
        <v>4</v>
      </c>
      <c r="AK5" s="40" t="s">
        <v>356</v>
      </c>
    </row>
    <row r="6" spans="1:74" ht="16.5" customHeight="1">
      <c r="A6" s="28" t="s">
        <v>20</v>
      </c>
      <c r="B6" s="19"/>
      <c r="C6" s="19"/>
      <c r="D6" s="19"/>
      <c r="E6" s="19"/>
      <c r="F6" s="19"/>
      <c r="G6" s="19"/>
      <c r="H6" s="19"/>
      <c r="I6" s="19"/>
      <c r="J6" s="19"/>
      <c r="K6" s="19"/>
      <c r="L6" s="19"/>
      <c r="M6" s="36"/>
      <c r="N6" s="19"/>
      <c r="O6" s="19"/>
      <c r="P6" s="19"/>
      <c r="Q6" s="19"/>
      <c r="R6" s="19"/>
      <c r="T6" s="41"/>
      <c r="V6" s="41"/>
      <c r="X6" s="40" t="s">
        <v>314</v>
      </c>
      <c r="Y6" s="40">
        <v>2</v>
      </c>
      <c r="Z6" s="40" t="s">
        <v>1265</v>
      </c>
      <c r="AA6" s="68" t="s">
        <v>1349</v>
      </c>
      <c r="AC6" s="68" t="s">
        <v>36</v>
      </c>
      <c r="AD6" s="40">
        <v>4</v>
      </c>
      <c r="AE6" s="64" t="s">
        <v>36</v>
      </c>
      <c r="AG6" s="68">
        <v>5</v>
      </c>
      <c r="AH6" s="40" t="s">
        <v>25</v>
      </c>
      <c r="AJ6" s="40">
        <v>5</v>
      </c>
      <c r="AK6" s="40" t="s">
        <v>1328</v>
      </c>
    </row>
    <row r="7" spans="1:74" ht="16.5" customHeight="1">
      <c r="A7" s="28" t="s">
        <v>0</v>
      </c>
      <c r="B7" s="19"/>
      <c r="C7" s="19"/>
      <c r="D7" s="19"/>
      <c r="E7" s="19"/>
      <c r="F7" s="19"/>
      <c r="G7" s="19"/>
      <c r="H7" s="19"/>
      <c r="I7" s="19"/>
      <c r="J7" s="19"/>
      <c r="K7" s="19"/>
      <c r="L7" s="19"/>
      <c r="M7" s="36"/>
      <c r="N7" s="19"/>
      <c r="O7" s="19"/>
      <c r="P7" s="19"/>
      <c r="Q7" s="19"/>
      <c r="R7" s="19"/>
      <c r="T7" s="41"/>
      <c r="V7" s="41"/>
      <c r="X7" s="40" t="s">
        <v>93</v>
      </c>
      <c r="Y7" s="40">
        <v>3</v>
      </c>
      <c r="Z7" s="40" t="s">
        <v>25</v>
      </c>
      <c r="AC7" s="40" t="s">
        <v>1328</v>
      </c>
      <c r="AD7" s="40">
        <v>2</v>
      </c>
      <c r="AE7" s="64" t="s">
        <v>1328</v>
      </c>
      <c r="AG7" s="40">
        <v>6</v>
      </c>
      <c r="AH7" s="40" t="s">
        <v>864</v>
      </c>
      <c r="AJ7" s="40">
        <v>6</v>
      </c>
      <c r="AK7" s="40" t="s">
        <v>356</v>
      </c>
    </row>
    <row r="8" spans="1:74" ht="16.5" customHeight="1">
      <c r="A8" s="28" t="s">
        <v>1</v>
      </c>
      <c r="B8" s="29"/>
      <c r="C8" s="19"/>
      <c r="D8" s="19"/>
      <c r="E8" s="19"/>
      <c r="F8" s="19"/>
      <c r="G8" s="19"/>
      <c r="H8" s="19"/>
      <c r="I8" s="19"/>
      <c r="J8" s="19"/>
      <c r="K8" s="19"/>
      <c r="L8" s="19"/>
      <c r="M8" s="36"/>
      <c r="N8" s="19"/>
      <c r="O8" s="19"/>
      <c r="P8" s="19"/>
      <c r="Q8" s="19"/>
      <c r="R8" s="19"/>
      <c r="T8" s="41"/>
      <c r="X8" s="40" t="s">
        <v>1265</v>
      </c>
      <c r="Y8" s="40">
        <v>3</v>
      </c>
      <c r="Z8" s="40" t="s">
        <v>774</v>
      </c>
      <c r="AA8" s="64"/>
      <c r="AC8" s="64"/>
      <c r="AG8" s="64">
        <v>7</v>
      </c>
      <c r="AH8" s="40" t="s">
        <v>1349</v>
      </c>
      <c r="AI8" s="64"/>
      <c r="AJ8" s="40">
        <v>7</v>
      </c>
      <c r="AK8" s="40" t="s">
        <v>875</v>
      </c>
    </row>
    <row r="9" spans="1:74" ht="16.5" customHeight="1">
      <c r="A9" s="157" t="str">
        <f>TEXT(DATE(YEAR($AQ$1), MONTH($AQ$1) + 2, 1), "m月")</f>
        <v>1月</v>
      </c>
      <c r="B9" s="25">
        <f>DATE(YEAR($AQ$1), MONTH($AQ$1) + 2, AW1)</f>
        <v>46028</v>
      </c>
      <c r="C9" s="25">
        <f t="shared" ref="C9:P9" si="2">DATE(YEAR($AQ$1), MONTH($AQ$1) + 2, AX1)</f>
        <v>46029</v>
      </c>
      <c r="D9" s="25">
        <f t="shared" si="2"/>
        <v>46030</v>
      </c>
      <c r="E9" s="25">
        <f t="shared" si="2"/>
        <v>46031</v>
      </c>
      <c r="F9" s="25">
        <f t="shared" si="2"/>
        <v>46032</v>
      </c>
      <c r="G9" s="25">
        <f t="shared" si="2"/>
        <v>46033</v>
      </c>
      <c r="H9" s="25">
        <f t="shared" si="2"/>
        <v>46034</v>
      </c>
      <c r="I9" s="25">
        <f t="shared" si="2"/>
        <v>46035</v>
      </c>
      <c r="J9" s="25">
        <f t="shared" si="2"/>
        <v>46036</v>
      </c>
      <c r="K9" s="25">
        <f t="shared" si="2"/>
        <v>46037</v>
      </c>
      <c r="L9" s="25">
        <f t="shared" si="2"/>
        <v>46038</v>
      </c>
      <c r="M9" s="25">
        <f t="shared" si="2"/>
        <v>46039</v>
      </c>
      <c r="N9" s="25">
        <f t="shared" si="2"/>
        <v>46040</v>
      </c>
      <c r="O9" s="25">
        <f t="shared" si="2"/>
        <v>46041</v>
      </c>
      <c r="P9" s="25">
        <f t="shared" si="2"/>
        <v>46042</v>
      </c>
      <c r="Q9" s="19"/>
      <c r="R9" s="19"/>
      <c r="T9" s="41"/>
      <c r="W9" s="40" t="s">
        <v>169</v>
      </c>
      <c r="X9" s="40" t="s">
        <v>25</v>
      </c>
      <c r="Y9" s="40">
        <v>2</v>
      </c>
      <c r="Z9" s="40" t="s">
        <v>516</v>
      </c>
      <c r="AC9" s="64"/>
      <c r="AG9" s="40">
        <v>8</v>
      </c>
      <c r="AH9" s="40" t="s">
        <v>516</v>
      </c>
      <c r="AJ9" s="40">
        <v>8</v>
      </c>
      <c r="AK9" s="40" t="s">
        <v>356</v>
      </c>
    </row>
    <row r="10" spans="1:74" ht="16.5" customHeight="1">
      <c r="A10" s="36">
        <v>1</v>
      </c>
      <c r="B10" s="19"/>
      <c r="C10" s="19"/>
      <c r="D10" s="19"/>
      <c r="E10" s="19"/>
      <c r="F10" s="19"/>
      <c r="G10" s="19"/>
      <c r="H10" s="19"/>
      <c r="I10" s="19"/>
      <c r="J10" s="19"/>
      <c r="K10" s="19"/>
      <c r="L10" s="19"/>
      <c r="M10" s="19"/>
      <c r="N10" s="19"/>
      <c r="O10" s="19"/>
      <c r="P10" s="19"/>
      <c r="Q10" s="19"/>
      <c r="R10" s="19"/>
      <c r="T10" s="41"/>
      <c r="X10" s="40" t="s">
        <v>774</v>
      </c>
      <c r="Y10" s="40">
        <v>2</v>
      </c>
      <c r="Z10" s="40" t="s">
        <v>864</v>
      </c>
      <c r="AG10" s="40">
        <v>9</v>
      </c>
      <c r="AH10" s="40" t="s">
        <v>312</v>
      </c>
      <c r="AJ10" s="40">
        <v>9</v>
      </c>
      <c r="AK10" s="40" t="s">
        <v>1159</v>
      </c>
    </row>
    <row r="11" spans="1:74" ht="16.5" customHeight="1">
      <c r="A11" s="36">
        <v>2</v>
      </c>
      <c r="B11" s="19"/>
      <c r="C11" s="19"/>
      <c r="D11" s="19"/>
      <c r="E11" s="19"/>
      <c r="F11" s="19"/>
      <c r="G11" s="19"/>
      <c r="H11" s="19"/>
      <c r="I11" s="19"/>
      <c r="J11" s="19"/>
      <c r="K11" s="19"/>
      <c r="L11" s="19"/>
      <c r="M11" s="19"/>
      <c r="N11" s="19"/>
      <c r="O11" s="19"/>
      <c r="P11" s="19"/>
      <c r="Q11" s="19"/>
      <c r="R11" s="19"/>
      <c r="T11" s="41"/>
      <c r="X11" s="40" t="s">
        <v>516</v>
      </c>
      <c r="Y11" s="40">
        <v>2</v>
      </c>
      <c r="Z11" s="40" t="s">
        <v>1129</v>
      </c>
      <c r="AG11" s="40">
        <v>10</v>
      </c>
      <c r="AH11" s="40" t="s">
        <v>1114</v>
      </c>
      <c r="AJ11" s="40">
        <v>10</v>
      </c>
      <c r="AK11" s="40" t="s">
        <v>356</v>
      </c>
    </row>
    <row r="12" spans="1:74" ht="16.5" customHeight="1">
      <c r="A12" s="36">
        <v>3</v>
      </c>
      <c r="B12" s="19"/>
      <c r="C12" s="19"/>
      <c r="D12" s="19"/>
      <c r="E12" s="19"/>
      <c r="F12" s="19"/>
      <c r="G12" s="35"/>
      <c r="H12" s="19"/>
      <c r="I12" s="19"/>
      <c r="J12" s="19"/>
      <c r="K12" s="19"/>
      <c r="L12" s="19"/>
      <c r="M12" s="19"/>
      <c r="N12" s="19"/>
      <c r="O12" s="19"/>
      <c r="P12" s="19"/>
      <c r="Q12" s="19"/>
      <c r="R12" s="19"/>
      <c r="T12" s="41"/>
      <c r="X12" s="40" t="s">
        <v>312</v>
      </c>
      <c r="Y12" s="40">
        <v>2</v>
      </c>
    </row>
    <row r="13" spans="1:74" ht="16.5" customHeight="1">
      <c r="A13" s="36" t="s">
        <v>20</v>
      </c>
      <c r="B13" s="19"/>
      <c r="C13" s="19"/>
      <c r="D13" s="19"/>
      <c r="E13" s="19"/>
      <c r="F13" s="19"/>
      <c r="G13" s="19"/>
      <c r="H13" s="19"/>
      <c r="I13" s="19"/>
      <c r="J13" s="19"/>
      <c r="K13" s="19"/>
      <c r="L13" s="19"/>
      <c r="M13" s="19"/>
      <c r="N13" s="19"/>
      <c r="O13" s="19"/>
      <c r="P13" s="19"/>
      <c r="Q13" s="19"/>
      <c r="R13" s="19"/>
      <c r="T13" s="41"/>
      <c r="X13" s="40" t="s">
        <v>1349</v>
      </c>
      <c r="Y13" s="40">
        <v>3</v>
      </c>
    </row>
    <row r="14" spans="1:74" ht="16.5" customHeight="1">
      <c r="A14" s="36" t="s">
        <v>0</v>
      </c>
      <c r="B14" s="19"/>
      <c r="C14" s="19"/>
      <c r="D14" s="19"/>
      <c r="E14" s="19"/>
      <c r="F14" s="19"/>
      <c r="G14" s="19"/>
      <c r="H14" s="19"/>
      <c r="I14" s="19"/>
      <c r="J14" s="19"/>
      <c r="K14" s="19"/>
      <c r="L14" s="19"/>
      <c r="M14" s="19"/>
      <c r="N14" s="19"/>
      <c r="O14" s="19"/>
      <c r="P14" s="19"/>
      <c r="Q14" s="19"/>
      <c r="R14" s="19"/>
      <c r="T14" s="41"/>
      <c r="X14" s="40" t="s">
        <v>1129</v>
      </c>
      <c r="Y14" s="40">
        <v>3</v>
      </c>
    </row>
    <row r="15" spans="1:74" ht="16.5" customHeight="1">
      <c r="A15" s="36" t="s">
        <v>1</v>
      </c>
      <c r="B15" s="19"/>
      <c r="C15" s="29"/>
      <c r="D15" s="19"/>
      <c r="E15" s="19"/>
      <c r="F15" s="19"/>
      <c r="G15" s="19"/>
      <c r="H15" s="19"/>
      <c r="I15" s="19"/>
      <c r="J15" s="19"/>
      <c r="K15" s="19"/>
      <c r="L15" s="19"/>
      <c r="M15" s="19"/>
      <c r="N15" s="19"/>
      <c r="O15" s="19"/>
      <c r="P15" s="19"/>
      <c r="Q15" s="19"/>
      <c r="R15" s="19"/>
      <c r="T15" s="41"/>
      <c r="X15" s="40" t="s">
        <v>153</v>
      </c>
      <c r="Y15" s="40">
        <v>2</v>
      </c>
    </row>
    <row r="16" spans="1:74" ht="16.5" customHeight="1">
      <c r="A16" s="42"/>
      <c r="B16" s="37"/>
      <c r="C16" s="37"/>
      <c r="D16" s="37"/>
      <c r="E16" s="37"/>
      <c r="F16" s="37"/>
      <c r="G16" s="37"/>
      <c r="H16" s="38"/>
      <c r="I16" s="38"/>
      <c r="J16" s="38"/>
      <c r="K16" s="38"/>
      <c r="L16" s="38"/>
      <c r="M16" s="38"/>
      <c r="N16" s="38"/>
      <c r="O16" s="38"/>
      <c r="P16" s="37"/>
      <c r="Q16" s="37"/>
      <c r="R16" s="39"/>
      <c r="T16" s="41"/>
      <c r="W16" s="40" t="s">
        <v>1400</v>
      </c>
      <c r="X16" s="40" t="s">
        <v>864</v>
      </c>
      <c r="Y16" s="40">
        <v>3</v>
      </c>
    </row>
    <row r="17" spans="1:37" ht="16.5" customHeight="1">
      <c r="A17" s="157" t="str">
        <f>TEXT(DATE(YEAR($AQ$1), MONTH($AQ$1) + 2, 1), "m月")</f>
        <v>1月</v>
      </c>
      <c r="B17" s="60">
        <f>DATE(YEAR($AQ$1), MONTH($AQ$1) + 2, BL1)</f>
        <v>46043</v>
      </c>
      <c r="C17" s="60">
        <f t="shared" ref="C17:L17" si="3">DATE(YEAR($AQ$1), MONTH($AQ$1) + 2, BM1)</f>
        <v>46044</v>
      </c>
      <c r="D17" s="60">
        <f t="shared" si="3"/>
        <v>46045</v>
      </c>
      <c r="E17" s="60">
        <f t="shared" si="3"/>
        <v>46046</v>
      </c>
      <c r="F17" s="60">
        <f t="shared" si="3"/>
        <v>46047</v>
      </c>
      <c r="G17" s="60">
        <f t="shared" si="3"/>
        <v>46048</v>
      </c>
      <c r="H17" s="60">
        <f t="shared" si="3"/>
        <v>46049</v>
      </c>
      <c r="I17" s="60">
        <f t="shared" si="3"/>
        <v>46050</v>
      </c>
      <c r="J17" s="60">
        <f t="shared" si="3"/>
        <v>46051</v>
      </c>
      <c r="K17" s="60">
        <f t="shared" si="3"/>
        <v>46052</v>
      </c>
      <c r="L17" s="60">
        <f t="shared" si="3"/>
        <v>46053</v>
      </c>
      <c r="M17" s="141" t="str">
        <f>TEXT(DATE(YEAR($AQ$1), MONTH($AQ$1) + 3, 1), "m月")</f>
        <v>2月</v>
      </c>
      <c r="N17" s="116">
        <f>DATE(YEAR($AQ$1), MONTH($AQ$1) + 3, AR1)</f>
        <v>46054</v>
      </c>
      <c r="O17" s="116">
        <f t="shared" ref="O17:R17" si="4">DATE(YEAR($AQ$1), MONTH($AQ$1) + 3, AS1)</f>
        <v>46055</v>
      </c>
      <c r="P17" s="116">
        <f t="shared" si="4"/>
        <v>46056</v>
      </c>
      <c r="Q17" s="116">
        <f t="shared" si="4"/>
        <v>46057</v>
      </c>
      <c r="R17" s="116">
        <f t="shared" si="4"/>
        <v>46058</v>
      </c>
      <c r="T17" s="41"/>
      <c r="W17" s="40">
        <v>18</v>
      </c>
      <c r="X17" s="40">
        <v>36</v>
      </c>
      <c r="Y17" s="40">
        <v>36</v>
      </c>
      <c r="AC17" s="40">
        <v>18</v>
      </c>
      <c r="AD17" s="40">
        <v>18</v>
      </c>
    </row>
    <row r="18" spans="1:37" ht="16.5" customHeight="1">
      <c r="A18" s="36">
        <v>1</v>
      </c>
      <c r="B18" s="19"/>
      <c r="C18" s="19"/>
      <c r="D18" s="19"/>
      <c r="E18" s="19"/>
      <c r="F18" s="19"/>
      <c r="G18" s="19"/>
      <c r="H18" s="19"/>
      <c r="I18" s="19"/>
      <c r="J18" s="19"/>
      <c r="K18" s="19"/>
      <c r="L18" s="19"/>
      <c r="M18" s="26"/>
      <c r="N18" s="19"/>
      <c r="O18" s="19"/>
      <c r="P18" s="19"/>
      <c r="Q18" s="19"/>
      <c r="R18" s="19"/>
      <c r="W18" s="40" t="s">
        <v>1435</v>
      </c>
      <c r="X18" s="40" t="s">
        <v>1393</v>
      </c>
      <c r="Y18" s="40" t="s">
        <v>1392</v>
      </c>
      <c r="Z18" s="40" t="s">
        <v>63</v>
      </c>
      <c r="AA18" s="40" t="s">
        <v>64</v>
      </c>
      <c r="AC18" s="40" t="s">
        <v>1395</v>
      </c>
      <c r="AD18" s="40" t="s">
        <v>1392</v>
      </c>
      <c r="AE18" s="40" t="s">
        <v>65</v>
      </c>
      <c r="AG18" s="40" t="s">
        <v>1438</v>
      </c>
      <c r="AH18" s="40" t="s">
        <v>1396</v>
      </c>
      <c r="AJ18" s="40" t="s">
        <v>1438</v>
      </c>
      <c r="AK18" s="40" t="s">
        <v>874</v>
      </c>
    </row>
    <row r="19" spans="1:37" ht="16.5" customHeight="1">
      <c r="A19" s="36">
        <v>2</v>
      </c>
      <c r="B19" s="19"/>
      <c r="C19" s="19"/>
      <c r="D19" s="19"/>
      <c r="F19" s="19"/>
      <c r="G19" s="19"/>
      <c r="H19" s="19"/>
      <c r="I19" s="19"/>
      <c r="J19" s="19"/>
      <c r="K19" s="19"/>
      <c r="L19" s="19"/>
      <c r="M19" s="26"/>
      <c r="N19" s="19"/>
      <c r="O19" s="19"/>
      <c r="P19" s="19"/>
      <c r="Q19" s="19"/>
      <c r="R19" s="19"/>
      <c r="X19" s="40" t="s">
        <v>2</v>
      </c>
      <c r="Y19" s="40">
        <f t="shared" ref="Y19:Y33" si="5">COUNTIF($B$3:$R$5,X19)+COUNTIF($B$10:$R$12,X19)+COUNTIF($B$18:$R$20,X19)+COUNTIF($B$25:$R$27,X19)</f>
        <v>0</v>
      </c>
      <c r="Z19" s="133" t="s">
        <v>2</v>
      </c>
      <c r="AA19" s="133" t="s">
        <v>14</v>
      </c>
      <c r="AC19" s="40" t="s">
        <v>1159</v>
      </c>
      <c r="AD19" s="40">
        <f t="shared" ref="AD19:AD24" si="6">COUNTIF($B$3:$R$5,AC19)+COUNTIF($B$10:$R$12,AC19)+COUNTIF($B$18:$R$20,AC19)+COUNTIF($B$25:$R$27,AC19)</f>
        <v>0</v>
      </c>
      <c r="AE19" s="40" t="s">
        <v>1159</v>
      </c>
      <c r="AG19" s="40">
        <v>1</v>
      </c>
      <c r="AH19" s="40" t="s">
        <v>26</v>
      </c>
      <c r="AJ19" s="40">
        <v>1</v>
      </c>
      <c r="AK19" s="40" t="s">
        <v>1159</v>
      </c>
    </row>
    <row r="20" spans="1:37" ht="16.5" customHeight="1">
      <c r="A20" s="36">
        <v>3</v>
      </c>
      <c r="B20" s="19"/>
      <c r="C20" s="19"/>
      <c r="D20" s="19"/>
      <c r="E20" s="19"/>
      <c r="F20" s="19"/>
      <c r="G20" s="19"/>
      <c r="H20" s="19"/>
      <c r="I20" s="19"/>
      <c r="J20" s="19"/>
      <c r="K20" s="19"/>
      <c r="L20" s="19"/>
      <c r="M20" s="26"/>
      <c r="N20" s="19"/>
      <c r="O20" s="19"/>
      <c r="P20" s="19"/>
      <c r="Q20" s="19"/>
      <c r="R20" s="19"/>
      <c r="T20" s="41"/>
      <c r="X20" s="40" t="s">
        <v>7</v>
      </c>
      <c r="Y20" s="40">
        <f t="shared" si="5"/>
        <v>0</v>
      </c>
      <c r="Z20" s="133" t="s">
        <v>7</v>
      </c>
      <c r="AA20" s="133" t="s">
        <v>153</v>
      </c>
      <c r="AC20" s="40" t="s">
        <v>1065</v>
      </c>
      <c r="AD20" s="40">
        <f t="shared" si="6"/>
        <v>0</v>
      </c>
      <c r="AE20" s="40" t="s">
        <v>1065</v>
      </c>
      <c r="AG20" s="40">
        <v>2</v>
      </c>
      <c r="AH20" s="40" t="s">
        <v>1114</v>
      </c>
      <c r="AI20" s="64"/>
      <c r="AJ20" s="40">
        <v>2</v>
      </c>
      <c r="AK20" s="40" t="s">
        <v>356</v>
      </c>
    </row>
    <row r="21" spans="1:37" ht="16.5" customHeight="1">
      <c r="A21" s="36" t="s">
        <v>20</v>
      </c>
      <c r="B21" s="19"/>
      <c r="C21" s="19"/>
      <c r="D21" s="19"/>
      <c r="E21" s="19"/>
      <c r="F21" s="19"/>
      <c r="G21" s="19"/>
      <c r="H21" s="19"/>
      <c r="I21" s="19"/>
      <c r="J21" s="19"/>
      <c r="K21" s="19"/>
      <c r="L21" s="19"/>
      <c r="M21" s="26"/>
      <c r="N21" s="19"/>
      <c r="O21" s="19"/>
      <c r="P21" s="19"/>
      <c r="Q21" s="19"/>
      <c r="R21" s="19"/>
      <c r="T21" s="41"/>
      <c r="X21" s="40" t="s">
        <v>107</v>
      </c>
      <c r="Y21" s="40">
        <f t="shared" si="5"/>
        <v>0</v>
      </c>
      <c r="Z21" s="133" t="s">
        <v>107</v>
      </c>
      <c r="AA21" s="133" t="s">
        <v>314</v>
      </c>
      <c r="AC21" s="40" t="s">
        <v>37</v>
      </c>
      <c r="AD21" s="40">
        <f t="shared" si="6"/>
        <v>0</v>
      </c>
      <c r="AE21" s="40" t="s">
        <v>37</v>
      </c>
      <c r="AG21" s="40">
        <v>3</v>
      </c>
      <c r="AH21" s="40" t="s">
        <v>327</v>
      </c>
      <c r="AI21" s="64"/>
      <c r="AJ21" s="40">
        <v>3</v>
      </c>
      <c r="AK21" s="40" t="s">
        <v>875</v>
      </c>
    </row>
    <row r="22" spans="1:37" ht="16.5" customHeight="1">
      <c r="A22" s="36" t="s">
        <v>0</v>
      </c>
      <c r="B22" s="19"/>
      <c r="C22" s="19"/>
      <c r="D22" s="19"/>
      <c r="E22" s="19"/>
      <c r="F22" s="19"/>
      <c r="G22" s="19"/>
      <c r="H22" s="19"/>
      <c r="I22" s="19"/>
      <c r="J22" s="19"/>
      <c r="K22" s="19"/>
      <c r="L22" s="19"/>
      <c r="M22" s="26"/>
      <c r="N22" s="19"/>
      <c r="O22" s="19"/>
      <c r="P22" s="19"/>
      <c r="Q22" s="19"/>
      <c r="R22" s="19"/>
      <c r="T22" s="41"/>
      <c r="X22" s="40" t="s">
        <v>14</v>
      </c>
      <c r="Y22" s="40">
        <f>COUNTIF($B$3:$R$5,X22)+COUNTIF($B$10:$R$12,X22)+COUNTIF($B$18:$R$20,X22)+COUNTIF($B$25:$R$27,X22)</f>
        <v>0</v>
      </c>
      <c r="Z22" s="133" t="s">
        <v>312</v>
      </c>
      <c r="AA22" s="133" t="s">
        <v>93</v>
      </c>
      <c r="AC22" s="40" t="s">
        <v>875</v>
      </c>
      <c r="AD22" s="40">
        <f t="shared" si="6"/>
        <v>0</v>
      </c>
      <c r="AE22" s="40" t="s">
        <v>875</v>
      </c>
      <c r="AG22" s="40">
        <v>4</v>
      </c>
      <c r="AH22" s="40" t="s">
        <v>153</v>
      </c>
      <c r="AJ22" s="40">
        <v>4</v>
      </c>
      <c r="AK22" s="40" t="s">
        <v>356</v>
      </c>
    </row>
    <row r="23" spans="1:37" ht="16.5" customHeight="1">
      <c r="A23" s="36" t="s">
        <v>1</v>
      </c>
      <c r="B23" s="19"/>
      <c r="C23" s="19"/>
      <c r="D23" s="19"/>
      <c r="E23" s="19"/>
      <c r="F23" s="19"/>
      <c r="G23" s="19"/>
      <c r="H23" s="19"/>
      <c r="I23" s="19"/>
      <c r="J23" s="19"/>
      <c r="K23" s="19"/>
      <c r="L23" s="19"/>
      <c r="M23" s="26"/>
      <c r="N23" s="19"/>
      <c r="O23" s="19"/>
      <c r="P23" s="19"/>
      <c r="Q23" s="19"/>
      <c r="R23" s="19"/>
      <c r="T23" s="72"/>
      <c r="V23" s="71"/>
      <c r="W23" s="71"/>
      <c r="X23" s="40" t="s">
        <v>314</v>
      </c>
      <c r="Y23" s="40">
        <f>COUNTIF($B$3:$R$5,X23)+COUNTIF($B$10:$R$12,X23)+COUNTIF($B$18:$R$20,X23)+COUNTIF($B$25:$R$27,X23)</f>
        <v>0</v>
      </c>
      <c r="Z23" s="133" t="s">
        <v>1265</v>
      </c>
      <c r="AA23" s="133" t="s">
        <v>1349</v>
      </c>
      <c r="AC23" s="40" t="s">
        <v>36</v>
      </c>
      <c r="AD23" s="40">
        <f t="shared" si="6"/>
        <v>0</v>
      </c>
      <c r="AE23" s="40" t="s">
        <v>36</v>
      </c>
      <c r="AG23" s="40">
        <v>5</v>
      </c>
      <c r="AH23" s="40" t="s">
        <v>25</v>
      </c>
      <c r="AI23" s="64"/>
      <c r="AJ23" s="40">
        <v>5</v>
      </c>
      <c r="AK23" s="40" t="s">
        <v>1328</v>
      </c>
    </row>
    <row r="24" spans="1:37" ht="16.5" customHeight="1">
      <c r="A24" s="158" t="str">
        <f>TEXT(DATE(YEAR($AQ$1), MONTH($AQ$1) + 3, 1), "m月")</f>
        <v>2月</v>
      </c>
      <c r="B24" s="27">
        <f>DATE(YEAR($AQ$1), MONTH($AQ$1) + 3, AW1)</f>
        <v>46059</v>
      </c>
      <c r="C24" s="27">
        <f t="shared" ref="C24:R24" si="7">DATE(YEAR($AQ$1), MONTH($AQ$1) + 3, AX1)</f>
        <v>46060</v>
      </c>
      <c r="D24" s="27">
        <f t="shared" si="7"/>
        <v>46061</v>
      </c>
      <c r="E24" s="27">
        <f t="shared" si="7"/>
        <v>46062</v>
      </c>
      <c r="F24" s="27">
        <f t="shared" si="7"/>
        <v>46063</v>
      </c>
      <c r="G24" s="27">
        <f t="shared" si="7"/>
        <v>46064</v>
      </c>
      <c r="H24" s="27">
        <f t="shared" si="7"/>
        <v>46065</v>
      </c>
      <c r="I24" s="27">
        <f t="shared" si="7"/>
        <v>46066</v>
      </c>
      <c r="J24" s="27">
        <f t="shared" si="7"/>
        <v>46067</v>
      </c>
      <c r="K24" s="27">
        <f t="shared" si="7"/>
        <v>46068</v>
      </c>
      <c r="L24" s="27">
        <f t="shared" si="7"/>
        <v>46069</v>
      </c>
      <c r="M24" s="27">
        <f t="shared" si="7"/>
        <v>46070</v>
      </c>
      <c r="N24" s="27">
        <f t="shared" si="7"/>
        <v>46071</v>
      </c>
      <c r="O24" s="27">
        <f t="shared" si="7"/>
        <v>46072</v>
      </c>
      <c r="P24" s="27">
        <f t="shared" si="7"/>
        <v>46073</v>
      </c>
      <c r="Q24" s="27">
        <f t="shared" si="7"/>
        <v>46074</v>
      </c>
      <c r="R24" s="27">
        <f t="shared" si="7"/>
        <v>46075</v>
      </c>
      <c r="V24" s="71"/>
      <c r="W24" s="71"/>
      <c r="X24" s="40" t="s">
        <v>93</v>
      </c>
      <c r="Y24" s="40">
        <f t="shared" si="5"/>
        <v>0</v>
      </c>
      <c r="Z24" s="133" t="s">
        <v>25</v>
      </c>
      <c r="AA24" s="133"/>
      <c r="AC24" s="40" t="s">
        <v>1328</v>
      </c>
      <c r="AD24" s="40">
        <f t="shared" si="6"/>
        <v>0</v>
      </c>
      <c r="AE24" s="40" t="s">
        <v>1328</v>
      </c>
      <c r="AG24" s="40">
        <v>6</v>
      </c>
      <c r="AH24" s="40" t="s">
        <v>864</v>
      </c>
      <c r="AI24" s="64"/>
      <c r="AJ24" s="40">
        <v>6</v>
      </c>
      <c r="AK24" s="40" t="s">
        <v>356</v>
      </c>
    </row>
    <row r="25" spans="1:37" ht="16.5" customHeight="1">
      <c r="A25" s="28">
        <v>1</v>
      </c>
      <c r="B25" s="19"/>
      <c r="C25" s="19"/>
      <c r="D25" s="19"/>
      <c r="E25" s="19"/>
      <c r="F25" s="19"/>
      <c r="G25" s="19"/>
      <c r="H25" s="19"/>
      <c r="I25" s="19"/>
      <c r="J25" s="19"/>
      <c r="K25" s="19"/>
      <c r="L25" s="19"/>
      <c r="M25" s="19"/>
      <c r="N25" s="19"/>
      <c r="O25" s="19"/>
      <c r="P25" s="19"/>
      <c r="Q25" s="19"/>
      <c r="R25" s="19"/>
      <c r="V25" s="71"/>
      <c r="W25" s="71"/>
      <c r="X25" s="40" t="s">
        <v>1265</v>
      </c>
      <c r="Y25" s="40">
        <f t="shared" si="5"/>
        <v>0</v>
      </c>
      <c r="Z25" s="133" t="s">
        <v>774</v>
      </c>
      <c r="AA25" s="133"/>
      <c r="AG25" s="40">
        <v>7</v>
      </c>
      <c r="AH25" s="40" t="s">
        <v>1349</v>
      </c>
      <c r="AJ25" s="40">
        <v>7</v>
      </c>
      <c r="AK25" s="40" t="s">
        <v>875</v>
      </c>
    </row>
    <row r="26" spans="1:37" ht="16.5" customHeight="1">
      <c r="A26" s="28">
        <v>2</v>
      </c>
      <c r="B26" s="19"/>
      <c r="C26" s="19"/>
      <c r="D26" s="19"/>
      <c r="E26" s="19"/>
      <c r="F26" s="19"/>
      <c r="G26" s="19"/>
      <c r="H26" s="19"/>
      <c r="I26" s="19"/>
      <c r="J26" s="19"/>
      <c r="K26" s="19"/>
      <c r="L26" s="19"/>
      <c r="M26" s="19"/>
      <c r="N26" s="19"/>
      <c r="O26" s="19"/>
      <c r="P26" s="19"/>
      <c r="Q26" s="19"/>
      <c r="R26" s="19"/>
      <c r="T26" s="71"/>
      <c r="V26" s="71"/>
      <c r="W26" s="40" t="s">
        <v>169</v>
      </c>
      <c r="X26" s="40" t="s">
        <v>25</v>
      </c>
      <c r="Y26" s="40">
        <f t="shared" si="5"/>
        <v>0</v>
      </c>
      <c r="Z26" s="133" t="s">
        <v>516</v>
      </c>
      <c r="AA26" s="133"/>
      <c r="AG26" s="40">
        <v>8</v>
      </c>
      <c r="AH26" s="40" t="s">
        <v>516</v>
      </c>
      <c r="AJ26" s="40">
        <v>8</v>
      </c>
      <c r="AK26" s="40" t="s">
        <v>356</v>
      </c>
    </row>
    <row r="27" spans="1:37" ht="16.5" customHeight="1">
      <c r="A27" s="28">
        <v>3</v>
      </c>
      <c r="B27" s="19"/>
      <c r="C27" s="19"/>
      <c r="D27" s="19"/>
      <c r="E27" s="19"/>
      <c r="F27" s="19"/>
      <c r="G27" s="19"/>
      <c r="H27" s="19"/>
      <c r="I27" s="19"/>
      <c r="J27" s="19"/>
      <c r="K27" s="19"/>
      <c r="L27" s="19"/>
      <c r="M27" s="19"/>
      <c r="N27" s="19"/>
      <c r="O27" s="19"/>
      <c r="P27" s="19"/>
      <c r="Q27" s="19"/>
      <c r="R27" s="19"/>
      <c r="T27" s="72"/>
      <c r="V27" s="71"/>
      <c r="W27" s="71"/>
      <c r="X27" s="40" t="s">
        <v>774</v>
      </c>
      <c r="Y27" s="40">
        <f t="shared" si="5"/>
        <v>0</v>
      </c>
      <c r="Z27" s="136" t="s">
        <v>864</v>
      </c>
      <c r="AA27" s="133"/>
      <c r="AG27" s="40">
        <v>9</v>
      </c>
      <c r="AH27" s="40" t="s">
        <v>312</v>
      </c>
      <c r="AJ27" s="40">
        <v>9</v>
      </c>
      <c r="AK27" s="40" t="s">
        <v>1159</v>
      </c>
    </row>
    <row r="28" spans="1:37" ht="16.5" customHeight="1">
      <c r="A28" s="28" t="s">
        <v>20</v>
      </c>
      <c r="B28" s="19"/>
      <c r="C28" s="19"/>
      <c r="D28" s="19"/>
      <c r="E28" s="19"/>
      <c r="F28" s="19"/>
      <c r="G28" s="19"/>
      <c r="H28" s="19"/>
      <c r="I28" s="19"/>
      <c r="J28" s="19"/>
      <c r="K28" s="19"/>
      <c r="L28" s="19"/>
      <c r="M28" s="19"/>
      <c r="N28" s="19"/>
      <c r="O28" s="19"/>
      <c r="P28" s="19"/>
      <c r="Q28" s="19"/>
      <c r="R28" s="19"/>
      <c r="T28" s="72"/>
      <c r="V28" s="71"/>
      <c r="W28" s="71"/>
      <c r="X28" s="40" t="s">
        <v>516</v>
      </c>
      <c r="Y28" s="40">
        <f t="shared" si="5"/>
        <v>0</v>
      </c>
      <c r="Z28" s="133" t="s">
        <v>1129</v>
      </c>
      <c r="AA28" s="133"/>
      <c r="AG28" s="40">
        <v>10</v>
      </c>
      <c r="AH28" s="40" t="s">
        <v>1114</v>
      </c>
      <c r="AJ28" s="40">
        <v>10</v>
      </c>
      <c r="AK28" s="40" t="s">
        <v>356</v>
      </c>
    </row>
    <row r="29" spans="1:37" ht="16.5" customHeight="1">
      <c r="A29" s="28" t="s">
        <v>0</v>
      </c>
      <c r="B29" s="19"/>
      <c r="C29" s="19"/>
      <c r="D29" s="19"/>
      <c r="E29" s="19"/>
      <c r="F29" s="19"/>
      <c r="G29" s="19"/>
      <c r="H29" s="19"/>
      <c r="I29" s="19"/>
      <c r="J29" s="19"/>
      <c r="K29" s="19"/>
      <c r="L29" s="19"/>
      <c r="M29" s="19"/>
      <c r="N29" s="19"/>
      <c r="O29" s="19"/>
      <c r="P29" s="19"/>
      <c r="Q29" s="19"/>
      <c r="R29" s="19"/>
      <c r="T29" s="72"/>
      <c r="V29" s="71"/>
      <c r="W29" s="71"/>
      <c r="X29" s="40" t="s">
        <v>312</v>
      </c>
      <c r="Y29" s="40">
        <f>COUNTIF($B$3:$R$5,X29)+COUNTIF($B$10:$R$12,X29)+COUNTIF($B$18:$R$20,X29)+COUNTIF($B$25:$R$27,X29)</f>
        <v>0</v>
      </c>
      <c r="Z29" s="133"/>
      <c r="AA29" s="133"/>
    </row>
    <row r="30" spans="1:37" ht="16.5" customHeight="1">
      <c r="A30" s="28" t="s">
        <v>1</v>
      </c>
      <c r="B30" s="19"/>
      <c r="C30" s="19"/>
      <c r="D30" s="19"/>
      <c r="E30" s="19"/>
      <c r="F30" s="19"/>
      <c r="G30" s="19"/>
      <c r="H30" s="19"/>
      <c r="I30" s="19"/>
      <c r="J30" s="19"/>
      <c r="K30" s="19"/>
      <c r="L30" s="19"/>
      <c r="M30" s="19"/>
      <c r="N30" s="19"/>
      <c r="O30" s="19"/>
      <c r="P30" s="19"/>
      <c r="Q30" s="19"/>
      <c r="R30" s="19"/>
      <c r="T30" s="71"/>
      <c r="V30" s="71"/>
      <c r="W30" s="71"/>
      <c r="X30" s="40" t="s">
        <v>1349</v>
      </c>
      <c r="Y30" s="40">
        <f t="shared" si="5"/>
        <v>0</v>
      </c>
      <c r="Z30" s="133"/>
      <c r="AA30" s="133"/>
    </row>
    <row r="31" spans="1:37" ht="16.5" customHeight="1">
      <c r="A31" s="111" t="s">
        <v>1377</v>
      </c>
      <c r="B31" s="111"/>
      <c r="C31" s="111"/>
      <c r="D31" s="111"/>
      <c r="E31" s="111"/>
      <c r="F31" s="111"/>
      <c r="G31" s="111"/>
      <c r="H31" s="111"/>
      <c r="I31" s="111"/>
      <c r="J31" s="111"/>
      <c r="K31" s="111"/>
      <c r="L31" s="111"/>
      <c r="M31" s="111"/>
      <c r="N31" s="111"/>
      <c r="O31" s="111"/>
      <c r="P31" s="111"/>
      <c r="Q31" s="145" t="s">
        <v>82</v>
      </c>
      <c r="R31" s="145"/>
      <c r="T31" s="72"/>
      <c r="X31" s="40" t="s">
        <v>1129</v>
      </c>
      <c r="Y31" s="40">
        <f t="shared" si="5"/>
        <v>0</v>
      </c>
      <c r="Z31" s="133"/>
      <c r="AA31" s="133"/>
    </row>
    <row r="32" spans="1:37" ht="16.5" customHeight="1">
      <c r="A32" s="111" t="s">
        <v>1378</v>
      </c>
      <c r="B32" s="111"/>
      <c r="C32" s="111"/>
      <c r="D32" s="111"/>
      <c r="E32" s="111"/>
      <c r="F32" s="111"/>
      <c r="G32" s="111"/>
      <c r="H32" s="111"/>
      <c r="I32" s="111"/>
      <c r="J32" s="111"/>
      <c r="K32" s="111"/>
      <c r="L32" s="111"/>
      <c r="M32" s="111"/>
      <c r="N32" s="111"/>
      <c r="O32" s="111"/>
      <c r="P32" s="111"/>
      <c r="Q32" s="85"/>
      <c r="R32" s="85"/>
      <c r="T32" s="72"/>
      <c r="X32" s="40" t="s">
        <v>153</v>
      </c>
      <c r="Y32" s="40">
        <f>COUNTIF($B$3:$R$5,X32)+COUNTIF($B$10:$R$12,X32)+COUNTIF($B$18:$R$20,X32)+COUNTIF($B$25:$R$27,X32)</f>
        <v>0</v>
      </c>
      <c r="Z32" s="133"/>
      <c r="AA32" s="133"/>
    </row>
    <row r="33" spans="1:30" ht="16.5" customHeight="1">
      <c r="W33" s="40" t="s">
        <v>1400</v>
      </c>
      <c r="X33" s="40" t="s">
        <v>864</v>
      </c>
      <c r="Y33" s="40">
        <f t="shared" si="5"/>
        <v>0</v>
      </c>
      <c r="Z33" s="133"/>
      <c r="AA33" s="133"/>
    </row>
    <row r="34" spans="1:30" ht="16.5" customHeight="1">
      <c r="R34" s="43"/>
      <c r="W34" s="40">
        <v>18</v>
      </c>
      <c r="X34" s="40">
        <f>W34*2</f>
        <v>36</v>
      </c>
      <c r="Y34" s="40">
        <f>SUM(Y19:Y33)</f>
        <v>0</v>
      </c>
      <c r="AC34" s="40">
        <f>W34</f>
        <v>18</v>
      </c>
      <c r="AD34" s="40">
        <f>SUM(AD19:AD24)</f>
        <v>0</v>
      </c>
    </row>
    <row r="35" spans="1:30" ht="16.5" customHeight="1">
      <c r="R35" s="55"/>
    </row>
    <row r="36" spans="1:30" ht="12.75" customHeight="1">
      <c r="R36" s="55"/>
    </row>
    <row r="37" spans="1:30">
      <c r="A37" s="40" t="s">
        <v>322</v>
      </c>
      <c r="B37" s="49"/>
      <c r="C37" s="49"/>
      <c r="D37" s="49"/>
      <c r="E37" s="49"/>
      <c r="F37" s="49"/>
      <c r="G37" s="49"/>
      <c r="H37" s="55"/>
      <c r="I37" s="49"/>
      <c r="J37" s="49"/>
      <c r="K37" s="49"/>
      <c r="L37" s="49"/>
      <c r="M37" s="49"/>
      <c r="N37" s="49"/>
      <c r="O37" s="49"/>
      <c r="R37" s="55"/>
    </row>
    <row r="38" spans="1:30">
      <c r="A38" s="49" t="s">
        <v>1062</v>
      </c>
      <c r="B38" s="49" t="s">
        <v>1063</v>
      </c>
      <c r="C38" s="49"/>
      <c r="D38" s="49"/>
      <c r="E38" s="49"/>
      <c r="F38" s="49"/>
      <c r="G38" s="49" t="s">
        <v>1000</v>
      </c>
      <c r="H38" s="49"/>
      <c r="I38" s="55"/>
      <c r="J38" s="55"/>
      <c r="K38" s="55" t="s">
        <v>1108</v>
      </c>
      <c r="L38" s="55"/>
      <c r="M38" s="55"/>
      <c r="N38" s="55"/>
      <c r="O38" s="55"/>
      <c r="P38" s="43"/>
      <c r="Q38" s="43"/>
      <c r="R38" s="55"/>
    </row>
    <row r="39" spans="1:30">
      <c r="A39" s="90"/>
      <c r="B39" s="50"/>
      <c r="C39" s="49"/>
      <c r="D39" s="49"/>
      <c r="E39" s="49"/>
      <c r="F39" s="49"/>
      <c r="G39" s="95"/>
      <c r="H39" s="49"/>
      <c r="I39" s="55"/>
      <c r="J39" s="55"/>
      <c r="K39" s="55" t="s">
        <v>1352</v>
      </c>
      <c r="L39" s="55"/>
      <c r="M39" s="55"/>
      <c r="N39" s="55"/>
      <c r="O39" s="55"/>
      <c r="P39" s="55"/>
      <c r="Q39" s="55"/>
      <c r="R39" s="55"/>
      <c r="S39" s="49"/>
      <c r="X39" s="71"/>
    </row>
    <row r="40" spans="1:30">
      <c r="A40" s="84"/>
      <c r="B40" s="50"/>
      <c r="C40" s="76"/>
      <c r="D40" s="49"/>
      <c r="E40" s="49"/>
      <c r="F40" s="49"/>
      <c r="G40" s="122"/>
      <c r="H40" s="49"/>
      <c r="I40" s="55"/>
      <c r="J40" s="55"/>
      <c r="K40" s="77" t="s">
        <v>1261</v>
      </c>
      <c r="L40" s="55"/>
      <c r="M40" s="55"/>
      <c r="N40" s="55"/>
      <c r="O40" s="55"/>
      <c r="P40" s="55"/>
      <c r="Q40" s="55"/>
      <c r="R40" s="55"/>
      <c r="S40" s="49"/>
      <c r="X40" s="71"/>
      <c r="Y40" s="71"/>
    </row>
    <row r="41" spans="1:30">
      <c r="A41" s="83"/>
      <c r="B41" s="49"/>
      <c r="C41" s="49"/>
      <c r="D41" s="49"/>
      <c r="E41" s="49"/>
      <c r="F41" s="76"/>
      <c r="G41" s="121"/>
      <c r="H41" s="55"/>
      <c r="I41" s="55"/>
      <c r="J41" s="55"/>
      <c r="K41" s="55" t="s">
        <v>1405</v>
      </c>
      <c r="L41" s="55"/>
      <c r="M41" s="55"/>
      <c r="N41" s="55"/>
      <c r="O41" s="55"/>
      <c r="P41" s="55"/>
      <c r="Q41" s="55"/>
      <c r="R41" s="55"/>
      <c r="S41" s="49"/>
      <c r="X41" s="71"/>
      <c r="Y41" s="71"/>
    </row>
    <row r="42" spans="1:30">
      <c r="A42" s="84"/>
      <c r="B42" s="49"/>
      <c r="C42" s="49"/>
      <c r="D42" s="49"/>
      <c r="E42" s="49"/>
      <c r="F42" s="77"/>
      <c r="G42" s="98"/>
      <c r="H42" s="49"/>
      <c r="I42" s="55"/>
      <c r="J42" s="55"/>
      <c r="L42" s="55"/>
      <c r="M42" s="55"/>
      <c r="N42" s="55"/>
      <c r="O42" s="55"/>
      <c r="P42" s="55"/>
      <c r="Q42" s="55"/>
      <c r="R42" s="55"/>
      <c r="S42" s="49"/>
    </row>
    <row r="43" spans="1:30">
      <c r="A43" s="117"/>
      <c r="B43" s="49"/>
      <c r="C43" s="49"/>
      <c r="D43" s="49"/>
      <c r="E43" s="49"/>
      <c r="F43" s="77"/>
      <c r="G43" s="117"/>
      <c r="H43" s="49"/>
      <c r="L43" s="40" t="s">
        <v>1343</v>
      </c>
      <c r="N43" s="71" t="s">
        <v>1344</v>
      </c>
      <c r="O43" s="40" t="s">
        <v>1395</v>
      </c>
      <c r="P43" s="40" t="s">
        <v>1343</v>
      </c>
      <c r="Q43" s="40" t="s">
        <v>1395</v>
      </c>
      <c r="R43" s="40" t="s">
        <v>1344</v>
      </c>
    </row>
    <row r="44" spans="1:30">
      <c r="A44" s="84"/>
      <c r="B44" s="49"/>
      <c r="C44" s="49"/>
      <c r="D44" s="49"/>
      <c r="E44" s="49"/>
      <c r="F44" s="77"/>
      <c r="G44" s="123"/>
      <c r="H44" s="49"/>
      <c r="K44" s="40" t="s">
        <v>2</v>
      </c>
      <c r="L44" s="40">
        <f>COUNTIF($B$3:$R$5,K44)+COUNTIF($B$10:$R$12,K44)</f>
        <v>0</v>
      </c>
      <c r="M44" s="40" t="s">
        <v>2</v>
      </c>
      <c r="N44" s="40">
        <f>COUNTIF($B$18:$R$20,M44)+COUNTIF($B$25:$R$27,M44)</f>
        <v>0</v>
      </c>
      <c r="O44" s="40" t="s">
        <v>1159</v>
      </c>
      <c r="P44" s="40">
        <f>COUNTIF($B$3:$R$5,O44)+COUNTIF($B$10:$R$12,O44)</f>
        <v>0</v>
      </c>
      <c r="Q44" s="40" t="s">
        <v>1159</v>
      </c>
      <c r="R44" s="40">
        <f>COUNTIF($B$18:$R$20,Q44)+COUNTIF($B$25:$R$27,Q44)</f>
        <v>0</v>
      </c>
    </row>
    <row r="45" spans="1:30">
      <c r="A45" s="90"/>
      <c r="B45" s="49"/>
      <c r="C45" s="49"/>
      <c r="D45" s="49"/>
      <c r="E45" s="49"/>
      <c r="F45" s="77"/>
      <c r="G45" s="83"/>
      <c r="H45" s="49"/>
      <c r="K45" s="40" t="s">
        <v>7</v>
      </c>
      <c r="L45" s="40">
        <f t="shared" ref="L45:L58" si="8">COUNTIF($B$3:$R$5,K45)+COUNTIF($B$10:$R$12,K45)</f>
        <v>0</v>
      </c>
      <c r="M45" s="40" t="s">
        <v>7</v>
      </c>
      <c r="N45" s="40">
        <f t="shared" ref="N45:N58" si="9">COUNTIF($B$18:$R$20,M45)+COUNTIF($B$25:$R$27,M45)</f>
        <v>0</v>
      </c>
      <c r="O45" s="40" t="s">
        <v>1065</v>
      </c>
      <c r="P45" s="40">
        <f t="shared" ref="P45:P49" si="10">COUNTIF($B$3:$R$5,O45)+COUNTIF($B$10:$R$12,O45)</f>
        <v>0</v>
      </c>
      <c r="Q45" s="40" t="s">
        <v>1065</v>
      </c>
      <c r="R45" s="40">
        <f t="shared" ref="R45:R49" si="11">COUNTIF($B$18:$R$20,Q45)+COUNTIF($B$25:$R$27,Q45)</f>
        <v>0</v>
      </c>
    </row>
    <row r="46" spans="1:30">
      <c r="A46" s="84"/>
      <c r="B46" s="49"/>
      <c r="C46" s="76"/>
      <c r="D46" s="49"/>
      <c r="E46" s="49"/>
      <c r="F46" s="49"/>
      <c r="G46" s="103"/>
      <c r="H46" s="49"/>
      <c r="K46" s="40" t="s">
        <v>107</v>
      </c>
      <c r="L46" s="40">
        <f t="shared" si="8"/>
        <v>0</v>
      </c>
      <c r="M46" s="40" t="s">
        <v>107</v>
      </c>
      <c r="N46" s="40">
        <f t="shared" si="9"/>
        <v>0</v>
      </c>
      <c r="O46" s="40" t="s">
        <v>37</v>
      </c>
      <c r="P46" s="40">
        <f t="shared" si="10"/>
        <v>0</v>
      </c>
      <c r="Q46" s="40" t="s">
        <v>37</v>
      </c>
      <c r="R46" s="40">
        <f t="shared" si="11"/>
        <v>0</v>
      </c>
    </row>
    <row r="47" spans="1:30">
      <c r="A47" s="90"/>
      <c r="B47" s="49"/>
      <c r="C47" s="49"/>
      <c r="D47" s="49"/>
      <c r="E47" s="49"/>
      <c r="F47" s="77"/>
      <c r="G47" s="125"/>
      <c r="H47" s="49"/>
      <c r="K47" s="40" t="s">
        <v>14</v>
      </c>
      <c r="L47" s="40">
        <f t="shared" si="8"/>
        <v>0</v>
      </c>
      <c r="M47" s="40" t="s">
        <v>14</v>
      </c>
      <c r="N47" s="40">
        <f t="shared" si="9"/>
        <v>0</v>
      </c>
      <c r="O47" s="40" t="s">
        <v>875</v>
      </c>
      <c r="P47" s="40">
        <f t="shared" si="10"/>
        <v>0</v>
      </c>
      <c r="Q47" s="40" t="s">
        <v>875</v>
      </c>
      <c r="R47" s="40">
        <f t="shared" si="11"/>
        <v>0</v>
      </c>
    </row>
    <row r="48" spans="1:30">
      <c r="A48" s="84"/>
      <c r="B48" s="49"/>
      <c r="C48" s="49"/>
      <c r="D48" s="49"/>
      <c r="E48" s="49"/>
      <c r="F48" s="77"/>
      <c r="G48" s="115"/>
      <c r="H48" s="49"/>
      <c r="K48" s="40" t="s">
        <v>314</v>
      </c>
      <c r="L48" s="40">
        <f t="shared" si="8"/>
        <v>0</v>
      </c>
      <c r="M48" s="40" t="s">
        <v>314</v>
      </c>
      <c r="N48" s="40">
        <f t="shared" si="9"/>
        <v>0</v>
      </c>
      <c r="O48" s="40" t="s">
        <v>36</v>
      </c>
      <c r="P48" s="40">
        <f t="shared" si="10"/>
        <v>0</v>
      </c>
      <c r="Q48" s="40" t="s">
        <v>36</v>
      </c>
      <c r="R48" s="40">
        <f t="shared" si="11"/>
        <v>0</v>
      </c>
    </row>
    <row r="49" spans="1:25">
      <c r="A49" s="95"/>
      <c r="B49" s="49"/>
      <c r="C49" s="49"/>
      <c r="D49" s="49"/>
      <c r="E49" s="49"/>
      <c r="F49" s="77"/>
      <c r="G49" s="83"/>
      <c r="H49" s="49"/>
      <c r="K49" s="40" t="s">
        <v>93</v>
      </c>
      <c r="L49" s="40">
        <f t="shared" si="8"/>
        <v>0</v>
      </c>
      <c r="M49" s="40" t="s">
        <v>93</v>
      </c>
      <c r="N49" s="40">
        <f t="shared" si="9"/>
        <v>0</v>
      </c>
      <c r="O49" s="40" t="s">
        <v>1328</v>
      </c>
      <c r="P49" s="40">
        <f t="shared" si="10"/>
        <v>0</v>
      </c>
      <c r="Q49" s="40" t="s">
        <v>1328</v>
      </c>
      <c r="R49" s="40">
        <f t="shared" si="11"/>
        <v>0</v>
      </c>
    </row>
    <row r="50" spans="1:25">
      <c r="A50" s="104"/>
      <c r="B50" s="49"/>
      <c r="C50" s="49"/>
      <c r="D50" s="49"/>
      <c r="E50" s="49"/>
      <c r="F50" s="49"/>
      <c r="G50" s="50"/>
      <c r="H50" s="49"/>
      <c r="K50" s="40" t="s">
        <v>1265</v>
      </c>
      <c r="L50" s="40">
        <f t="shared" si="8"/>
        <v>0</v>
      </c>
      <c r="M50" s="40" t="s">
        <v>1265</v>
      </c>
      <c r="N50" s="40">
        <f t="shared" si="9"/>
        <v>0</v>
      </c>
      <c r="P50" s="55"/>
      <c r="Q50" s="49"/>
      <c r="R50" s="49"/>
    </row>
    <row r="51" spans="1:25">
      <c r="A51" s="95"/>
      <c r="B51" s="49"/>
      <c r="C51" s="49"/>
      <c r="D51" s="49"/>
      <c r="E51" s="49"/>
      <c r="F51" s="77"/>
      <c r="G51" s="118"/>
      <c r="H51" s="49"/>
      <c r="K51" s="40" t="s">
        <v>25</v>
      </c>
      <c r="L51" s="40">
        <f t="shared" si="8"/>
        <v>0</v>
      </c>
      <c r="M51" s="40" t="s">
        <v>25</v>
      </c>
      <c r="N51" s="40">
        <f t="shared" si="9"/>
        <v>0</v>
      </c>
      <c r="P51" s="55"/>
      <c r="Q51" s="49"/>
      <c r="R51" s="49"/>
    </row>
    <row r="52" spans="1:25">
      <c r="A52" s="104"/>
      <c r="B52" s="49"/>
      <c r="C52" s="49"/>
      <c r="D52" s="49"/>
      <c r="E52" s="49"/>
      <c r="F52" s="49"/>
      <c r="G52" s="87"/>
      <c r="H52" s="49"/>
      <c r="I52" s="71"/>
      <c r="J52" s="71"/>
      <c r="K52" s="40" t="s">
        <v>774</v>
      </c>
      <c r="L52" s="40">
        <f t="shared" si="8"/>
        <v>0</v>
      </c>
      <c r="M52" s="40" t="s">
        <v>774</v>
      </c>
      <c r="N52" s="40">
        <f t="shared" si="9"/>
        <v>0</v>
      </c>
      <c r="P52" s="55"/>
      <c r="Q52" s="49"/>
      <c r="R52" s="49"/>
    </row>
    <row r="53" spans="1:25">
      <c r="A53" s="90"/>
      <c r="B53" s="49"/>
      <c r="C53" s="49"/>
      <c r="D53" s="49"/>
      <c r="E53" s="49"/>
      <c r="F53" s="49"/>
      <c r="G53" s="88"/>
      <c r="H53" s="49"/>
      <c r="I53" s="71"/>
      <c r="J53" s="71"/>
      <c r="K53" s="40" t="s">
        <v>516</v>
      </c>
      <c r="L53" s="40">
        <f t="shared" si="8"/>
        <v>0</v>
      </c>
      <c r="M53" s="40" t="s">
        <v>516</v>
      </c>
      <c r="N53" s="40">
        <f t="shared" si="9"/>
        <v>0</v>
      </c>
      <c r="P53" s="49"/>
      <c r="Q53" s="49"/>
      <c r="R53" s="49"/>
    </row>
    <row r="54" spans="1:25">
      <c r="A54" s="91"/>
      <c r="B54" s="49"/>
      <c r="C54" s="49"/>
      <c r="D54" s="49"/>
      <c r="E54" s="49"/>
      <c r="F54" s="49"/>
      <c r="G54" s="87"/>
      <c r="H54" s="49"/>
      <c r="I54" s="71"/>
      <c r="J54" s="71"/>
      <c r="K54" s="40" t="s">
        <v>153</v>
      </c>
      <c r="L54" s="40">
        <f t="shared" si="8"/>
        <v>0</v>
      </c>
      <c r="M54" s="40" t="s">
        <v>153</v>
      </c>
      <c r="N54" s="40">
        <f t="shared" si="9"/>
        <v>0</v>
      </c>
      <c r="P54" s="49"/>
      <c r="Q54" s="49"/>
      <c r="R54" s="49"/>
    </row>
    <row r="55" spans="1:25">
      <c r="A55" s="95"/>
      <c r="B55" s="73"/>
      <c r="C55" s="49"/>
      <c r="D55" s="49"/>
      <c r="E55" s="49"/>
      <c r="F55" s="76"/>
      <c r="G55" s="49"/>
      <c r="H55" s="49"/>
      <c r="I55" s="71"/>
      <c r="J55" s="71"/>
      <c r="K55" s="40" t="s">
        <v>1349</v>
      </c>
      <c r="L55" s="40">
        <f t="shared" si="8"/>
        <v>0</v>
      </c>
      <c r="M55" s="40" t="s">
        <v>1349</v>
      </c>
      <c r="N55" s="40">
        <f t="shared" si="9"/>
        <v>0</v>
      </c>
      <c r="P55" s="49"/>
      <c r="Q55" s="49"/>
      <c r="R55" s="49"/>
    </row>
    <row r="56" spans="1:25">
      <c r="A56" s="91"/>
      <c r="B56" s="49"/>
      <c r="C56" s="49"/>
      <c r="D56" s="49"/>
      <c r="E56" s="49"/>
      <c r="F56" s="49"/>
      <c r="G56" s="49"/>
      <c r="H56" s="49"/>
      <c r="I56" s="71"/>
      <c r="J56" s="71"/>
      <c r="K56" s="40" t="s">
        <v>1129</v>
      </c>
      <c r="L56" s="40">
        <f t="shared" si="8"/>
        <v>0</v>
      </c>
      <c r="M56" s="40" t="s">
        <v>1129</v>
      </c>
      <c r="N56" s="40">
        <f t="shared" si="9"/>
        <v>0</v>
      </c>
      <c r="P56" s="49"/>
      <c r="Q56" s="49"/>
      <c r="R56" s="49"/>
    </row>
    <row r="57" spans="1:25">
      <c r="A57" s="118"/>
      <c r="B57" s="49"/>
      <c r="C57" s="49"/>
      <c r="D57" s="49"/>
      <c r="E57" s="49"/>
      <c r="F57" s="49"/>
      <c r="G57" s="49"/>
      <c r="H57" s="49"/>
      <c r="I57" s="71"/>
      <c r="J57" s="71"/>
      <c r="K57" s="40" t="s">
        <v>312</v>
      </c>
      <c r="L57" s="40">
        <f t="shared" si="8"/>
        <v>0</v>
      </c>
      <c r="M57" s="40" t="s">
        <v>312</v>
      </c>
      <c r="N57" s="40">
        <f t="shared" si="9"/>
        <v>0</v>
      </c>
      <c r="P57" s="49"/>
      <c r="Q57" s="49"/>
      <c r="R57" s="49"/>
    </row>
    <row r="58" spans="1:25">
      <c r="A58" s="100"/>
      <c r="B58" s="49"/>
      <c r="C58" s="49"/>
      <c r="D58" s="49"/>
      <c r="E58" s="49"/>
      <c r="F58" s="49"/>
      <c r="G58" s="49"/>
      <c r="H58" s="49"/>
      <c r="K58" s="40" t="s">
        <v>864</v>
      </c>
      <c r="L58" s="40">
        <f t="shared" si="8"/>
        <v>0</v>
      </c>
      <c r="M58" s="40" t="s">
        <v>864</v>
      </c>
      <c r="N58" s="40">
        <f t="shared" si="9"/>
        <v>0</v>
      </c>
      <c r="P58" s="49"/>
      <c r="Q58" s="49"/>
      <c r="R58" s="49"/>
    </row>
    <row r="59" spans="1:25">
      <c r="A59" s="125"/>
      <c r="B59" s="49"/>
      <c r="C59" s="49"/>
      <c r="D59" s="49"/>
      <c r="E59" s="49"/>
      <c r="F59" s="49"/>
      <c r="G59" s="49"/>
      <c r="H59" s="49"/>
      <c r="L59" s="40">
        <f>SUM(L44:L58)</f>
        <v>0</v>
      </c>
      <c r="N59" s="40">
        <f>SUM(N44:N58)</f>
        <v>0</v>
      </c>
      <c r="P59" s="40">
        <f>SUM(P44:P58)</f>
        <v>0</v>
      </c>
      <c r="Q59" s="49"/>
      <c r="R59" s="40">
        <f>SUM(R44:R58)</f>
        <v>0</v>
      </c>
      <c r="V59" s="71"/>
      <c r="W59" s="71"/>
      <c r="X59" s="71"/>
      <c r="Y59" s="71"/>
    </row>
    <row r="60" spans="1:25">
      <c r="A60" s="126"/>
      <c r="B60" s="49"/>
      <c r="C60" s="49"/>
      <c r="D60" s="49"/>
      <c r="E60" s="49"/>
      <c r="F60" s="49"/>
      <c r="G60" s="49"/>
      <c r="H60" s="49"/>
      <c r="I60" s="49"/>
      <c r="J60" s="49"/>
      <c r="K60" s="49"/>
      <c r="L60" s="49"/>
      <c r="M60" s="49"/>
      <c r="N60" s="49"/>
      <c r="O60" s="49"/>
      <c r="P60" s="49"/>
      <c r="Q60" s="49"/>
      <c r="R60" s="49"/>
      <c r="S60" s="49"/>
      <c r="T60" s="71"/>
      <c r="U60" s="71"/>
      <c r="V60" s="71"/>
      <c r="W60" s="71"/>
      <c r="X60" s="71"/>
      <c r="Y60" s="71"/>
    </row>
    <row r="61" spans="1:25">
      <c r="A61" s="79"/>
      <c r="B61" s="73"/>
      <c r="C61" s="73"/>
      <c r="D61" s="73"/>
      <c r="E61" s="73"/>
      <c r="F61" s="73"/>
      <c r="G61" s="73"/>
      <c r="H61" s="73"/>
      <c r="I61" s="73"/>
      <c r="J61" s="73"/>
      <c r="K61" s="73"/>
      <c r="L61" s="73"/>
      <c r="M61" s="73"/>
      <c r="N61" s="73"/>
      <c r="O61" s="73"/>
      <c r="P61" s="73"/>
      <c r="Q61" s="73"/>
      <c r="R61" s="73"/>
      <c r="S61" s="49"/>
      <c r="T61" s="71"/>
      <c r="U61" s="71"/>
      <c r="V61" s="71"/>
      <c r="W61" s="71"/>
      <c r="X61" s="71"/>
      <c r="Y61" s="71"/>
    </row>
    <row r="62" spans="1:25">
      <c r="A62" s="50"/>
      <c r="B62" s="73"/>
      <c r="C62" s="73"/>
      <c r="D62" s="73"/>
      <c r="E62" s="73"/>
      <c r="F62" s="73"/>
      <c r="G62" s="73"/>
      <c r="H62" s="73"/>
      <c r="I62" s="73"/>
      <c r="J62" s="73"/>
      <c r="K62" s="73"/>
      <c r="L62" s="73"/>
      <c r="M62" s="73"/>
      <c r="N62" s="73"/>
      <c r="O62" s="73"/>
      <c r="P62" s="73"/>
      <c r="Q62" s="73"/>
      <c r="R62" s="73"/>
      <c r="S62" s="49"/>
      <c r="T62" s="71"/>
      <c r="U62" s="71"/>
      <c r="V62" s="71"/>
      <c r="W62" s="71"/>
      <c r="X62" s="71"/>
      <c r="Y62" s="71"/>
    </row>
    <row r="63" spans="1:25">
      <c r="A63" s="119"/>
      <c r="B63" s="73"/>
      <c r="C63" s="73"/>
      <c r="D63" s="73"/>
      <c r="E63" s="73"/>
      <c r="F63" s="73"/>
      <c r="G63" s="73"/>
      <c r="H63" s="73"/>
      <c r="I63" s="73"/>
      <c r="J63" s="73"/>
      <c r="K63" s="73"/>
      <c r="L63" s="73"/>
      <c r="M63" s="73"/>
      <c r="N63" s="73"/>
      <c r="O63" s="73"/>
      <c r="P63" s="73"/>
      <c r="Q63" s="73"/>
      <c r="R63" s="73"/>
      <c r="S63" s="49"/>
      <c r="T63" s="71"/>
      <c r="U63" s="71"/>
      <c r="V63" s="71"/>
      <c r="W63" s="71"/>
      <c r="X63" s="71"/>
      <c r="Y63" s="71"/>
    </row>
    <row r="64" spans="1:25">
      <c r="A64" s="50"/>
      <c r="B64" s="73"/>
      <c r="C64" s="73"/>
      <c r="D64" s="73"/>
      <c r="E64" s="73"/>
      <c r="F64" s="73"/>
      <c r="G64" s="73"/>
      <c r="H64" s="73"/>
      <c r="I64" s="73"/>
      <c r="J64" s="73"/>
      <c r="K64" s="73"/>
      <c r="L64" s="73"/>
      <c r="M64" s="73"/>
      <c r="N64" s="73"/>
      <c r="O64" s="73"/>
      <c r="P64" s="73"/>
      <c r="Q64" s="73"/>
      <c r="R64" s="73"/>
      <c r="S64" s="49"/>
      <c r="T64" s="71"/>
      <c r="U64" s="71"/>
      <c r="V64" s="71"/>
      <c r="W64" s="71"/>
      <c r="X64" s="71"/>
      <c r="Y64" s="71"/>
    </row>
    <row r="65" spans="1:19">
      <c r="A65" s="119"/>
      <c r="B65" s="73"/>
      <c r="C65" s="73"/>
      <c r="D65" s="73"/>
      <c r="E65" s="73"/>
      <c r="F65" s="73"/>
      <c r="G65" s="73"/>
      <c r="H65" s="73"/>
      <c r="I65" s="73"/>
      <c r="J65" s="73"/>
      <c r="K65" s="73"/>
      <c r="L65" s="73"/>
      <c r="M65" s="73"/>
      <c r="N65" s="73"/>
      <c r="O65" s="73"/>
      <c r="P65" s="73"/>
      <c r="Q65" s="73"/>
      <c r="R65" s="73"/>
      <c r="S65" s="73"/>
    </row>
    <row r="66" spans="1:19">
      <c r="A66" s="73"/>
      <c r="B66" s="73"/>
      <c r="C66" s="73"/>
      <c r="D66" s="73"/>
      <c r="E66" s="73"/>
      <c r="F66" s="73"/>
      <c r="G66" s="73"/>
      <c r="H66" s="73"/>
      <c r="I66" s="73"/>
      <c r="J66" s="73"/>
      <c r="K66" s="73"/>
      <c r="L66" s="73"/>
      <c r="M66" s="73"/>
      <c r="N66" s="73"/>
      <c r="O66" s="73"/>
      <c r="P66" s="73"/>
      <c r="Q66" s="73"/>
      <c r="R66" s="73"/>
      <c r="S66" s="73"/>
    </row>
    <row r="67" spans="1:19">
      <c r="A67" s="73"/>
      <c r="B67" s="73"/>
      <c r="C67" s="73"/>
      <c r="D67" s="73"/>
      <c r="E67" s="73"/>
      <c r="F67" s="73"/>
      <c r="G67" s="73"/>
      <c r="H67" s="73"/>
      <c r="I67" s="73"/>
      <c r="J67" s="73"/>
      <c r="K67" s="73"/>
      <c r="L67" s="73"/>
      <c r="M67" s="73"/>
      <c r="N67" s="73"/>
      <c r="O67" s="73"/>
      <c r="P67" s="73"/>
      <c r="Q67" s="73"/>
      <c r="R67" s="73"/>
      <c r="S67" s="73"/>
    </row>
    <row r="68" spans="1:19">
      <c r="A68" s="73"/>
      <c r="B68" s="73"/>
      <c r="C68" s="73"/>
      <c r="D68" s="73"/>
      <c r="E68" s="73"/>
      <c r="F68" s="73"/>
      <c r="G68" s="73"/>
      <c r="H68" s="73"/>
      <c r="I68" s="73"/>
      <c r="J68" s="73"/>
      <c r="K68" s="73"/>
      <c r="L68" s="73"/>
      <c r="M68" s="73"/>
      <c r="N68" s="73"/>
      <c r="O68" s="73"/>
      <c r="P68" s="73"/>
      <c r="Q68" s="73"/>
      <c r="R68" s="73"/>
      <c r="S68" s="73"/>
    </row>
    <row r="69" spans="1:19">
      <c r="A69" s="73"/>
      <c r="B69" s="73"/>
      <c r="C69" s="73"/>
      <c r="D69" s="73"/>
      <c r="E69" s="73"/>
      <c r="F69" s="73"/>
      <c r="G69" s="73"/>
      <c r="H69" s="73"/>
      <c r="I69" s="73"/>
      <c r="J69" s="73"/>
      <c r="K69" s="73"/>
      <c r="L69" s="73"/>
      <c r="M69" s="73"/>
      <c r="N69" s="73"/>
      <c r="O69" s="73"/>
      <c r="P69" s="73"/>
      <c r="Q69" s="73"/>
      <c r="R69" s="73"/>
      <c r="S69" s="73"/>
    </row>
    <row r="70" spans="1:19">
      <c r="A70" s="73"/>
      <c r="B70" s="73"/>
      <c r="C70" s="73"/>
      <c r="D70" s="73"/>
      <c r="E70" s="73"/>
      <c r="F70" s="73"/>
      <c r="G70" s="73"/>
      <c r="H70" s="73"/>
      <c r="I70" s="73"/>
      <c r="J70" s="73"/>
      <c r="K70" s="73"/>
      <c r="L70" s="73"/>
      <c r="M70" s="73"/>
      <c r="N70" s="73"/>
      <c r="O70" s="73"/>
      <c r="P70" s="73"/>
      <c r="Q70" s="73"/>
      <c r="R70" s="73"/>
      <c r="S70" s="73"/>
    </row>
    <row r="71" spans="1:19">
      <c r="S71" s="73"/>
    </row>
    <row r="72" spans="1:19">
      <c r="S72" s="73"/>
    </row>
    <row r="73" spans="1:19">
      <c r="S73" s="73"/>
    </row>
    <row r="74" spans="1:19">
      <c r="S74" s="73"/>
    </row>
  </sheetData>
  <mergeCells count="3">
    <mergeCell ref="K1:M1"/>
    <mergeCell ref="Q31:R31"/>
    <mergeCell ref="G1:H1"/>
  </mergeCells>
  <phoneticPr fontId="2"/>
  <pageMargins left="0.23622047244094491" right="0.23622047244094491" top="0" bottom="0" header="0.31496062992125984" footer="0.31496062992125984"/>
  <pageSetup paperSize="9" orientation="landscape"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14CAF-3D55-4079-9CC5-03781AA90525}">
  <dimension ref="A1:AQ74"/>
  <sheetViews>
    <sheetView zoomScale="115" zoomScaleNormal="115" zoomScaleSheetLayoutView="50" workbookViewId="0">
      <selection activeCell="O26" sqref="O26"/>
    </sheetView>
  </sheetViews>
  <sheetFormatPr defaultColWidth="9" defaultRowHeight="18.75"/>
  <cols>
    <col min="1" max="18" width="6.625" style="40" customWidth="1"/>
    <col min="19" max="19" width="3.625" style="40" customWidth="1"/>
    <col min="20" max="20" width="6.625" style="40" customWidth="1"/>
    <col min="21" max="21" width="3.625" style="40" customWidth="1"/>
    <col min="22" max="39" width="6.625" style="40" customWidth="1"/>
    <col min="40" max="40" width="3.625" style="40" customWidth="1"/>
    <col min="41" max="16384" width="9" style="40"/>
  </cols>
  <sheetData>
    <row r="1" spans="1:43">
      <c r="A1" s="127"/>
      <c r="B1" s="127"/>
      <c r="C1" s="127"/>
      <c r="D1" s="127"/>
      <c r="G1" s="144" t="s">
        <v>1439</v>
      </c>
      <c r="H1" s="144"/>
      <c r="I1" s="138" t="s">
        <v>1440</v>
      </c>
      <c r="J1" s="138" t="s">
        <v>1441</v>
      </c>
      <c r="K1" s="144" t="s">
        <v>1407</v>
      </c>
      <c r="L1" s="144"/>
      <c r="M1" s="144"/>
      <c r="P1" s="127"/>
      <c r="Q1" s="127"/>
      <c r="R1" s="127"/>
      <c r="W1" s="40" t="s">
        <v>1435</v>
      </c>
      <c r="X1" s="40" t="s">
        <v>1430</v>
      </c>
      <c r="Y1" s="40" t="s">
        <v>1431</v>
      </c>
      <c r="Z1" s="40" t="s">
        <v>957</v>
      </c>
      <c r="AA1" s="40" t="s">
        <v>958</v>
      </c>
      <c r="AC1" s="40" t="s">
        <v>1395</v>
      </c>
      <c r="AD1" s="40" t="s">
        <v>1431</v>
      </c>
      <c r="AE1" s="40" t="s">
        <v>1398</v>
      </c>
      <c r="AG1" s="40" t="s">
        <v>1438</v>
      </c>
      <c r="AH1" s="40" t="s">
        <v>1396</v>
      </c>
      <c r="AJ1" s="40" t="s">
        <v>1438</v>
      </c>
      <c r="AK1" s="40" t="s">
        <v>874</v>
      </c>
      <c r="AQ1" s="137"/>
    </row>
    <row r="2" spans="1:43" ht="16.5" customHeight="1">
      <c r="A2" s="139" t="s">
        <v>1442</v>
      </c>
      <c r="B2" s="31">
        <v>46012</v>
      </c>
      <c r="C2" s="116">
        <v>46013</v>
      </c>
      <c r="D2" s="116">
        <v>46014</v>
      </c>
      <c r="E2" s="116">
        <v>46015</v>
      </c>
      <c r="F2" s="116">
        <v>46016</v>
      </c>
      <c r="G2" s="116">
        <v>46017</v>
      </c>
      <c r="H2" s="116">
        <v>46018</v>
      </c>
      <c r="I2" s="116">
        <v>46019</v>
      </c>
      <c r="J2" s="116">
        <v>46020</v>
      </c>
      <c r="K2" s="116">
        <v>46021</v>
      </c>
      <c r="L2" s="116">
        <v>46022</v>
      </c>
      <c r="M2" s="140" t="s">
        <v>1440</v>
      </c>
      <c r="N2" s="60">
        <v>46023</v>
      </c>
      <c r="O2" s="60">
        <v>46024</v>
      </c>
      <c r="P2" s="60">
        <v>46025</v>
      </c>
      <c r="Q2" s="60">
        <v>46026</v>
      </c>
      <c r="R2" s="60">
        <v>46027</v>
      </c>
      <c r="T2" s="95"/>
      <c r="X2" s="40" t="s">
        <v>2</v>
      </c>
      <c r="Y2" s="40">
        <v>2</v>
      </c>
      <c r="Z2" s="40" t="s">
        <v>2</v>
      </c>
      <c r="AA2" s="40" t="s">
        <v>14</v>
      </c>
      <c r="AC2" s="40" t="s">
        <v>1159</v>
      </c>
      <c r="AD2" s="40">
        <v>2</v>
      </c>
      <c r="AE2" s="40" t="s">
        <v>1159</v>
      </c>
      <c r="AG2" s="40">
        <v>1</v>
      </c>
      <c r="AH2" s="40" t="s">
        <v>26</v>
      </c>
      <c r="AJ2" s="40">
        <v>1</v>
      </c>
      <c r="AK2" s="40" t="s">
        <v>1159</v>
      </c>
    </row>
    <row r="3" spans="1:43" ht="16.5" customHeight="1">
      <c r="A3" s="28">
        <v>1</v>
      </c>
      <c r="B3" s="19" t="s">
        <v>1458</v>
      </c>
      <c r="C3" s="19"/>
      <c r="D3" s="19"/>
      <c r="E3" s="19"/>
      <c r="F3" s="19"/>
      <c r="G3" s="19"/>
      <c r="H3" s="44"/>
      <c r="I3" s="44"/>
      <c r="J3" s="44"/>
      <c r="K3" s="44"/>
      <c r="L3" s="44"/>
      <c r="M3" s="36"/>
      <c r="N3" s="44"/>
      <c r="O3" s="143"/>
      <c r="P3" s="44"/>
      <c r="Q3" s="44"/>
      <c r="R3" s="19"/>
      <c r="T3" s="122"/>
      <c r="X3" s="40" t="s">
        <v>7</v>
      </c>
      <c r="Y3" s="40">
        <v>2</v>
      </c>
      <c r="Z3" s="40" t="s">
        <v>7</v>
      </c>
      <c r="AA3" s="40" t="s">
        <v>153</v>
      </c>
      <c r="AC3" s="40" t="s">
        <v>1065</v>
      </c>
      <c r="AD3" s="40">
        <v>4</v>
      </c>
      <c r="AE3" s="40" t="s">
        <v>1065</v>
      </c>
      <c r="AG3" s="40">
        <v>2</v>
      </c>
      <c r="AH3" s="40" t="s">
        <v>1114</v>
      </c>
      <c r="AJ3" s="40">
        <v>2</v>
      </c>
      <c r="AK3" s="40" t="s">
        <v>356</v>
      </c>
    </row>
    <row r="4" spans="1:43" ht="16.5" customHeight="1">
      <c r="A4" s="28">
        <v>2</v>
      </c>
      <c r="B4" s="19" t="s">
        <v>1459</v>
      </c>
      <c r="C4" s="19"/>
      <c r="D4" s="19"/>
      <c r="E4" s="19"/>
      <c r="F4" s="19"/>
      <c r="G4" s="19"/>
      <c r="H4" s="44"/>
      <c r="I4" s="44"/>
      <c r="J4" s="44"/>
      <c r="K4" s="44"/>
      <c r="L4" s="44"/>
      <c r="M4" s="36"/>
      <c r="N4" s="44"/>
      <c r="O4" s="44"/>
      <c r="P4" s="44"/>
      <c r="Q4" s="44"/>
      <c r="R4" s="19"/>
      <c r="T4" s="121"/>
      <c r="V4" s="41"/>
      <c r="X4" s="40" t="s">
        <v>107</v>
      </c>
      <c r="Y4" s="40">
        <v>3</v>
      </c>
      <c r="Z4" s="40" t="s">
        <v>107</v>
      </c>
      <c r="AA4" s="40" t="s">
        <v>314</v>
      </c>
      <c r="AC4" s="40" t="s">
        <v>37</v>
      </c>
      <c r="AD4" s="40">
        <v>4</v>
      </c>
      <c r="AE4" s="40" t="s">
        <v>37</v>
      </c>
      <c r="AG4" s="40">
        <v>3</v>
      </c>
      <c r="AH4" s="40" t="s">
        <v>327</v>
      </c>
      <c r="AI4" s="64"/>
      <c r="AJ4" s="40">
        <v>3</v>
      </c>
      <c r="AK4" s="40" t="s">
        <v>875</v>
      </c>
    </row>
    <row r="5" spans="1:43" ht="16.5" customHeight="1">
      <c r="A5" s="28">
        <v>3</v>
      </c>
      <c r="B5" s="19" t="s">
        <v>1460</v>
      </c>
      <c r="C5" s="19"/>
      <c r="D5" s="19"/>
      <c r="E5" s="19"/>
      <c r="F5" s="19"/>
      <c r="G5" s="19"/>
      <c r="H5" s="44"/>
      <c r="I5" s="44"/>
      <c r="J5" s="44"/>
      <c r="K5" s="44"/>
      <c r="L5" s="44"/>
      <c r="M5" s="36"/>
      <c r="N5" s="44"/>
      <c r="O5" s="44"/>
      <c r="P5" s="44"/>
      <c r="Q5" s="44"/>
      <c r="R5" s="19"/>
      <c r="T5" s="98"/>
      <c r="V5" s="41"/>
      <c r="X5" s="40" t="s">
        <v>14</v>
      </c>
      <c r="Y5" s="40">
        <v>2</v>
      </c>
      <c r="Z5" s="40" t="s">
        <v>312</v>
      </c>
      <c r="AA5" s="40" t="s">
        <v>93</v>
      </c>
      <c r="AC5" s="40" t="s">
        <v>875</v>
      </c>
      <c r="AD5" s="40">
        <v>2</v>
      </c>
      <c r="AE5" s="64" t="s">
        <v>875</v>
      </c>
      <c r="AG5" s="40">
        <v>4</v>
      </c>
      <c r="AH5" s="40" t="s">
        <v>153</v>
      </c>
      <c r="AJ5" s="40">
        <v>4</v>
      </c>
      <c r="AK5" s="40" t="s">
        <v>356</v>
      </c>
    </row>
    <row r="6" spans="1:43" ht="16.5" customHeight="1">
      <c r="A6" s="28" t="s">
        <v>20</v>
      </c>
      <c r="B6" s="19" t="s">
        <v>1461</v>
      </c>
      <c r="C6" s="19" t="s">
        <v>1463</v>
      </c>
      <c r="D6" s="19" t="s">
        <v>13</v>
      </c>
      <c r="E6" s="19" t="s">
        <v>13</v>
      </c>
      <c r="F6" s="19" t="s">
        <v>13</v>
      </c>
      <c r="G6" s="19" t="s">
        <v>13</v>
      </c>
      <c r="H6" s="44"/>
      <c r="I6" s="44"/>
      <c r="J6" s="44"/>
      <c r="K6" s="44"/>
      <c r="L6" s="44"/>
      <c r="M6" s="36"/>
      <c r="N6" s="44"/>
      <c r="O6" s="44"/>
      <c r="P6" s="44"/>
      <c r="Q6" s="44"/>
      <c r="R6" s="19" t="s">
        <v>1129</v>
      </c>
      <c r="T6" s="117"/>
      <c r="V6" s="41"/>
      <c r="X6" s="40" t="s">
        <v>314</v>
      </c>
      <c r="Y6" s="40">
        <v>2</v>
      </c>
      <c r="Z6" s="40" t="s">
        <v>1265</v>
      </c>
      <c r="AA6" s="68" t="s">
        <v>1349</v>
      </c>
      <c r="AC6" s="68" t="s">
        <v>36</v>
      </c>
      <c r="AD6" s="40">
        <v>4</v>
      </c>
      <c r="AE6" s="64" t="s">
        <v>36</v>
      </c>
      <c r="AG6" s="68">
        <v>5</v>
      </c>
      <c r="AH6" s="40" t="s">
        <v>25</v>
      </c>
      <c r="AJ6" s="40">
        <v>5</v>
      </c>
      <c r="AK6" s="40" t="s">
        <v>1328</v>
      </c>
    </row>
    <row r="7" spans="1:43" ht="16.5" customHeight="1">
      <c r="A7" s="28" t="s">
        <v>0</v>
      </c>
      <c r="B7" s="19" t="s">
        <v>1462</v>
      </c>
      <c r="C7" s="19" t="s">
        <v>1464</v>
      </c>
      <c r="D7" s="19" t="s">
        <v>13</v>
      </c>
      <c r="E7" s="19" t="s">
        <v>13</v>
      </c>
      <c r="F7" s="19" t="s">
        <v>13</v>
      </c>
      <c r="G7" s="19" t="s">
        <v>13</v>
      </c>
      <c r="H7" s="44"/>
      <c r="I7" s="44"/>
      <c r="J7" s="44"/>
      <c r="K7" s="44"/>
      <c r="L7" s="44"/>
      <c r="M7" s="36"/>
      <c r="N7" s="44"/>
      <c r="O7" s="44"/>
      <c r="P7" s="44"/>
      <c r="Q7" s="44"/>
      <c r="R7" s="19" t="s">
        <v>356</v>
      </c>
      <c r="T7" s="123"/>
      <c r="V7" s="41"/>
      <c r="X7" s="40" t="s">
        <v>93</v>
      </c>
      <c r="Y7" s="40">
        <v>3</v>
      </c>
      <c r="Z7" s="40" t="s">
        <v>25</v>
      </c>
      <c r="AC7" s="40" t="s">
        <v>1328</v>
      </c>
      <c r="AD7" s="40">
        <v>2</v>
      </c>
      <c r="AE7" s="64" t="s">
        <v>1328</v>
      </c>
      <c r="AG7" s="40">
        <v>6</v>
      </c>
      <c r="AH7" s="40" t="s">
        <v>864</v>
      </c>
      <c r="AJ7" s="40">
        <v>6</v>
      </c>
      <c r="AK7" s="40" t="s">
        <v>356</v>
      </c>
    </row>
    <row r="8" spans="1:43" ht="16.5" customHeight="1">
      <c r="A8" s="28" t="s">
        <v>1</v>
      </c>
      <c r="B8" s="29"/>
      <c r="C8" s="19"/>
      <c r="D8" s="19"/>
      <c r="E8" s="19"/>
      <c r="F8" s="19"/>
      <c r="G8" s="19"/>
      <c r="H8" s="44"/>
      <c r="I8" s="44"/>
      <c r="J8" s="44"/>
      <c r="K8" s="44"/>
      <c r="L8" s="44"/>
      <c r="M8" s="36"/>
      <c r="N8" s="44"/>
      <c r="O8" s="44"/>
      <c r="P8" s="44"/>
      <c r="Q8" s="44"/>
      <c r="R8" s="19"/>
      <c r="T8" s="142"/>
      <c r="X8" s="40" t="s">
        <v>1265</v>
      </c>
      <c r="Y8" s="40">
        <v>3</v>
      </c>
      <c r="Z8" s="40" t="s">
        <v>774</v>
      </c>
      <c r="AA8" s="64"/>
      <c r="AC8" s="64"/>
      <c r="AG8" s="64">
        <v>7</v>
      </c>
      <c r="AH8" s="40" t="s">
        <v>1349</v>
      </c>
      <c r="AI8" s="64"/>
      <c r="AJ8" s="40">
        <v>7</v>
      </c>
      <c r="AK8" s="40" t="s">
        <v>875</v>
      </c>
    </row>
    <row r="9" spans="1:43" ht="16.5" customHeight="1">
      <c r="A9" s="140" t="s">
        <v>1440</v>
      </c>
      <c r="B9" s="25">
        <v>46028</v>
      </c>
      <c r="C9" s="25">
        <v>46029</v>
      </c>
      <c r="D9" s="25">
        <v>46030</v>
      </c>
      <c r="E9" s="25">
        <v>46031</v>
      </c>
      <c r="F9" s="30">
        <v>46032</v>
      </c>
      <c r="G9" s="30">
        <v>46033</v>
      </c>
      <c r="H9" s="25">
        <v>46034</v>
      </c>
      <c r="I9" s="25">
        <v>46035</v>
      </c>
      <c r="J9" s="25">
        <v>46036</v>
      </c>
      <c r="K9" s="25">
        <v>46037</v>
      </c>
      <c r="L9" s="25">
        <v>46038</v>
      </c>
      <c r="M9" s="30">
        <v>46039</v>
      </c>
      <c r="N9" s="30">
        <v>46040</v>
      </c>
      <c r="O9" s="25">
        <v>46041</v>
      </c>
      <c r="P9" s="25">
        <v>46042</v>
      </c>
      <c r="Q9" s="19"/>
      <c r="R9" s="19"/>
      <c r="T9" s="103"/>
      <c r="W9" s="40" t="s">
        <v>169</v>
      </c>
      <c r="X9" s="40" t="s">
        <v>25</v>
      </c>
      <c r="Y9" s="40">
        <v>2</v>
      </c>
      <c r="Z9" s="40" t="s">
        <v>516</v>
      </c>
      <c r="AC9" s="64"/>
      <c r="AG9" s="40">
        <v>8</v>
      </c>
      <c r="AH9" s="40" t="s">
        <v>516</v>
      </c>
      <c r="AJ9" s="40">
        <v>8</v>
      </c>
      <c r="AK9" s="40" t="s">
        <v>356</v>
      </c>
    </row>
    <row r="10" spans="1:43" ht="16.5" customHeight="1">
      <c r="A10" s="36">
        <v>1</v>
      </c>
      <c r="B10" s="19"/>
      <c r="C10" s="19"/>
      <c r="D10" s="19"/>
      <c r="E10" s="19"/>
      <c r="F10" s="19" t="s">
        <v>312</v>
      </c>
      <c r="G10" s="19" t="s">
        <v>516</v>
      </c>
      <c r="H10" s="19"/>
      <c r="I10" s="19"/>
      <c r="J10" s="19"/>
      <c r="K10" s="19"/>
      <c r="L10" s="19"/>
      <c r="M10" s="19" t="s">
        <v>25</v>
      </c>
      <c r="N10" s="19" t="s">
        <v>7</v>
      </c>
      <c r="O10" s="19"/>
      <c r="P10" s="19"/>
      <c r="Q10" s="19"/>
      <c r="R10" s="19"/>
      <c r="T10" s="125"/>
      <c r="X10" s="40" t="s">
        <v>774</v>
      </c>
      <c r="Y10" s="40">
        <v>2</v>
      </c>
      <c r="Z10" s="40" t="s">
        <v>864</v>
      </c>
      <c r="AG10" s="40">
        <v>9</v>
      </c>
      <c r="AH10" s="40" t="s">
        <v>312</v>
      </c>
      <c r="AJ10" s="40">
        <v>9</v>
      </c>
      <c r="AK10" s="40" t="s">
        <v>1159</v>
      </c>
    </row>
    <row r="11" spans="1:43" ht="16.5" customHeight="1">
      <c r="A11" s="36">
        <v>2</v>
      </c>
      <c r="B11" s="19"/>
      <c r="C11" s="19"/>
      <c r="D11" s="19"/>
      <c r="E11" s="19"/>
      <c r="F11" s="19" t="s">
        <v>153</v>
      </c>
      <c r="G11" s="19" t="s">
        <v>814</v>
      </c>
      <c r="H11" s="19"/>
      <c r="I11" s="19"/>
      <c r="J11" s="19"/>
      <c r="K11" s="19"/>
      <c r="L11" s="19"/>
      <c r="M11" s="19" t="s">
        <v>864</v>
      </c>
      <c r="N11" s="19" t="s">
        <v>93</v>
      </c>
      <c r="O11" s="19"/>
      <c r="P11" s="19"/>
      <c r="Q11" s="19"/>
      <c r="R11" s="19"/>
      <c r="T11" s="115"/>
      <c r="X11" s="40" t="s">
        <v>516</v>
      </c>
      <c r="Y11" s="40">
        <v>2</v>
      </c>
      <c r="Z11" s="40" t="s">
        <v>1129</v>
      </c>
      <c r="AG11" s="40">
        <v>10</v>
      </c>
      <c r="AH11" s="40" t="s">
        <v>1114</v>
      </c>
      <c r="AJ11" s="40">
        <v>10</v>
      </c>
      <c r="AK11" s="40" t="s">
        <v>356</v>
      </c>
    </row>
    <row r="12" spans="1:43" ht="16.5" customHeight="1">
      <c r="A12" s="36">
        <v>3</v>
      </c>
      <c r="B12" s="19"/>
      <c r="C12" s="19"/>
      <c r="D12" s="19"/>
      <c r="E12" s="19"/>
      <c r="F12" s="19" t="s">
        <v>36</v>
      </c>
      <c r="G12" s="35" t="s">
        <v>1157</v>
      </c>
      <c r="H12" s="19"/>
      <c r="I12" s="19"/>
      <c r="J12" s="19"/>
      <c r="K12" s="19"/>
      <c r="L12" s="19"/>
      <c r="M12" s="19" t="s">
        <v>1065</v>
      </c>
      <c r="N12" s="19" t="s">
        <v>1328</v>
      </c>
      <c r="O12" s="19"/>
      <c r="P12" s="19"/>
      <c r="Q12" s="19"/>
      <c r="R12" s="19"/>
      <c r="T12" s="83"/>
      <c r="X12" s="40" t="s">
        <v>312</v>
      </c>
      <c r="Y12" s="40">
        <v>2</v>
      </c>
    </row>
    <row r="13" spans="1:43" ht="16.5" customHeight="1">
      <c r="A13" s="36" t="s">
        <v>20</v>
      </c>
      <c r="B13" s="19" t="s">
        <v>1129</v>
      </c>
      <c r="C13" s="19" t="s">
        <v>13</v>
      </c>
      <c r="D13" s="19" t="s">
        <v>13</v>
      </c>
      <c r="E13" s="19" t="s">
        <v>13</v>
      </c>
      <c r="F13" s="19" t="s">
        <v>13</v>
      </c>
      <c r="G13" s="19" t="s">
        <v>13</v>
      </c>
      <c r="H13" s="19" t="s">
        <v>153</v>
      </c>
      <c r="I13" s="19" t="s">
        <v>13</v>
      </c>
      <c r="J13" s="19" t="s">
        <v>13</v>
      </c>
      <c r="K13" s="19" t="s">
        <v>13</v>
      </c>
      <c r="L13" s="19" t="s">
        <v>13</v>
      </c>
      <c r="M13" s="19" t="s">
        <v>13</v>
      </c>
      <c r="N13" s="19" t="s">
        <v>13</v>
      </c>
      <c r="O13" s="19" t="s">
        <v>1465</v>
      </c>
      <c r="P13" s="19" t="s">
        <v>13</v>
      </c>
      <c r="Q13" s="19"/>
      <c r="R13" s="19"/>
      <c r="T13" s="104"/>
      <c r="X13" s="40" t="s">
        <v>1349</v>
      </c>
      <c r="Y13" s="40">
        <v>3</v>
      </c>
    </row>
    <row r="14" spans="1:43" ht="16.5" customHeight="1">
      <c r="A14" s="36" t="s">
        <v>0</v>
      </c>
      <c r="B14" s="19" t="s">
        <v>356</v>
      </c>
      <c r="C14" s="19" t="s">
        <v>13</v>
      </c>
      <c r="D14" s="19" t="s">
        <v>13</v>
      </c>
      <c r="E14" s="19" t="s">
        <v>13</v>
      </c>
      <c r="F14" s="19" t="s">
        <v>13</v>
      </c>
      <c r="G14" s="19" t="s">
        <v>13</v>
      </c>
      <c r="H14" s="19" t="s">
        <v>875</v>
      </c>
      <c r="I14" s="19" t="s">
        <v>13</v>
      </c>
      <c r="J14" s="19" t="s">
        <v>13</v>
      </c>
      <c r="K14" s="19" t="s">
        <v>13</v>
      </c>
      <c r="L14" s="19" t="s">
        <v>13</v>
      </c>
      <c r="M14" s="19" t="s">
        <v>13</v>
      </c>
      <c r="N14" s="19" t="s">
        <v>13</v>
      </c>
      <c r="O14" s="19" t="s">
        <v>356</v>
      </c>
      <c r="P14" s="19" t="s">
        <v>13</v>
      </c>
      <c r="Q14" s="19"/>
      <c r="R14" s="19"/>
      <c r="T14" s="95"/>
      <c r="X14" s="40" t="s">
        <v>1129</v>
      </c>
      <c r="Y14" s="40">
        <v>3</v>
      </c>
    </row>
    <row r="15" spans="1:43" ht="16.5" customHeight="1">
      <c r="A15" s="36" t="s">
        <v>1</v>
      </c>
      <c r="B15" s="19"/>
      <c r="C15" s="29"/>
      <c r="D15" s="19"/>
      <c r="E15" s="19"/>
      <c r="F15" s="19"/>
      <c r="G15" s="19"/>
      <c r="H15" s="19"/>
      <c r="I15" s="19"/>
      <c r="J15" s="19"/>
      <c r="K15" s="19"/>
      <c r="L15" s="19"/>
      <c r="M15" s="19"/>
      <c r="N15" s="19"/>
      <c r="O15" s="19"/>
      <c r="P15" s="19"/>
      <c r="Q15" s="19"/>
      <c r="R15" s="19"/>
      <c r="T15" s="104"/>
      <c r="X15" s="40" t="s">
        <v>153</v>
      </c>
      <c r="Y15" s="40">
        <v>2</v>
      </c>
    </row>
    <row r="16" spans="1:43" ht="16.5" customHeight="1">
      <c r="A16" s="42"/>
      <c r="B16" s="37"/>
      <c r="C16" s="37"/>
      <c r="D16" s="37"/>
      <c r="E16" s="37"/>
      <c r="F16" s="37"/>
      <c r="G16" s="37"/>
      <c r="H16" s="38"/>
      <c r="I16" s="38"/>
      <c r="J16" s="38"/>
      <c r="K16" s="38"/>
      <c r="L16" s="38"/>
      <c r="M16" s="38"/>
      <c r="N16" s="38"/>
      <c r="O16" s="38"/>
      <c r="P16" s="37"/>
      <c r="Q16" s="37"/>
      <c r="R16" s="39"/>
      <c r="T16" s="90"/>
      <c r="W16" s="40" t="s">
        <v>1400</v>
      </c>
      <c r="X16" s="40" t="s">
        <v>864</v>
      </c>
      <c r="Y16" s="40">
        <v>3</v>
      </c>
    </row>
    <row r="17" spans="1:37" ht="16.5" customHeight="1">
      <c r="A17" s="140" t="s">
        <v>1440</v>
      </c>
      <c r="B17" s="60">
        <v>46043</v>
      </c>
      <c r="C17" s="60">
        <v>46044</v>
      </c>
      <c r="D17" s="60">
        <v>46045</v>
      </c>
      <c r="E17" s="30">
        <v>46046</v>
      </c>
      <c r="F17" s="30">
        <v>46047</v>
      </c>
      <c r="G17" s="60">
        <v>46048</v>
      </c>
      <c r="H17" s="60">
        <v>46049</v>
      </c>
      <c r="I17" s="60">
        <v>46050</v>
      </c>
      <c r="J17" s="60">
        <v>46051</v>
      </c>
      <c r="K17" s="60">
        <v>46052</v>
      </c>
      <c r="L17" s="30">
        <v>46053</v>
      </c>
      <c r="M17" s="141" t="s">
        <v>1441</v>
      </c>
      <c r="N17" s="31">
        <v>46054</v>
      </c>
      <c r="O17" s="116">
        <v>46055</v>
      </c>
      <c r="P17" s="116">
        <v>46056</v>
      </c>
      <c r="Q17" s="116">
        <v>46057</v>
      </c>
      <c r="R17" s="116">
        <v>46058</v>
      </c>
      <c r="T17" s="91"/>
      <c r="W17" s="40">
        <v>18</v>
      </c>
      <c r="X17" s="40">
        <v>36</v>
      </c>
      <c r="Y17" s="40">
        <v>36</v>
      </c>
      <c r="AC17" s="40">
        <v>18</v>
      </c>
      <c r="AD17" s="40">
        <v>18</v>
      </c>
    </row>
    <row r="18" spans="1:37" ht="16.5" customHeight="1">
      <c r="A18" s="36">
        <v>1</v>
      </c>
      <c r="B18" s="19"/>
      <c r="C18" s="19"/>
      <c r="D18" s="19"/>
      <c r="E18" s="19" t="s">
        <v>2</v>
      </c>
      <c r="F18" s="19" t="s">
        <v>107</v>
      </c>
      <c r="G18" s="19"/>
      <c r="H18" s="19"/>
      <c r="I18" s="19"/>
      <c r="J18" s="19"/>
      <c r="K18" s="19"/>
      <c r="L18" s="19" t="s">
        <v>315</v>
      </c>
      <c r="M18" s="26"/>
      <c r="N18" s="19" t="s">
        <v>312</v>
      </c>
      <c r="O18" s="19"/>
      <c r="P18" s="19"/>
      <c r="Q18" s="19"/>
      <c r="R18" s="19"/>
      <c r="W18" s="40" t="s">
        <v>1435</v>
      </c>
      <c r="X18" s="40" t="s">
        <v>1393</v>
      </c>
      <c r="Y18" s="40" t="s">
        <v>1392</v>
      </c>
      <c r="Z18" s="40" t="s">
        <v>63</v>
      </c>
      <c r="AA18" s="40" t="s">
        <v>64</v>
      </c>
      <c r="AC18" s="40" t="s">
        <v>1395</v>
      </c>
      <c r="AD18" s="40" t="s">
        <v>1392</v>
      </c>
      <c r="AE18" s="40" t="s">
        <v>65</v>
      </c>
      <c r="AG18" s="40" t="s">
        <v>1438</v>
      </c>
      <c r="AH18" s="40" t="s">
        <v>1396</v>
      </c>
      <c r="AJ18" s="40" t="s">
        <v>1438</v>
      </c>
      <c r="AK18" s="40" t="s">
        <v>874</v>
      </c>
    </row>
    <row r="19" spans="1:37" ht="16.5" customHeight="1">
      <c r="A19" s="36">
        <v>2</v>
      </c>
      <c r="B19" s="19"/>
      <c r="C19" s="19"/>
      <c r="D19" s="19"/>
      <c r="E19" s="40" t="s">
        <v>1349</v>
      </c>
      <c r="F19" s="19" t="s">
        <v>14</v>
      </c>
      <c r="G19" s="19"/>
      <c r="H19" s="19"/>
      <c r="I19" s="19"/>
      <c r="J19" s="19"/>
      <c r="K19" s="19"/>
      <c r="L19" s="19" t="s">
        <v>774</v>
      </c>
      <c r="M19" s="26"/>
      <c r="N19" s="19" t="s">
        <v>1129</v>
      </c>
      <c r="O19" s="19"/>
      <c r="P19" s="19"/>
      <c r="Q19" s="19"/>
      <c r="R19" s="19"/>
      <c r="X19" s="40" t="s">
        <v>2</v>
      </c>
      <c r="Y19" s="40">
        <f t="shared" ref="Y19:Y33" si="0">COUNTIF($B$3:$R$5,X19)+COUNTIF($B$10:$R$12,X19)+COUNTIF($B$18:$R$20,X19)+COUNTIF($B$25:$R$27,X19)</f>
        <v>2</v>
      </c>
      <c r="Z19" s="133" t="s">
        <v>2</v>
      </c>
      <c r="AA19" s="133" t="s">
        <v>14</v>
      </c>
      <c r="AC19" s="40" t="s">
        <v>1159</v>
      </c>
      <c r="AD19" s="40">
        <f t="shared" ref="AD19:AD25" si="1">COUNTIF($B$3:$R$5,AC19)+COUNTIF($B$10:$R$12,AC19)+COUNTIF($B$18:$R$20,AC19)+COUNTIF($B$25:$R$27,AC19)</f>
        <v>3</v>
      </c>
      <c r="AE19" s="40" t="s">
        <v>1159</v>
      </c>
      <c r="AG19" s="40">
        <v>1</v>
      </c>
      <c r="AH19" s="40" t="s">
        <v>327</v>
      </c>
      <c r="AJ19" s="40">
        <v>1</v>
      </c>
      <c r="AK19" s="40" t="s">
        <v>356</v>
      </c>
    </row>
    <row r="20" spans="1:37" ht="16.5" customHeight="1">
      <c r="A20" s="36">
        <v>3</v>
      </c>
      <c r="B20" s="19"/>
      <c r="C20" s="19"/>
      <c r="D20" s="19"/>
      <c r="E20" s="19" t="s">
        <v>36</v>
      </c>
      <c r="F20" s="19" t="s">
        <v>37</v>
      </c>
      <c r="G20" s="19"/>
      <c r="H20" s="19"/>
      <c r="I20" s="19"/>
      <c r="J20" s="19"/>
      <c r="K20" s="19"/>
      <c r="L20" s="19" t="s">
        <v>1157</v>
      </c>
      <c r="M20" s="26"/>
      <c r="N20" s="19" t="s">
        <v>1469</v>
      </c>
      <c r="O20" s="19"/>
      <c r="P20" s="19"/>
      <c r="Q20" s="19"/>
      <c r="R20" s="19"/>
      <c r="T20" s="41"/>
      <c r="X20" s="40" t="s">
        <v>7</v>
      </c>
      <c r="Y20" s="40">
        <f t="shared" si="0"/>
        <v>2</v>
      </c>
      <c r="Z20" s="133" t="s">
        <v>7</v>
      </c>
      <c r="AA20" s="133" t="s">
        <v>153</v>
      </c>
      <c r="AC20" s="40" t="s">
        <v>1065</v>
      </c>
      <c r="AD20" s="40">
        <f t="shared" si="1"/>
        <v>1</v>
      </c>
      <c r="AE20" s="40" t="s">
        <v>1065</v>
      </c>
      <c r="AG20" s="40">
        <v>2</v>
      </c>
      <c r="AH20" s="40" t="s">
        <v>1114</v>
      </c>
      <c r="AI20" s="64"/>
      <c r="AJ20" s="40">
        <v>2</v>
      </c>
      <c r="AK20" s="40" t="s">
        <v>356</v>
      </c>
    </row>
    <row r="21" spans="1:37" ht="16.5" customHeight="1">
      <c r="A21" s="36" t="s">
        <v>20</v>
      </c>
      <c r="B21" s="19" t="s">
        <v>1465</v>
      </c>
      <c r="C21" s="19" t="s">
        <v>13</v>
      </c>
      <c r="D21" s="19" t="s">
        <v>13</v>
      </c>
      <c r="E21" s="19" t="s">
        <v>25</v>
      </c>
      <c r="F21" s="19" t="s">
        <v>13</v>
      </c>
      <c r="G21" s="19" t="s">
        <v>1349</v>
      </c>
      <c r="H21" s="19" t="s">
        <v>13</v>
      </c>
      <c r="I21" s="19" t="s">
        <v>13</v>
      </c>
      <c r="J21" s="19" t="s">
        <v>13</v>
      </c>
      <c r="K21" s="19" t="s">
        <v>13</v>
      </c>
      <c r="L21" s="19" t="s">
        <v>13</v>
      </c>
      <c r="M21" s="26"/>
      <c r="N21" s="19" t="s">
        <v>13</v>
      </c>
      <c r="O21" s="19" t="s">
        <v>864</v>
      </c>
      <c r="P21" s="19" t="s">
        <v>13</v>
      </c>
      <c r="Q21" s="19" t="s">
        <v>13</v>
      </c>
      <c r="R21" s="19" t="s">
        <v>13</v>
      </c>
      <c r="T21" s="41"/>
      <c r="X21" s="40" t="s">
        <v>107</v>
      </c>
      <c r="Y21" s="40">
        <f t="shared" si="0"/>
        <v>2</v>
      </c>
      <c r="Z21" s="133" t="s">
        <v>107</v>
      </c>
      <c r="AA21" s="133" t="s">
        <v>314</v>
      </c>
      <c r="AC21" s="40" t="s">
        <v>37</v>
      </c>
      <c r="AD21" s="40">
        <f t="shared" si="1"/>
        <v>2</v>
      </c>
      <c r="AE21" s="40" t="s">
        <v>37</v>
      </c>
      <c r="AG21" s="40">
        <v>3</v>
      </c>
      <c r="AH21" s="40" t="s">
        <v>153</v>
      </c>
      <c r="AI21" s="64"/>
      <c r="AJ21" s="40">
        <v>3</v>
      </c>
      <c r="AK21" s="40" t="s">
        <v>875</v>
      </c>
    </row>
    <row r="22" spans="1:37" ht="16.5" customHeight="1">
      <c r="A22" s="36" t="s">
        <v>0</v>
      </c>
      <c r="B22" s="19" t="s">
        <v>356</v>
      </c>
      <c r="C22" s="19" t="s">
        <v>13</v>
      </c>
      <c r="D22" s="19" t="s">
        <v>13</v>
      </c>
      <c r="E22" s="19" t="s">
        <v>13</v>
      </c>
      <c r="F22" s="19" t="s">
        <v>13</v>
      </c>
      <c r="G22" s="19" t="s">
        <v>1328</v>
      </c>
      <c r="H22" s="19" t="s">
        <v>13</v>
      </c>
      <c r="I22" s="19" t="s">
        <v>13</v>
      </c>
      <c r="J22" s="19" t="s">
        <v>13</v>
      </c>
      <c r="K22" s="19" t="s">
        <v>13</v>
      </c>
      <c r="L22" s="19" t="s">
        <v>13</v>
      </c>
      <c r="M22" s="26"/>
      <c r="N22" s="19" t="s">
        <v>13</v>
      </c>
      <c r="O22" s="19" t="s">
        <v>356</v>
      </c>
      <c r="P22" s="19" t="s">
        <v>13</v>
      </c>
      <c r="Q22" s="19" t="s">
        <v>13</v>
      </c>
      <c r="R22" s="19" t="s">
        <v>13</v>
      </c>
      <c r="T22" s="41"/>
      <c r="X22" s="40" t="s">
        <v>14</v>
      </c>
      <c r="Y22" s="40">
        <f>COUNTIF($B$3:$R$5,X22)+COUNTIF($B$10:$R$12,X22)+COUNTIF($B$18:$R$20,X22)+COUNTIF($B$25:$R$27,X22)</f>
        <v>2</v>
      </c>
      <c r="Z22" s="133" t="s">
        <v>312</v>
      </c>
      <c r="AA22" s="133" t="s">
        <v>93</v>
      </c>
      <c r="AC22" s="40" t="s">
        <v>875</v>
      </c>
      <c r="AD22" s="40">
        <f t="shared" si="1"/>
        <v>0</v>
      </c>
      <c r="AE22" s="40" t="s">
        <v>875</v>
      </c>
      <c r="AG22" s="40">
        <v>4</v>
      </c>
      <c r="AH22" s="40" t="s">
        <v>25</v>
      </c>
      <c r="AJ22" s="40">
        <v>4</v>
      </c>
      <c r="AK22" s="40" t="s">
        <v>356</v>
      </c>
    </row>
    <row r="23" spans="1:37" ht="16.5" customHeight="1">
      <c r="A23" s="36" t="s">
        <v>1</v>
      </c>
      <c r="B23" s="19"/>
      <c r="C23" s="19"/>
      <c r="D23" s="19"/>
      <c r="E23" s="19"/>
      <c r="F23" s="19"/>
      <c r="G23" s="19"/>
      <c r="H23" s="19"/>
      <c r="I23" s="19"/>
      <c r="J23" s="19"/>
      <c r="K23" s="19"/>
      <c r="L23" s="19"/>
      <c r="M23" s="26"/>
      <c r="N23" s="19"/>
      <c r="O23" s="19"/>
      <c r="P23" s="19"/>
      <c r="Q23" s="19"/>
      <c r="R23" s="19"/>
      <c r="T23" s="72"/>
      <c r="V23" s="71"/>
      <c r="W23" s="71"/>
      <c r="X23" s="40" t="s">
        <v>314</v>
      </c>
      <c r="Y23" s="40">
        <f>COUNTIF($B$3:$R$5,X23)+COUNTIF($B$10:$R$12,X23)+COUNTIF($B$18:$R$20,X23)+COUNTIF($B$25:$R$27,X23)</f>
        <v>2</v>
      </c>
      <c r="Z23" s="133" t="s">
        <v>1265</v>
      </c>
      <c r="AA23" s="133" t="s">
        <v>1349</v>
      </c>
      <c r="AC23" s="40" t="s">
        <v>36</v>
      </c>
      <c r="AD23" s="40">
        <f t="shared" si="1"/>
        <v>4</v>
      </c>
      <c r="AE23" s="40" t="s">
        <v>36</v>
      </c>
      <c r="AG23" s="40">
        <v>5</v>
      </c>
      <c r="AH23" s="40" t="s">
        <v>1349</v>
      </c>
      <c r="AI23" s="64"/>
      <c r="AJ23" s="40">
        <v>5</v>
      </c>
      <c r="AK23" s="40" t="s">
        <v>1328</v>
      </c>
    </row>
    <row r="24" spans="1:37" ht="16.5" customHeight="1">
      <c r="A24" s="141" t="s">
        <v>1441</v>
      </c>
      <c r="B24" s="27">
        <v>46059</v>
      </c>
      <c r="C24" s="31">
        <v>46060</v>
      </c>
      <c r="D24" s="31">
        <v>46061</v>
      </c>
      <c r="E24" s="27">
        <v>46062</v>
      </c>
      <c r="F24" s="27">
        <v>46063</v>
      </c>
      <c r="G24" s="27">
        <v>46064</v>
      </c>
      <c r="H24" s="27">
        <v>46065</v>
      </c>
      <c r="I24" s="27">
        <v>46066</v>
      </c>
      <c r="J24" s="31">
        <v>46067</v>
      </c>
      <c r="K24" s="31">
        <v>46068</v>
      </c>
      <c r="L24" s="27">
        <v>46069</v>
      </c>
      <c r="M24" s="27">
        <v>46070</v>
      </c>
      <c r="N24" s="27">
        <v>46071</v>
      </c>
      <c r="O24" s="27">
        <v>46072</v>
      </c>
      <c r="P24" s="27">
        <v>46073</v>
      </c>
      <c r="Q24" s="31">
        <v>46074</v>
      </c>
      <c r="R24" s="31">
        <v>46075</v>
      </c>
      <c r="V24" s="71"/>
      <c r="W24" s="71"/>
      <c r="X24" s="40" t="s">
        <v>93</v>
      </c>
      <c r="Y24" s="40">
        <f t="shared" si="0"/>
        <v>2</v>
      </c>
      <c r="Z24" s="133" t="s">
        <v>25</v>
      </c>
      <c r="AA24" s="133"/>
      <c r="AC24" s="40" t="s">
        <v>1328</v>
      </c>
      <c r="AD24" s="40">
        <f t="shared" si="1"/>
        <v>2</v>
      </c>
      <c r="AE24" s="40" t="s">
        <v>1328</v>
      </c>
      <c r="AG24" s="40">
        <v>6</v>
      </c>
      <c r="AH24" s="40" t="s">
        <v>864</v>
      </c>
      <c r="AI24" s="64"/>
      <c r="AJ24" s="40">
        <v>6</v>
      </c>
      <c r="AK24" s="40" t="s">
        <v>356</v>
      </c>
    </row>
    <row r="25" spans="1:37" ht="16.5" customHeight="1">
      <c r="A25" s="28">
        <v>1</v>
      </c>
      <c r="B25" s="19"/>
      <c r="C25" s="19" t="s">
        <v>516</v>
      </c>
      <c r="D25" s="19" t="s">
        <v>7</v>
      </c>
      <c r="E25" s="19"/>
      <c r="F25" s="19"/>
      <c r="G25" s="19"/>
      <c r="H25" s="19"/>
      <c r="I25" s="19"/>
      <c r="J25" s="19" t="s">
        <v>25</v>
      </c>
      <c r="K25" s="19" t="s">
        <v>2</v>
      </c>
      <c r="L25" s="19"/>
      <c r="M25" s="19"/>
      <c r="N25" s="19"/>
      <c r="O25" s="19"/>
      <c r="P25" s="19"/>
      <c r="Q25" s="19" t="s">
        <v>107</v>
      </c>
      <c r="R25" s="19" t="s">
        <v>315</v>
      </c>
      <c r="V25" s="71"/>
      <c r="W25" s="71"/>
      <c r="X25" s="40" t="s">
        <v>1265</v>
      </c>
      <c r="Y25" s="40">
        <f t="shared" si="0"/>
        <v>2</v>
      </c>
      <c r="Z25" s="133" t="s">
        <v>774</v>
      </c>
      <c r="AA25" s="133"/>
      <c r="AC25" s="40" t="s">
        <v>1469</v>
      </c>
      <c r="AD25" s="40">
        <f t="shared" si="1"/>
        <v>2</v>
      </c>
      <c r="AE25" s="40" t="s">
        <v>1469</v>
      </c>
      <c r="AG25" s="40">
        <v>7</v>
      </c>
      <c r="AH25" s="40" t="s">
        <v>516</v>
      </c>
      <c r="AJ25" s="40">
        <v>7</v>
      </c>
      <c r="AK25" s="40" t="s">
        <v>875</v>
      </c>
    </row>
    <row r="26" spans="1:37" ht="16.5" customHeight="1">
      <c r="A26" s="28">
        <v>2</v>
      </c>
      <c r="B26" s="19"/>
      <c r="C26" s="19" t="s">
        <v>814</v>
      </c>
      <c r="D26" s="19" t="s">
        <v>153</v>
      </c>
      <c r="E26" s="19"/>
      <c r="F26" s="19"/>
      <c r="G26" s="19"/>
      <c r="H26" s="19"/>
      <c r="I26" s="19"/>
      <c r="J26" s="19" t="s">
        <v>93</v>
      </c>
      <c r="K26" s="19" t="s">
        <v>14</v>
      </c>
      <c r="L26" s="19"/>
      <c r="M26" s="19"/>
      <c r="N26" s="19"/>
      <c r="O26" s="19"/>
      <c r="P26" s="19"/>
      <c r="Q26" s="19" t="s">
        <v>1129</v>
      </c>
      <c r="R26" s="19" t="s">
        <v>1349</v>
      </c>
      <c r="T26" s="71"/>
      <c r="V26" s="71"/>
      <c r="W26" s="40" t="s">
        <v>1466</v>
      </c>
      <c r="X26" s="40" t="s">
        <v>25</v>
      </c>
      <c r="Y26" s="40">
        <f t="shared" si="0"/>
        <v>2</v>
      </c>
      <c r="Z26" s="133" t="s">
        <v>516</v>
      </c>
      <c r="AA26" s="133"/>
      <c r="AG26" s="40">
        <v>8</v>
      </c>
      <c r="AH26" s="40" t="s">
        <v>312</v>
      </c>
      <c r="AJ26" s="40">
        <v>8</v>
      </c>
      <c r="AK26" s="40" t="s">
        <v>356</v>
      </c>
    </row>
    <row r="27" spans="1:37" ht="16.5" customHeight="1">
      <c r="A27" s="28">
        <v>3</v>
      </c>
      <c r="B27" s="19"/>
      <c r="C27" s="19" t="s">
        <v>36</v>
      </c>
      <c r="D27" s="19" t="s">
        <v>37</v>
      </c>
      <c r="E27" s="19"/>
      <c r="F27" s="19"/>
      <c r="G27" s="19"/>
      <c r="H27" s="19"/>
      <c r="I27" s="19"/>
      <c r="J27" s="19" t="s">
        <v>1328</v>
      </c>
      <c r="K27" s="19" t="s">
        <v>1469</v>
      </c>
      <c r="L27" s="19"/>
      <c r="M27" s="19"/>
      <c r="N27" s="19"/>
      <c r="O27" s="19"/>
      <c r="P27" s="19"/>
      <c r="Q27" s="19" t="s">
        <v>36</v>
      </c>
      <c r="R27" s="19" t="s">
        <v>1157</v>
      </c>
      <c r="T27" s="72"/>
      <c r="V27" s="71"/>
      <c r="W27" s="40" t="s">
        <v>1467</v>
      </c>
      <c r="X27" s="40" t="s">
        <v>774</v>
      </c>
      <c r="Y27" s="40">
        <f t="shared" si="0"/>
        <v>1</v>
      </c>
      <c r="Z27" s="136" t="s">
        <v>864</v>
      </c>
      <c r="AA27" s="133"/>
    </row>
    <row r="28" spans="1:37" ht="16.5" customHeight="1">
      <c r="A28" s="28" t="s">
        <v>20</v>
      </c>
      <c r="B28" s="19" t="s">
        <v>864</v>
      </c>
      <c r="C28" s="19" t="s">
        <v>13</v>
      </c>
      <c r="D28" s="19" t="s">
        <v>13</v>
      </c>
      <c r="E28" s="19" t="s">
        <v>516</v>
      </c>
      <c r="F28" s="19" t="s">
        <v>13</v>
      </c>
      <c r="G28" s="19" t="s">
        <v>13</v>
      </c>
      <c r="H28" s="19" t="s">
        <v>13</v>
      </c>
      <c r="I28" s="19" t="s">
        <v>13</v>
      </c>
      <c r="J28" s="19" t="s">
        <v>13</v>
      </c>
      <c r="K28" s="19" t="s">
        <v>13</v>
      </c>
      <c r="L28" s="19" t="s">
        <v>312</v>
      </c>
      <c r="M28" s="19" t="s">
        <v>13</v>
      </c>
      <c r="N28" s="19" t="s">
        <v>13</v>
      </c>
      <c r="O28" s="19" t="s">
        <v>13</v>
      </c>
      <c r="P28" s="19" t="s">
        <v>13</v>
      </c>
      <c r="Q28" s="19" t="s">
        <v>13</v>
      </c>
      <c r="R28" s="19" t="s">
        <v>13</v>
      </c>
      <c r="T28" s="72"/>
      <c r="V28" s="71"/>
      <c r="W28" s="71"/>
      <c r="X28" s="40" t="s">
        <v>516</v>
      </c>
      <c r="Y28" s="40">
        <f t="shared" si="0"/>
        <v>2</v>
      </c>
      <c r="Z28" s="133" t="s">
        <v>1129</v>
      </c>
      <c r="AA28" s="133"/>
    </row>
    <row r="29" spans="1:37" ht="16.5" customHeight="1">
      <c r="A29" s="28" t="s">
        <v>0</v>
      </c>
      <c r="B29" s="19" t="s">
        <v>356</v>
      </c>
      <c r="C29" s="19" t="s">
        <v>13</v>
      </c>
      <c r="D29" s="19" t="s">
        <v>13</v>
      </c>
      <c r="E29" s="19" t="s">
        <v>875</v>
      </c>
      <c r="F29" s="19" t="s">
        <v>13</v>
      </c>
      <c r="G29" s="19" t="s">
        <v>13</v>
      </c>
      <c r="H29" s="19" t="s">
        <v>13</v>
      </c>
      <c r="I29" s="19" t="s">
        <v>13</v>
      </c>
      <c r="J29" s="19" t="s">
        <v>13</v>
      </c>
      <c r="K29" s="19" t="s">
        <v>13</v>
      </c>
      <c r="L29" s="19" t="s">
        <v>356</v>
      </c>
      <c r="M29" s="19" t="s">
        <v>13</v>
      </c>
      <c r="N29" s="19" t="s">
        <v>13</v>
      </c>
      <c r="O29" s="19" t="s">
        <v>13</v>
      </c>
      <c r="P29" s="19" t="s">
        <v>13</v>
      </c>
      <c r="Q29" s="19" t="s">
        <v>13</v>
      </c>
      <c r="R29" s="19" t="s">
        <v>13</v>
      </c>
      <c r="T29" s="72"/>
      <c r="V29" s="71"/>
      <c r="W29" s="71"/>
      <c r="X29" s="40" t="s">
        <v>312</v>
      </c>
      <c r="Y29" s="40">
        <f>COUNTIF($B$3:$R$5,X29)+COUNTIF($B$10:$R$12,X29)+COUNTIF($B$18:$R$20,X29)+COUNTIF($B$25:$R$27,X29)</f>
        <v>2</v>
      </c>
      <c r="Z29" s="133"/>
      <c r="AA29" s="133"/>
    </row>
    <row r="30" spans="1:37" ht="16.5" customHeight="1">
      <c r="A30" s="28" t="s">
        <v>1</v>
      </c>
      <c r="B30" s="19"/>
      <c r="C30" s="19"/>
      <c r="D30" s="19"/>
      <c r="E30" s="19"/>
      <c r="F30" s="19"/>
      <c r="G30" s="19"/>
      <c r="H30" s="19"/>
      <c r="I30" s="19"/>
      <c r="J30" s="19"/>
      <c r="K30" s="19"/>
      <c r="L30" s="19"/>
      <c r="M30" s="19"/>
      <c r="N30" s="19"/>
      <c r="O30" s="19"/>
      <c r="P30" s="19"/>
      <c r="Q30" s="19"/>
      <c r="R30" s="19"/>
      <c r="T30" s="71"/>
      <c r="V30" s="71"/>
      <c r="W30" s="71"/>
      <c r="X30" s="40" t="s">
        <v>1349</v>
      </c>
      <c r="Y30" s="40">
        <f t="shared" si="0"/>
        <v>2</v>
      </c>
      <c r="Z30" s="133"/>
      <c r="AA30" s="133"/>
    </row>
    <row r="31" spans="1:37" ht="16.5" customHeight="1">
      <c r="A31" s="111" t="s">
        <v>1468</v>
      </c>
      <c r="B31" s="111"/>
      <c r="C31" s="111"/>
      <c r="D31" s="111"/>
      <c r="E31" s="111"/>
      <c r="F31" s="111"/>
      <c r="G31" s="111"/>
      <c r="H31" s="111"/>
      <c r="I31" s="111"/>
      <c r="J31" s="111"/>
      <c r="K31" s="111"/>
      <c r="L31" s="111"/>
      <c r="M31" s="111"/>
      <c r="N31" s="111"/>
      <c r="O31" s="111"/>
      <c r="P31" s="111"/>
      <c r="Q31" s="145" t="s">
        <v>82</v>
      </c>
      <c r="R31" s="145"/>
      <c r="T31" s="72"/>
      <c r="X31" s="40" t="s">
        <v>1129</v>
      </c>
      <c r="Y31" s="40">
        <f t="shared" si="0"/>
        <v>2</v>
      </c>
      <c r="Z31" s="133"/>
      <c r="AA31" s="133"/>
    </row>
    <row r="32" spans="1:37" ht="16.5" customHeight="1">
      <c r="R32" s="85"/>
      <c r="T32" s="72"/>
      <c r="X32" s="40" t="s">
        <v>153</v>
      </c>
      <c r="Y32" s="40">
        <f>COUNTIF($B$3:$R$5,X32)+COUNTIF($B$10:$R$12,X32)+COUNTIF($B$18:$R$20,X32)+COUNTIF($B$25:$R$27,X32)</f>
        <v>2</v>
      </c>
      <c r="Z32" s="133"/>
      <c r="AA32" s="133"/>
    </row>
    <row r="33" spans="1:30" ht="16.5" customHeight="1">
      <c r="W33" s="40" t="s">
        <v>1400</v>
      </c>
      <c r="X33" s="40" t="s">
        <v>864</v>
      </c>
      <c r="Y33" s="40">
        <f t="shared" si="0"/>
        <v>1</v>
      </c>
      <c r="Z33" s="133"/>
      <c r="AA33" s="133"/>
    </row>
    <row r="34" spans="1:30" ht="16.5" customHeight="1">
      <c r="R34" s="43"/>
      <c r="W34" s="40">
        <v>14</v>
      </c>
      <c r="X34" s="40">
        <f>W34*2</f>
        <v>28</v>
      </c>
      <c r="Y34" s="40">
        <f>SUM(Y19:Y33)</f>
        <v>28</v>
      </c>
      <c r="AC34" s="40">
        <f>W34</f>
        <v>14</v>
      </c>
      <c r="AD34" s="40">
        <f>SUM(AD19:AD25)</f>
        <v>14</v>
      </c>
    </row>
    <row r="35" spans="1:30" ht="16.5" customHeight="1">
      <c r="R35" s="55"/>
    </row>
    <row r="36" spans="1:30" ht="12.75" customHeight="1">
      <c r="R36" s="55"/>
    </row>
    <row r="37" spans="1:30">
      <c r="A37" s="40" t="s">
        <v>322</v>
      </c>
      <c r="B37" s="49"/>
      <c r="C37" s="49"/>
      <c r="D37" s="49"/>
      <c r="E37" s="49"/>
      <c r="F37" s="49"/>
      <c r="G37" s="49"/>
      <c r="H37" s="55"/>
      <c r="I37" s="49"/>
      <c r="J37" s="49"/>
      <c r="K37" s="49"/>
      <c r="L37" s="49"/>
      <c r="M37" s="49"/>
      <c r="N37" s="49"/>
      <c r="O37" s="49"/>
      <c r="R37" s="55"/>
    </row>
    <row r="38" spans="1:30">
      <c r="A38" s="49" t="s">
        <v>1062</v>
      </c>
      <c r="B38" s="49" t="s">
        <v>1063</v>
      </c>
      <c r="C38" s="49"/>
      <c r="D38" s="49"/>
      <c r="E38" s="49"/>
      <c r="F38" s="49"/>
      <c r="G38" s="49" t="s">
        <v>1000</v>
      </c>
      <c r="H38" s="49"/>
      <c r="I38" s="55"/>
      <c r="J38" s="55"/>
      <c r="K38" s="55" t="s">
        <v>1108</v>
      </c>
      <c r="L38" s="55"/>
      <c r="M38" s="55"/>
      <c r="N38" s="55"/>
      <c r="O38" s="55"/>
      <c r="P38" s="43"/>
      <c r="Q38" s="43"/>
      <c r="R38" s="55"/>
    </row>
    <row r="39" spans="1:30">
      <c r="A39" s="90" t="s">
        <v>1443</v>
      </c>
      <c r="B39" s="50"/>
      <c r="C39" s="49"/>
      <c r="D39" s="49"/>
      <c r="E39" s="49"/>
      <c r="F39" s="49"/>
      <c r="G39" s="95" t="s">
        <v>1453</v>
      </c>
      <c r="H39" s="49"/>
      <c r="I39" s="55"/>
      <c r="J39" s="55"/>
      <c r="K39" s="55" t="s">
        <v>1352</v>
      </c>
      <c r="L39" s="55"/>
      <c r="M39" s="55"/>
      <c r="N39" s="55"/>
      <c r="O39" s="55"/>
      <c r="P39" s="55"/>
      <c r="Q39" s="55"/>
      <c r="R39" s="55"/>
      <c r="S39" s="49"/>
      <c r="X39" s="71"/>
    </row>
    <row r="40" spans="1:30">
      <c r="A40" s="84" t="s">
        <v>1007</v>
      </c>
      <c r="B40" s="50"/>
      <c r="C40" s="76"/>
      <c r="D40" s="49"/>
      <c r="E40" s="49"/>
      <c r="F40" s="49"/>
      <c r="G40" s="122" t="s">
        <v>1454</v>
      </c>
      <c r="H40" s="49"/>
      <c r="I40" s="55"/>
      <c r="J40" s="55"/>
      <c r="K40" s="77" t="s">
        <v>1261</v>
      </c>
      <c r="L40" s="55"/>
      <c r="M40" s="55"/>
      <c r="N40" s="55"/>
      <c r="O40" s="55"/>
      <c r="P40" s="55"/>
      <c r="Q40" s="55"/>
      <c r="R40" s="55"/>
      <c r="S40" s="49"/>
      <c r="X40" s="71"/>
      <c r="Y40" s="71"/>
    </row>
    <row r="41" spans="1:30">
      <c r="A41" s="83" t="s">
        <v>1444</v>
      </c>
      <c r="B41" s="49"/>
      <c r="C41" s="49"/>
      <c r="D41" s="49"/>
      <c r="E41" s="49"/>
      <c r="F41" s="76"/>
      <c r="G41" s="121" t="s">
        <v>1455</v>
      </c>
      <c r="H41" s="55"/>
      <c r="I41" s="55"/>
      <c r="J41" s="55"/>
      <c r="K41" s="55" t="s">
        <v>1405</v>
      </c>
      <c r="L41" s="55"/>
      <c r="M41" s="55"/>
      <c r="N41" s="55"/>
      <c r="O41" s="55"/>
      <c r="P41" s="55"/>
      <c r="Q41" s="55"/>
      <c r="R41" s="55"/>
      <c r="S41" s="49"/>
      <c r="X41" s="71"/>
      <c r="Y41" s="71"/>
    </row>
    <row r="42" spans="1:30">
      <c r="A42" s="84" t="s">
        <v>1003</v>
      </c>
      <c r="B42" s="49"/>
      <c r="C42" s="49"/>
      <c r="D42" s="49"/>
      <c r="E42" s="49"/>
      <c r="F42" s="77"/>
      <c r="G42" s="98" t="s">
        <v>1003</v>
      </c>
      <c r="H42" s="49"/>
      <c r="I42" s="55"/>
      <c r="J42" s="55"/>
      <c r="L42" s="55"/>
      <c r="M42" s="55"/>
      <c r="N42" s="55"/>
      <c r="O42" s="55"/>
      <c r="P42" s="55"/>
      <c r="Q42" s="55"/>
      <c r="R42" s="55"/>
      <c r="S42" s="49"/>
    </row>
    <row r="43" spans="1:30">
      <c r="A43" s="117" t="s">
        <v>1445</v>
      </c>
      <c r="B43" s="49"/>
      <c r="C43" s="49"/>
      <c r="D43" s="49"/>
      <c r="E43" s="49"/>
      <c r="F43" s="77"/>
      <c r="G43" s="117" t="s">
        <v>1456</v>
      </c>
      <c r="H43" s="49"/>
      <c r="L43" s="40" t="s">
        <v>1343</v>
      </c>
      <c r="N43" s="71" t="s">
        <v>1344</v>
      </c>
      <c r="O43" s="40" t="s">
        <v>1395</v>
      </c>
      <c r="P43" s="40" t="s">
        <v>1343</v>
      </c>
      <c r="Q43" s="40" t="s">
        <v>1395</v>
      </c>
      <c r="R43" s="40" t="s">
        <v>1344</v>
      </c>
    </row>
    <row r="44" spans="1:30">
      <c r="A44" s="84" t="s">
        <v>1446</v>
      </c>
      <c r="B44" s="49"/>
      <c r="C44" s="49"/>
      <c r="D44" s="49"/>
      <c r="E44" s="49"/>
      <c r="F44" s="77"/>
      <c r="G44" s="123" t="s">
        <v>1012</v>
      </c>
      <c r="H44" s="49"/>
      <c r="K44" s="40" t="s">
        <v>2</v>
      </c>
      <c r="L44" s="40">
        <f>COUNTIF($B$3:$R$5,K44)+COUNTIF($B$10:$R$12,K44)</f>
        <v>0</v>
      </c>
      <c r="M44" s="40" t="s">
        <v>2</v>
      </c>
      <c r="N44" s="40">
        <f>COUNTIF($B$18:$R$20,M44)+COUNTIF($B$25:$R$27,M44)</f>
        <v>2</v>
      </c>
      <c r="O44" s="40" t="s">
        <v>1159</v>
      </c>
      <c r="P44" s="40">
        <f>COUNTIF($B$3:$R$5,O44)+COUNTIF($B$10:$R$12,O44)</f>
        <v>1</v>
      </c>
      <c r="Q44" s="40" t="s">
        <v>1159</v>
      </c>
      <c r="R44" s="40">
        <f>COUNTIF($B$18:$R$20,Q44)+COUNTIF($B$25:$R$27,Q44)</f>
        <v>2</v>
      </c>
    </row>
    <row r="45" spans="1:30">
      <c r="A45" s="90" t="s">
        <v>1447</v>
      </c>
      <c r="B45" s="49"/>
      <c r="C45" s="49"/>
      <c r="D45" s="49"/>
      <c r="E45" s="49"/>
      <c r="F45" s="77"/>
      <c r="G45" s="142">
        <v>45697</v>
      </c>
      <c r="H45" s="49"/>
      <c r="K45" s="40" t="s">
        <v>7</v>
      </c>
      <c r="L45" s="40">
        <f t="shared" ref="L45:L58" si="2">COUNTIF($B$3:$R$5,K45)+COUNTIF($B$10:$R$12,K45)</f>
        <v>1</v>
      </c>
      <c r="M45" s="40" t="s">
        <v>7</v>
      </c>
      <c r="N45" s="40">
        <f t="shared" ref="N45:N58" si="3">COUNTIF($B$18:$R$20,M45)+COUNTIF($B$25:$R$27,M45)</f>
        <v>1</v>
      </c>
      <c r="O45" s="40" t="s">
        <v>1065</v>
      </c>
      <c r="P45" s="40">
        <f t="shared" ref="P45:P50" si="4">COUNTIF($B$3:$R$5,O45)+COUNTIF($B$10:$R$12,O45)</f>
        <v>1</v>
      </c>
      <c r="Q45" s="40" t="s">
        <v>1065</v>
      </c>
      <c r="R45" s="40">
        <f t="shared" ref="R45:R50" si="5">COUNTIF($B$18:$R$20,Q45)+COUNTIF($B$25:$R$27,Q45)</f>
        <v>0</v>
      </c>
    </row>
    <row r="46" spans="1:30">
      <c r="A46" s="84" t="s">
        <v>1012</v>
      </c>
      <c r="B46" s="49"/>
      <c r="C46" s="76"/>
      <c r="D46" s="49"/>
      <c r="E46" s="49"/>
      <c r="F46" s="49"/>
      <c r="G46" s="103" t="s">
        <v>1023</v>
      </c>
      <c r="H46" s="49"/>
      <c r="K46" s="40" t="s">
        <v>107</v>
      </c>
      <c r="L46" s="40">
        <f t="shared" si="2"/>
        <v>0</v>
      </c>
      <c r="M46" s="40" t="s">
        <v>107</v>
      </c>
      <c r="N46" s="40">
        <f t="shared" si="3"/>
        <v>2</v>
      </c>
      <c r="O46" s="40" t="s">
        <v>37</v>
      </c>
      <c r="P46" s="40">
        <f t="shared" si="4"/>
        <v>0</v>
      </c>
      <c r="Q46" s="40" t="s">
        <v>37</v>
      </c>
      <c r="R46" s="40">
        <f t="shared" si="5"/>
        <v>2</v>
      </c>
    </row>
    <row r="47" spans="1:30">
      <c r="A47" s="90" t="s">
        <v>1448</v>
      </c>
      <c r="B47" s="49"/>
      <c r="C47" s="49"/>
      <c r="D47" s="49"/>
      <c r="E47" s="49"/>
      <c r="F47" s="77"/>
      <c r="G47" s="125" t="s">
        <v>1457</v>
      </c>
      <c r="H47" s="49"/>
      <c r="K47" s="40" t="s">
        <v>14</v>
      </c>
      <c r="L47" s="40">
        <f t="shared" si="2"/>
        <v>0</v>
      </c>
      <c r="M47" s="40" t="s">
        <v>14</v>
      </c>
      <c r="N47" s="40">
        <f t="shared" si="3"/>
        <v>2</v>
      </c>
      <c r="O47" s="40" t="s">
        <v>875</v>
      </c>
      <c r="P47" s="40">
        <f t="shared" si="4"/>
        <v>0</v>
      </c>
      <c r="Q47" s="40" t="s">
        <v>875</v>
      </c>
      <c r="R47" s="40">
        <f t="shared" si="5"/>
        <v>0</v>
      </c>
    </row>
    <row r="48" spans="1:30">
      <c r="A48" s="84" t="s">
        <v>1023</v>
      </c>
      <c r="B48" s="49"/>
      <c r="C48" s="49"/>
      <c r="D48" s="49"/>
      <c r="E48" s="49"/>
      <c r="F48" s="77"/>
      <c r="G48" s="115" t="s">
        <v>1450</v>
      </c>
      <c r="H48" s="49"/>
      <c r="K48" s="40" t="s">
        <v>314</v>
      </c>
      <c r="L48" s="40">
        <f t="shared" si="2"/>
        <v>1</v>
      </c>
      <c r="M48" s="40" t="s">
        <v>314</v>
      </c>
      <c r="N48" s="40">
        <f t="shared" si="3"/>
        <v>1</v>
      </c>
      <c r="O48" s="40" t="s">
        <v>36</v>
      </c>
      <c r="P48" s="40">
        <f t="shared" si="4"/>
        <v>1</v>
      </c>
      <c r="Q48" s="40" t="s">
        <v>36</v>
      </c>
      <c r="R48" s="40">
        <f t="shared" si="5"/>
        <v>3</v>
      </c>
    </row>
    <row r="49" spans="1:25">
      <c r="A49" s="95" t="s">
        <v>1449</v>
      </c>
      <c r="B49" s="49"/>
      <c r="C49" s="49"/>
      <c r="D49" s="49"/>
      <c r="E49" s="49"/>
      <c r="F49" s="77"/>
      <c r="G49" s="83"/>
      <c r="H49" s="49"/>
      <c r="K49" s="40" t="s">
        <v>93</v>
      </c>
      <c r="L49" s="40">
        <f t="shared" si="2"/>
        <v>1</v>
      </c>
      <c r="M49" s="40" t="s">
        <v>93</v>
      </c>
      <c r="N49" s="40">
        <f t="shared" si="3"/>
        <v>1</v>
      </c>
      <c r="O49" s="40" t="s">
        <v>1328</v>
      </c>
      <c r="P49" s="40">
        <f t="shared" si="4"/>
        <v>1</v>
      </c>
      <c r="Q49" s="40" t="s">
        <v>1328</v>
      </c>
      <c r="R49" s="40">
        <f t="shared" si="5"/>
        <v>1</v>
      </c>
    </row>
    <row r="50" spans="1:25">
      <c r="A50" s="104" t="s">
        <v>1450</v>
      </c>
      <c r="B50" s="49"/>
      <c r="C50" s="49"/>
      <c r="D50" s="49"/>
      <c r="E50" s="49"/>
      <c r="F50" s="49"/>
      <c r="G50" s="50"/>
      <c r="H50" s="49"/>
      <c r="K50" s="40" t="s">
        <v>1265</v>
      </c>
      <c r="L50" s="40">
        <f t="shared" si="2"/>
        <v>0</v>
      </c>
      <c r="M50" s="40" t="s">
        <v>1265</v>
      </c>
      <c r="N50" s="40">
        <f t="shared" si="3"/>
        <v>2</v>
      </c>
      <c r="O50" s="40" t="s">
        <v>1469</v>
      </c>
      <c r="P50" s="73">
        <f t="shared" si="4"/>
        <v>0</v>
      </c>
      <c r="Q50" s="73" t="s">
        <v>1469</v>
      </c>
      <c r="R50" s="73">
        <f t="shared" si="5"/>
        <v>2</v>
      </c>
    </row>
    <row r="51" spans="1:25">
      <c r="A51" s="95" t="s">
        <v>1451</v>
      </c>
      <c r="B51" s="49"/>
      <c r="C51" s="49"/>
      <c r="D51" s="49"/>
      <c r="E51" s="49"/>
      <c r="F51" s="77"/>
      <c r="G51" s="118"/>
      <c r="H51" s="49"/>
      <c r="K51" s="40" t="s">
        <v>25</v>
      </c>
      <c r="L51" s="40">
        <f t="shared" si="2"/>
        <v>1</v>
      </c>
      <c r="M51" s="40" t="s">
        <v>25</v>
      </c>
      <c r="N51" s="40">
        <f t="shared" si="3"/>
        <v>1</v>
      </c>
      <c r="P51" s="55"/>
      <c r="Q51" s="49"/>
      <c r="R51" s="49"/>
    </row>
    <row r="52" spans="1:25">
      <c r="A52" s="104" t="s">
        <v>1026</v>
      </c>
      <c r="B52" s="49"/>
      <c r="C52" s="49"/>
      <c r="D52" s="49"/>
      <c r="E52" s="49"/>
      <c r="F52" s="49"/>
      <c r="G52" s="87"/>
      <c r="H52" s="49"/>
      <c r="I52" s="71"/>
      <c r="J52" s="71"/>
      <c r="K52" s="40" t="s">
        <v>774</v>
      </c>
      <c r="L52" s="40">
        <f t="shared" si="2"/>
        <v>0</v>
      </c>
      <c r="M52" s="40" t="s">
        <v>774</v>
      </c>
      <c r="N52" s="40">
        <f t="shared" si="3"/>
        <v>1</v>
      </c>
      <c r="P52" s="55"/>
      <c r="Q52" s="49"/>
      <c r="R52" s="49"/>
    </row>
    <row r="53" spans="1:25">
      <c r="A53" s="90" t="s">
        <v>1452</v>
      </c>
      <c r="B53" s="49"/>
      <c r="C53" s="49"/>
      <c r="D53" s="49"/>
      <c r="E53" s="49"/>
      <c r="F53" s="49"/>
      <c r="G53" s="88"/>
      <c r="H53" s="49"/>
      <c r="I53" s="71"/>
      <c r="J53" s="71"/>
      <c r="K53" s="40" t="s">
        <v>516</v>
      </c>
      <c r="L53" s="40">
        <f t="shared" si="2"/>
        <v>1</v>
      </c>
      <c r="M53" s="40" t="s">
        <v>516</v>
      </c>
      <c r="N53" s="40">
        <f t="shared" si="3"/>
        <v>1</v>
      </c>
      <c r="P53" s="49"/>
      <c r="Q53" s="49"/>
      <c r="R53" s="49"/>
    </row>
    <row r="54" spans="1:25">
      <c r="A54" s="91" t="s">
        <v>1025</v>
      </c>
      <c r="B54" s="49"/>
      <c r="C54" s="49"/>
      <c r="D54" s="49"/>
      <c r="E54" s="49"/>
      <c r="F54" s="49"/>
      <c r="G54" s="87"/>
      <c r="H54" s="49"/>
      <c r="I54" s="71"/>
      <c r="J54" s="71"/>
      <c r="K54" s="40" t="s">
        <v>153</v>
      </c>
      <c r="L54" s="40">
        <f t="shared" si="2"/>
        <v>1</v>
      </c>
      <c r="M54" s="40" t="s">
        <v>153</v>
      </c>
      <c r="N54" s="40">
        <f t="shared" si="3"/>
        <v>1</v>
      </c>
      <c r="P54" s="49"/>
      <c r="Q54" s="49"/>
      <c r="R54" s="49"/>
    </row>
    <row r="55" spans="1:25">
      <c r="A55" s="95" t="s">
        <v>1470</v>
      </c>
      <c r="B55" s="73"/>
      <c r="C55" s="49"/>
      <c r="D55" s="49"/>
      <c r="E55" s="49"/>
      <c r="F55" s="76"/>
      <c r="G55" s="49"/>
      <c r="H55" s="49"/>
      <c r="I55" s="71"/>
      <c r="J55" s="71"/>
      <c r="K55" s="40" t="s">
        <v>1349</v>
      </c>
      <c r="L55" s="40">
        <f t="shared" si="2"/>
        <v>0</v>
      </c>
      <c r="M55" s="40" t="s">
        <v>1349</v>
      </c>
      <c r="N55" s="40">
        <f t="shared" si="3"/>
        <v>2</v>
      </c>
      <c r="P55" s="49"/>
      <c r="Q55" s="49"/>
      <c r="R55" s="49"/>
    </row>
    <row r="56" spans="1:25">
      <c r="A56" s="91" t="s">
        <v>875</v>
      </c>
      <c r="B56" s="49"/>
      <c r="C56" s="49"/>
      <c r="D56" s="49"/>
      <c r="E56" s="49"/>
      <c r="F56" s="49"/>
      <c r="G56" s="49"/>
      <c r="H56" s="49"/>
      <c r="I56" s="71"/>
      <c r="J56" s="71"/>
      <c r="K56" s="40" t="s">
        <v>1129</v>
      </c>
      <c r="L56" s="40">
        <f t="shared" si="2"/>
        <v>0</v>
      </c>
      <c r="M56" s="40" t="s">
        <v>1129</v>
      </c>
      <c r="N56" s="40">
        <f t="shared" si="3"/>
        <v>2</v>
      </c>
      <c r="P56" s="49"/>
      <c r="Q56" s="49"/>
      <c r="R56" s="49"/>
    </row>
    <row r="57" spans="1:25">
      <c r="A57" s="118"/>
      <c r="B57" s="49"/>
      <c r="C57" s="49"/>
      <c r="D57" s="49"/>
      <c r="E57" s="49"/>
      <c r="F57" s="49"/>
      <c r="G57" s="49"/>
      <c r="H57" s="49"/>
      <c r="I57" s="71"/>
      <c r="J57" s="71"/>
      <c r="K57" s="40" t="s">
        <v>312</v>
      </c>
      <c r="L57" s="40">
        <f t="shared" si="2"/>
        <v>1</v>
      </c>
      <c r="M57" s="40" t="s">
        <v>312</v>
      </c>
      <c r="N57" s="40">
        <f t="shared" si="3"/>
        <v>1</v>
      </c>
      <c r="P57" s="49"/>
      <c r="Q57" s="49"/>
      <c r="R57" s="49"/>
    </row>
    <row r="58" spans="1:25">
      <c r="A58" s="100"/>
      <c r="B58" s="49"/>
      <c r="C58" s="49"/>
      <c r="D58" s="49"/>
      <c r="E58" s="49"/>
      <c r="F58" s="49"/>
      <c r="G58" s="49"/>
      <c r="H58" s="49"/>
      <c r="K58" s="40" t="s">
        <v>864</v>
      </c>
      <c r="L58" s="40">
        <f t="shared" si="2"/>
        <v>1</v>
      </c>
      <c r="M58" s="40" t="s">
        <v>864</v>
      </c>
      <c r="N58" s="40">
        <f t="shared" si="3"/>
        <v>0</v>
      </c>
      <c r="P58" s="49"/>
      <c r="Q58" s="49"/>
      <c r="R58" s="49"/>
    </row>
    <row r="59" spans="1:25">
      <c r="A59" s="125"/>
      <c r="B59" s="49"/>
      <c r="C59" s="49"/>
      <c r="D59" s="49"/>
      <c r="E59" s="49"/>
      <c r="F59" s="49"/>
      <c r="G59" s="49"/>
      <c r="H59" s="49"/>
      <c r="L59" s="40">
        <f>SUM(L44:L58)</f>
        <v>8</v>
      </c>
      <c r="N59" s="40">
        <f>SUM(N44:N58)</f>
        <v>20</v>
      </c>
      <c r="P59" s="40">
        <f>SUM(P44:P58)</f>
        <v>4</v>
      </c>
      <c r="Q59" s="49"/>
      <c r="R59" s="40">
        <f>SUM(R44:R58)</f>
        <v>10</v>
      </c>
      <c r="V59" s="71"/>
      <c r="W59" s="71"/>
      <c r="X59" s="71"/>
      <c r="Y59" s="71"/>
    </row>
    <row r="60" spans="1:25">
      <c r="A60" s="126"/>
      <c r="B60" s="49"/>
      <c r="C60" s="49"/>
      <c r="D60" s="49"/>
      <c r="E60" s="49"/>
      <c r="F60" s="49"/>
      <c r="G60" s="49"/>
      <c r="H60" s="49"/>
      <c r="I60" s="49"/>
      <c r="J60" s="49"/>
      <c r="K60" s="49"/>
      <c r="L60" s="49"/>
      <c r="M60" s="49"/>
      <c r="N60" s="49"/>
      <c r="O60" s="49"/>
      <c r="P60" s="49"/>
      <c r="Q60" s="49"/>
      <c r="R60" s="49"/>
      <c r="S60" s="49"/>
      <c r="T60" s="71"/>
      <c r="U60" s="71"/>
      <c r="V60" s="71"/>
      <c r="W60" s="71"/>
      <c r="X60" s="71"/>
      <c r="Y60" s="71"/>
    </row>
    <row r="61" spans="1:25">
      <c r="A61" s="79"/>
      <c r="B61" s="73"/>
      <c r="C61" s="73"/>
      <c r="D61" s="73"/>
      <c r="E61" s="73"/>
      <c r="F61" s="73"/>
      <c r="G61" s="73"/>
      <c r="H61" s="73"/>
      <c r="I61" s="73"/>
      <c r="J61" s="73"/>
      <c r="K61" s="73"/>
      <c r="L61" s="73"/>
      <c r="M61" s="73"/>
      <c r="N61" s="73"/>
      <c r="O61" s="73"/>
      <c r="P61" s="73"/>
      <c r="Q61" s="73"/>
      <c r="R61" s="73"/>
      <c r="S61" s="49"/>
      <c r="T61" s="71"/>
      <c r="U61" s="71"/>
      <c r="V61" s="71"/>
      <c r="W61" s="71"/>
      <c r="X61" s="71"/>
      <c r="Y61" s="71"/>
    </row>
    <row r="62" spans="1:25">
      <c r="A62" s="50"/>
      <c r="B62" s="73"/>
      <c r="C62" s="73"/>
      <c r="D62" s="73"/>
      <c r="E62" s="73"/>
      <c r="F62" s="73"/>
      <c r="G62" s="73"/>
      <c r="H62" s="73"/>
      <c r="I62" s="73"/>
      <c r="J62" s="73"/>
      <c r="K62" s="73"/>
      <c r="L62" s="73"/>
      <c r="M62" s="73"/>
      <c r="N62" s="73"/>
      <c r="O62" s="73"/>
      <c r="P62" s="73"/>
      <c r="Q62" s="73"/>
      <c r="R62" s="73"/>
      <c r="S62" s="49"/>
      <c r="T62" s="71"/>
      <c r="U62" s="71"/>
      <c r="V62" s="71"/>
      <c r="W62" s="71"/>
      <c r="X62" s="71"/>
      <c r="Y62" s="71"/>
    </row>
    <row r="63" spans="1:25">
      <c r="A63" s="119"/>
      <c r="B63" s="73"/>
      <c r="C63" s="73"/>
      <c r="D63" s="73"/>
      <c r="E63" s="73"/>
      <c r="F63" s="73"/>
      <c r="G63" s="73"/>
      <c r="H63" s="73"/>
      <c r="I63" s="73"/>
      <c r="J63" s="73"/>
      <c r="K63" s="73"/>
      <c r="L63" s="73"/>
      <c r="M63" s="73"/>
      <c r="N63" s="73"/>
      <c r="O63" s="73"/>
      <c r="P63" s="73"/>
      <c r="Q63" s="73"/>
      <c r="R63" s="73"/>
      <c r="S63" s="49"/>
      <c r="T63" s="71"/>
      <c r="U63" s="71"/>
      <c r="V63" s="71"/>
      <c r="W63" s="71"/>
      <c r="X63" s="71"/>
      <c r="Y63" s="71"/>
    </row>
    <row r="64" spans="1:25">
      <c r="A64" s="50"/>
      <c r="B64" s="73"/>
      <c r="C64" s="73"/>
      <c r="D64" s="73"/>
      <c r="E64" s="73"/>
      <c r="F64" s="73"/>
      <c r="G64" s="73"/>
      <c r="H64" s="73"/>
      <c r="I64" s="73"/>
      <c r="J64" s="73"/>
      <c r="K64" s="73"/>
      <c r="L64" s="73"/>
      <c r="M64" s="73"/>
      <c r="N64" s="73"/>
      <c r="O64" s="73"/>
      <c r="P64" s="73"/>
      <c r="Q64" s="73"/>
      <c r="R64" s="73"/>
      <c r="S64" s="49"/>
      <c r="T64" s="71"/>
      <c r="U64" s="71"/>
      <c r="V64" s="71"/>
      <c r="W64" s="71"/>
      <c r="X64" s="71"/>
      <c r="Y64" s="71"/>
    </row>
    <row r="65" spans="1:19">
      <c r="A65" s="119"/>
      <c r="B65" s="73"/>
      <c r="C65" s="73"/>
      <c r="D65" s="73"/>
      <c r="E65" s="73"/>
      <c r="F65" s="73"/>
      <c r="G65" s="73"/>
      <c r="H65" s="73"/>
      <c r="I65" s="73"/>
      <c r="J65" s="73"/>
      <c r="K65" s="73"/>
      <c r="L65" s="73"/>
      <c r="M65" s="73"/>
      <c r="N65" s="73"/>
      <c r="O65" s="73"/>
      <c r="P65" s="73"/>
      <c r="Q65" s="73"/>
      <c r="R65" s="73"/>
      <c r="S65" s="73"/>
    </row>
    <row r="66" spans="1:19">
      <c r="A66" s="73"/>
      <c r="B66" s="73"/>
      <c r="C66" s="73"/>
      <c r="D66" s="73"/>
      <c r="E66" s="73"/>
      <c r="F66" s="73"/>
      <c r="G66" s="73"/>
      <c r="H66" s="73"/>
      <c r="I66" s="73"/>
      <c r="J66" s="73"/>
      <c r="K66" s="73"/>
      <c r="L66" s="73"/>
      <c r="M66" s="73"/>
      <c r="N66" s="73"/>
      <c r="O66" s="73"/>
      <c r="P66" s="73"/>
      <c r="Q66" s="73"/>
      <c r="R66" s="73"/>
      <c r="S66" s="73"/>
    </row>
    <row r="67" spans="1:19">
      <c r="A67" s="73"/>
      <c r="B67" s="73"/>
      <c r="C67" s="73"/>
      <c r="D67" s="73"/>
      <c r="E67" s="73"/>
      <c r="F67" s="73"/>
      <c r="G67" s="73"/>
      <c r="H67" s="73"/>
      <c r="I67" s="73"/>
      <c r="J67" s="73"/>
      <c r="K67" s="73"/>
      <c r="L67" s="73"/>
      <c r="M67" s="73"/>
      <c r="N67" s="73"/>
      <c r="O67" s="73"/>
      <c r="P67" s="73"/>
      <c r="Q67" s="73"/>
      <c r="R67" s="73"/>
      <c r="S67" s="73"/>
    </row>
    <row r="68" spans="1:19">
      <c r="A68" s="73"/>
      <c r="B68" s="73"/>
      <c r="C68" s="73"/>
      <c r="D68" s="73"/>
      <c r="E68" s="73"/>
      <c r="F68" s="73"/>
      <c r="G68" s="73"/>
      <c r="H68" s="73"/>
      <c r="I68" s="73"/>
      <c r="J68" s="73"/>
      <c r="K68" s="73"/>
      <c r="L68" s="73"/>
      <c r="M68" s="73"/>
      <c r="N68" s="73"/>
      <c r="O68" s="73"/>
      <c r="P68" s="73"/>
      <c r="Q68" s="73"/>
      <c r="R68" s="73"/>
      <c r="S68" s="73"/>
    </row>
    <row r="69" spans="1:19">
      <c r="A69" s="73"/>
      <c r="B69" s="73"/>
      <c r="C69" s="73"/>
      <c r="D69" s="73"/>
      <c r="E69" s="73"/>
      <c r="F69" s="73"/>
      <c r="G69" s="73"/>
      <c r="H69" s="73"/>
      <c r="I69" s="73"/>
      <c r="J69" s="73"/>
      <c r="K69" s="73"/>
      <c r="L69" s="73"/>
      <c r="M69" s="73"/>
      <c r="N69" s="73"/>
      <c r="O69" s="73"/>
      <c r="P69" s="73"/>
      <c r="Q69" s="73"/>
      <c r="R69" s="73"/>
      <c r="S69" s="73"/>
    </row>
    <row r="70" spans="1:19">
      <c r="A70" s="73"/>
      <c r="B70" s="73"/>
      <c r="C70" s="73"/>
      <c r="D70" s="73"/>
      <c r="E70" s="73"/>
      <c r="F70" s="73"/>
      <c r="G70" s="73"/>
      <c r="H70" s="73"/>
      <c r="I70" s="73"/>
      <c r="J70" s="73"/>
      <c r="K70" s="73"/>
      <c r="L70" s="73"/>
      <c r="M70" s="73"/>
      <c r="N70" s="73"/>
      <c r="O70" s="73"/>
      <c r="P70" s="73"/>
      <c r="Q70" s="73"/>
      <c r="R70" s="73"/>
      <c r="S70" s="73"/>
    </row>
    <row r="71" spans="1:19">
      <c r="S71" s="73"/>
    </row>
    <row r="72" spans="1:19">
      <c r="S72" s="73"/>
    </row>
    <row r="73" spans="1:19">
      <c r="S73" s="73"/>
    </row>
    <row r="74" spans="1:19">
      <c r="S74" s="73"/>
    </row>
  </sheetData>
  <mergeCells count="3">
    <mergeCell ref="G1:H1"/>
    <mergeCell ref="K1:M1"/>
    <mergeCell ref="Q31:R31"/>
  </mergeCells>
  <phoneticPr fontId="2"/>
  <pageMargins left="0.23622047244094491" right="0.23622047244094491" top="0" bottom="0" header="0.31496062992125984" footer="0.31496062992125984"/>
  <pageSetup paperSize="9" orientation="landscape"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8AAFE8-E277-4194-9EF5-F4222BE0125D}">
  <dimension ref="A1:AL74"/>
  <sheetViews>
    <sheetView topLeftCell="A13" zoomScaleNormal="100" workbookViewId="0">
      <selection activeCell="R29" sqref="R29"/>
    </sheetView>
  </sheetViews>
  <sheetFormatPr defaultColWidth="9" defaultRowHeight="18.75"/>
  <cols>
    <col min="1" max="18" width="6.625" style="40" customWidth="1"/>
    <col min="19" max="19" width="3.625" style="40" customWidth="1"/>
    <col min="20" max="20" width="6.625" style="40" customWidth="1"/>
    <col min="21" max="21" width="3.625" style="40" customWidth="1"/>
    <col min="22" max="39" width="6.625" style="40" customWidth="1"/>
    <col min="40" max="40" width="3.625" style="40" customWidth="1"/>
    <col min="41" max="16384" width="9" style="40"/>
  </cols>
  <sheetData>
    <row r="1" spans="1:37">
      <c r="A1" s="127"/>
      <c r="B1" s="127"/>
      <c r="C1" s="127"/>
      <c r="D1" s="127"/>
      <c r="E1" s="127">
        <v>2025</v>
      </c>
      <c r="F1" s="128" t="s">
        <v>1408</v>
      </c>
      <c r="G1" s="129">
        <v>11</v>
      </c>
      <c r="H1" s="128" t="s">
        <v>1406</v>
      </c>
      <c r="I1" s="129">
        <v>12</v>
      </c>
      <c r="J1" s="128" t="s">
        <v>1406</v>
      </c>
      <c r="K1" s="146" t="s">
        <v>1407</v>
      </c>
      <c r="L1" s="146"/>
      <c r="M1" s="146"/>
      <c r="N1" s="127"/>
      <c r="O1" s="127"/>
      <c r="P1" s="127"/>
      <c r="Q1" s="127"/>
      <c r="R1" s="127"/>
      <c r="V1" s="40" t="s">
        <v>1380</v>
      </c>
      <c r="W1" s="40" t="s">
        <v>1430</v>
      </c>
      <c r="X1" s="40" t="s">
        <v>1431</v>
      </c>
      <c r="Y1" s="40" t="s">
        <v>957</v>
      </c>
      <c r="Z1" s="40" t="s">
        <v>958</v>
      </c>
      <c r="AB1" s="40" t="s">
        <v>1395</v>
      </c>
      <c r="AC1" s="40" t="s">
        <v>1431</v>
      </c>
      <c r="AD1" s="40" t="s">
        <v>1398</v>
      </c>
      <c r="AG1" s="40" t="s">
        <v>1396</v>
      </c>
      <c r="AH1" s="40" t="s">
        <v>1379</v>
      </c>
      <c r="AJ1" s="40" t="s">
        <v>874</v>
      </c>
      <c r="AK1" s="40" t="s">
        <v>1379</v>
      </c>
    </row>
    <row r="2" spans="1:37" ht="16.5" customHeight="1">
      <c r="A2" s="26" t="s">
        <v>218</v>
      </c>
      <c r="B2" s="116">
        <v>45951</v>
      </c>
      <c r="C2" s="116">
        <v>45952</v>
      </c>
      <c r="D2" s="116">
        <v>45953</v>
      </c>
      <c r="E2" s="116">
        <v>45954</v>
      </c>
      <c r="F2" s="31">
        <v>45955</v>
      </c>
      <c r="G2" s="31">
        <v>45956</v>
      </c>
      <c r="H2" s="116">
        <v>45957</v>
      </c>
      <c r="I2" s="116">
        <v>45958</v>
      </c>
      <c r="J2" s="116">
        <v>45959</v>
      </c>
      <c r="K2" s="116">
        <v>45960</v>
      </c>
      <c r="L2" s="116">
        <v>45961</v>
      </c>
      <c r="M2" s="23" t="s">
        <v>243</v>
      </c>
      <c r="N2" s="30">
        <v>45962</v>
      </c>
      <c r="O2" s="30">
        <v>45963</v>
      </c>
      <c r="P2" s="60">
        <v>45964</v>
      </c>
      <c r="Q2" s="60">
        <v>45965</v>
      </c>
      <c r="R2" s="60">
        <v>45966</v>
      </c>
      <c r="W2" s="40" t="s">
        <v>2</v>
      </c>
      <c r="X2" s="40">
        <v>3</v>
      </c>
      <c r="Y2" s="133" t="s">
        <v>2</v>
      </c>
      <c r="Z2" s="133" t="s">
        <v>14</v>
      </c>
      <c r="AB2" s="40" t="s">
        <v>1159</v>
      </c>
      <c r="AC2" s="40">
        <v>2</v>
      </c>
      <c r="AD2" s="40" t="s">
        <v>1159</v>
      </c>
      <c r="AG2" s="40" t="s">
        <v>516</v>
      </c>
      <c r="AH2" s="40">
        <v>1.9</v>
      </c>
      <c r="AJ2" s="40" t="s">
        <v>37</v>
      </c>
      <c r="AK2" s="40" t="s">
        <v>1321</v>
      </c>
    </row>
    <row r="3" spans="1:37" ht="16.5" customHeight="1">
      <c r="A3" s="28">
        <v>1</v>
      </c>
      <c r="B3" s="19"/>
      <c r="C3" s="19"/>
      <c r="D3" s="19"/>
      <c r="E3" s="19"/>
      <c r="F3" s="19" t="s">
        <v>1129</v>
      </c>
      <c r="G3" s="19" t="s">
        <v>107</v>
      </c>
      <c r="H3" s="19"/>
      <c r="I3" s="19"/>
      <c r="J3" s="19"/>
      <c r="K3" s="19"/>
      <c r="L3" s="19"/>
      <c r="M3" s="36"/>
      <c r="N3" s="19" t="s">
        <v>516</v>
      </c>
      <c r="O3" s="35" t="s">
        <v>315</v>
      </c>
      <c r="P3" s="19"/>
      <c r="Q3" s="19"/>
      <c r="R3" s="19"/>
      <c r="W3" s="40" t="s">
        <v>7</v>
      </c>
      <c r="X3" s="40">
        <v>3</v>
      </c>
      <c r="Y3" s="133" t="s">
        <v>7</v>
      </c>
      <c r="Z3" s="133" t="s">
        <v>153</v>
      </c>
      <c r="AB3" s="40" t="s">
        <v>1065</v>
      </c>
      <c r="AC3" s="40">
        <v>4</v>
      </c>
      <c r="AD3" s="40" t="s">
        <v>1065</v>
      </c>
      <c r="AG3" s="40" t="s">
        <v>26</v>
      </c>
      <c r="AH3" s="40" t="s">
        <v>1432</v>
      </c>
      <c r="AJ3" s="40" t="s">
        <v>875</v>
      </c>
      <c r="AK3" s="40" t="s">
        <v>1433</v>
      </c>
    </row>
    <row r="4" spans="1:37" ht="16.5" customHeight="1">
      <c r="A4" s="28">
        <v>2</v>
      </c>
      <c r="B4" s="19"/>
      <c r="C4" s="19"/>
      <c r="D4" s="19"/>
      <c r="E4" s="19"/>
      <c r="F4" s="19" t="s">
        <v>153</v>
      </c>
      <c r="G4" s="19" t="s">
        <v>1349</v>
      </c>
      <c r="H4" s="19"/>
      <c r="I4" s="19"/>
      <c r="J4" s="19"/>
      <c r="K4" s="19"/>
      <c r="L4" s="19"/>
      <c r="M4" s="36"/>
      <c r="N4" s="40" t="s">
        <v>864</v>
      </c>
      <c r="O4" s="19" t="s">
        <v>93</v>
      </c>
      <c r="P4" s="19"/>
      <c r="Q4" s="19"/>
      <c r="R4" s="19"/>
      <c r="T4" s="41"/>
      <c r="V4" s="41"/>
      <c r="W4" s="40" t="s">
        <v>107</v>
      </c>
      <c r="X4" s="40">
        <v>2</v>
      </c>
      <c r="Y4" s="133" t="s">
        <v>107</v>
      </c>
      <c r="Z4" s="133" t="s">
        <v>314</v>
      </c>
      <c r="AB4" s="40" t="s">
        <v>37</v>
      </c>
      <c r="AC4" s="40">
        <v>4</v>
      </c>
      <c r="AD4" s="40" t="s">
        <v>37</v>
      </c>
      <c r="AG4" s="40" t="s">
        <v>327</v>
      </c>
      <c r="AH4" s="40">
        <v>3</v>
      </c>
      <c r="AJ4" s="40" t="s">
        <v>356</v>
      </c>
      <c r="AK4" s="40" t="s">
        <v>1320</v>
      </c>
    </row>
    <row r="5" spans="1:37" ht="16.5" customHeight="1">
      <c r="A5" s="28">
        <v>3</v>
      </c>
      <c r="B5" s="19"/>
      <c r="C5" s="19"/>
      <c r="D5" s="19"/>
      <c r="E5" s="19"/>
      <c r="F5" s="19" t="s">
        <v>36</v>
      </c>
      <c r="G5" s="19" t="s">
        <v>875</v>
      </c>
      <c r="H5" s="19"/>
      <c r="I5" s="19"/>
      <c r="J5" s="19"/>
      <c r="K5" s="19"/>
      <c r="L5" s="19"/>
      <c r="M5" s="36"/>
      <c r="N5" s="19" t="s">
        <v>1065</v>
      </c>
      <c r="O5" s="19" t="s">
        <v>37</v>
      </c>
      <c r="P5" s="19"/>
      <c r="Q5" s="19"/>
      <c r="R5" s="19"/>
      <c r="T5" s="41"/>
      <c r="V5" s="41"/>
      <c r="W5" s="40" t="s">
        <v>14</v>
      </c>
      <c r="X5" s="40">
        <v>3</v>
      </c>
      <c r="Y5" s="133" t="s">
        <v>312</v>
      </c>
      <c r="Z5" s="133" t="s">
        <v>93</v>
      </c>
      <c r="AB5" s="40" t="s">
        <v>875</v>
      </c>
      <c r="AC5" s="40">
        <v>2</v>
      </c>
      <c r="AD5" s="40" t="s">
        <v>875</v>
      </c>
      <c r="AG5" s="64" t="s">
        <v>153</v>
      </c>
      <c r="AH5" s="40">
        <v>4</v>
      </c>
      <c r="AJ5" s="40" t="s">
        <v>1159</v>
      </c>
      <c r="AK5" s="40" t="s">
        <v>1434</v>
      </c>
    </row>
    <row r="6" spans="1:37" ht="16.5" customHeight="1">
      <c r="A6" s="28" t="s">
        <v>20</v>
      </c>
      <c r="B6" s="19" t="s">
        <v>312</v>
      </c>
      <c r="C6" s="19" t="s">
        <v>1266</v>
      </c>
      <c r="D6" s="19" t="s">
        <v>1266</v>
      </c>
      <c r="E6" s="19" t="s">
        <v>1266</v>
      </c>
      <c r="F6" s="19" t="s">
        <v>1266</v>
      </c>
      <c r="G6" s="19" t="s">
        <v>1266</v>
      </c>
      <c r="H6" s="19" t="s">
        <v>1129</v>
      </c>
      <c r="I6" s="19" t="s">
        <v>1266</v>
      </c>
      <c r="J6" s="19" t="s">
        <v>1266</v>
      </c>
      <c r="K6" s="19" t="s">
        <v>1266</v>
      </c>
      <c r="L6" s="19" t="s">
        <v>1266</v>
      </c>
      <c r="M6" s="36"/>
      <c r="N6" s="19" t="s">
        <v>1266</v>
      </c>
      <c r="O6" s="19" t="s">
        <v>1266</v>
      </c>
      <c r="P6" s="19" t="s">
        <v>774</v>
      </c>
      <c r="Q6" s="19" t="s">
        <v>1266</v>
      </c>
      <c r="R6" s="19" t="s">
        <v>1266</v>
      </c>
      <c r="T6" s="41"/>
      <c r="V6" s="41"/>
      <c r="W6" s="40" t="s">
        <v>314</v>
      </c>
      <c r="X6" s="40">
        <v>3</v>
      </c>
      <c r="Y6" s="133" t="s">
        <v>1265</v>
      </c>
      <c r="Z6" s="134" t="s">
        <v>1349</v>
      </c>
      <c r="AB6" s="40" t="s">
        <v>36</v>
      </c>
      <c r="AC6" s="40">
        <v>4</v>
      </c>
      <c r="AD6" s="40" t="s">
        <v>36</v>
      </c>
      <c r="AG6" s="64" t="s">
        <v>1114</v>
      </c>
      <c r="AH6" s="40">
        <v>5</v>
      </c>
      <c r="AJ6" s="68" t="s">
        <v>1328</v>
      </c>
      <c r="AK6" s="40">
        <v>6</v>
      </c>
    </row>
    <row r="7" spans="1:37" ht="16.5" customHeight="1">
      <c r="A7" s="28" t="s">
        <v>0</v>
      </c>
      <c r="B7" s="19" t="s">
        <v>1157</v>
      </c>
      <c r="C7" s="19" t="s">
        <v>1266</v>
      </c>
      <c r="D7" s="19" t="s">
        <v>1266</v>
      </c>
      <c r="E7" s="19" t="s">
        <v>1266</v>
      </c>
      <c r="F7" s="19" t="s">
        <v>1266</v>
      </c>
      <c r="G7" s="19" t="s">
        <v>1266</v>
      </c>
      <c r="H7" s="19" t="s">
        <v>356</v>
      </c>
      <c r="I7" s="19" t="s">
        <v>1266</v>
      </c>
      <c r="J7" s="19" t="s">
        <v>1266</v>
      </c>
      <c r="K7" s="19" t="s">
        <v>1266</v>
      </c>
      <c r="L7" s="19" t="s">
        <v>1266</v>
      </c>
      <c r="M7" s="36"/>
      <c r="N7" s="19" t="s">
        <v>1266</v>
      </c>
      <c r="O7" s="19" t="s">
        <v>1266</v>
      </c>
      <c r="P7" s="19" t="s">
        <v>875</v>
      </c>
      <c r="Q7" s="19" t="s">
        <v>1266</v>
      </c>
      <c r="R7" s="19" t="s">
        <v>1266</v>
      </c>
      <c r="T7" s="41"/>
      <c r="V7" s="41"/>
      <c r="W7" s="40" t="s">
        <v>93</v>
      </c>
      <c r="X7" s="40">
        <v>3</v>
      </c>
      <c r="Y7" s="133" t="s">
        <v>25</v>
      </c>
      <c r="Z7" s="133"/>
      <c r="AB7" s="40" t="s">
        <v>1328</v>
      </c>
      <c r="AC7" s="40">
        <v>2</v>
      </c>
      <c r="AD7" s="40" t="s">
        <v>1328</v>
      </c>
      <c r="AG7" s="64" t="s">
        <v>864</v>
      </c>
      <c r="AH7" s="40">
        <v>6</v>
      </c>
    </row>
    <row r="8" spans="1:37" ht="16.5" customHeight="1">
      <c r="A8" s="28" t="s">
        <v>1</v>
      </c>
      <c r="B8" s="29"/>
      <c r="C8" s="19"/>
      <c r="D8" s="19"/>
      <c r="E8" s="19"/>
      <c r="F8" s="19"/>
      <c r="G8" s="19"/>
      <c r="H8" s="19"/>
      <c r="I8" s="19"/>
      <c r="J8" s="19"/>
      <c r="K8" s="19"/>
      <c r="L8" s="19"/>
      <c r="M8" s="36"/>
      <c r="N8" s="19"/>
      <c r="O8" s="19"/>
      <c r="P8" s="19"/>
      <c r="Q8" s="19"/>
      <c r="R8" s="19"/>
      <c r="T8" s="41"/>
      <c r="W8" s="40" t="s">
        <v>1265</v>
      </c>
      <c r="X8" s="40">
        <v>3</v>
      </c>
      <c r="Y8" s="133" t="s">
        <v>774</v>
      </c>
      <c r="Z8" s="135"/>
      <c r="AG8" s="40" t="s">
        <v>25</v>
      </c>
      <c r="AH8" s="40">
        <v>7</v>
      </c>
      <c r="AK8" s="64"/>
    </row>
    <row r="9" spans="1:37" ht="16.5" customHeight="1">
      <c r="A9" s="23" t="s">
        <v>243</v>
      </c>
      <c r="B9" s="60">
        <v>45967</v>
      </c>
      <c r="C9" s="60">
        <v>45968</v>
      </c>
      <c r="D9" s="30">
        <v>45969</v>
      </c>
      <c r="E9" s="30">
        <v>45970</v>
      </c>
      <c r="F9" s="60">
        <v>45971</v>
      </c>
      <c r="G9" s="60">
        <v>45972</v>
      </c>
      <c r="H9" s="60">
        <v>45973</v>
      </c>
      <c r="I9" s="60">
        <v>45974</v>
      </c>
      <c r="J9" s="60">
        <v>45975</v>
      </c>
      <c r="K9" s="30">
        <v>45976</v>
      </c>
      <c r="L9" s="30">
        <v>45977</v>
      </c>
      <c r="M9" s="60">
        <v>45978</v>
      </c>
      <c r="N9" s="60">
        <v>45979</v>
      </c>
      <c r="O9" s="60">
        <v>45980</v>
      </c>
      <c r="P9" s="60">
        <v>45981</v>
      </c>
      <c r="Q9" s="19"/>
      <c r="R9" s="19"/>
      <c r="T9" s="41"/>
      <c r="W9" s="40" t="s">
        <v>25</v>
      </c>
      <c r="X9" s="40">
        <v>2</v>
      </c>
      <c r="Y9" s="133" t="s">
        <v>516</v>
      </c>
      <c r="Z9" s="135"/>
      <c r="AG9" s="40" t="s">
        <v>1349</v>
      </c>
      <c r="AH9" s="40">
        <v>8</v>
      </c>
    </row>
    <row r="10" spans="1:37" ht="16.5" customHeight="1">
      <c r="A10" s="36">
        <v>1</v>
      </c>
      <c r="B10" s="19"/>
      <c r="C10" s="19"/>
      <c r="D10" s="19" t="s">
        <v>312</v>
      </c>
      <c r="E10" s="19" t="s">
        <v>7</v>
      </c>
      <c r="F10" s="19"/>
      <c r="G10" s="19"/>
      <c r="H10" s="19"/>
      <c r="I10" s="19"/>
      <c r="J10" s="19"/>
      <c r="K10" s="19" t="s">
        <v>25</v>
      </c>
      <c r="L10" s="19" t="s">
        <v>2</v>
      </c>
      <c r="M10" s="19"/>
      <c r="N10" s="19"/>
      <c r="O10" s="19"/>
      <c r="P10" s="19"/>
      <c r="Q10" s="19"/>
      <c r="R10" s="19"/>
      <c r="T10" s="41"/>
      <c r="W10" s="40" t="s">
        <v>774</v>
      </c>
      <c r="X10" s="40">
        <v>2</v>
      </c>
      <c r="Y10" s="133" t="s">
        <v>864</v>
      </c>
      <c r="Z10" s="133"/>
    </row>
    <row r="11" spans="1:37" ht="16.5" customHeight="1">
      <c r="A11" s="36">
        <v>2</v>
      </c>
      <c r="B11" s="19"/>
      <c r="C11" s="19"/>
      <c r="D11" s="19" t="s">
        <v>14</v>
      </c>
      <c r="E11" s="19" t="s">
        <v>814</v>
      </c>
      <c r="F11" s="19"/>
      <c r="G11" s="19"/>
      <c r="H11" s="19"/>
      <c r="I11" s="19"/>
      <c r="J11" s="19"/>
      <c r="K11" s="19" t="s">
        <v>107</v>
      </c>
      <c r="L11" s="40" t="s">
        <v>774</v>
      </c>
      <c r="M11" s="19"/>
      <c r="N11" s="19"/>
      <c r="O11" s="19"/>
      <c r="P11" s="19"/>
      <c r="Q11" s="19"/>
      <c r="R11" s="19"/>
      <c r="T11" s="41"/>
      <c r="W11" s="40" t="s">
        <v>516</v>
      </c>
      <c r="X11" s="40">
        <v>2</v>
      </c>
      <c r="Y11" s="133" t="s">
        <v>1129</v>
      </c>
      <c r="Z11" s="133"/>
    </row>
    <row r="12" spans="1:37" ht="16.5" customHeight="1">
      <c r="A12" s="36">
        <v>3</v>
      </c>
      <c r="B12" s="19"/>
      <c r="C12" s="19"/>
      <c r="D12" s="19" t="s">
        <v>36</v>
      </c>
      <c r="E12" s="19" t="s">
        <v>1328</v>
      </c>
      <c r="F12" s="19"/>
      <c r="G12" s="35"/>
      <c r="H12" s="19"/>
      <c r="I12" s="19"/>
      <c r="J12" s="19"/>
      <c r="K12" s="19" t="s">
        <v>1157</v>
      </c>
      <c r="L12" s="19" t="s">
        <v>1065</v>
      </c>
      <c r="M12" s="19"/>
      <c r="N12" s="19"/>
      <c r="O12" s="19"/>
      <c r="P12" s="19"/>
      <c r="Q12" s="19"/>
      <c r="R12" s="19"/>
      <c r="T12" s="41"/>
      <c r="W12" s="40" t="s">
        <v>153</v>
      </c>
      <c r="X12" s="40">
        <v>2</v>
      </c>
      <c r="Y12" s="133"/>
      <c r="Z12" s="133"/>
    </row>
    <row r="13" spans="1:37" ht="16.5" customHeight="1">
      <c r="A13" s="36" t="s">
        <v>20</v>
      </c>
      <c r="B13" s="19" t="s">
        <v>1266</v>
      </c>
      <c r="C13" s="19" t="s">
        <v>1266</v>
      </c>
      <c r="D13" s="19" t="s">
        <v>1266</v>
      </c>
      <c r="E13" s="19" t="s">
        <v>1266</v>
      </c>
      <c r="F13" s="19" t="s">
        <v>153</v>
      </c>
      <c r="G13" s="19" t="s">
        <v>1266</v>
      </c>
      <c r="H13" s="19" t="s">
        <v>1266</v>
      </c>
      <c r="I13" s="19" t="s">
        <v>1266</v>
      </c>
      <c r="J13" s="19" t="s">
        <v>1266</v>
      </c>
      <c r="K13" s="19" t="s">
        <v>1266</v>
      </c>
      <c r="L13" s="19" t="s">
        <v>1266</v>
      </c>
      <c r="M13" s="19" t="s">
        <v>25</v>
      </c>
      <c r="N13" s="19" t="s">
        <v>1266</v>
      </c>
      <c r="O13" s="19" t="s">
        <v>1266</v>
      </c>
      <c r="P13" s="19" t="s">
        <v>1266</v>
      </c>
      <c r="Q13" s="19"/>
      <c r="R13" s="19"/>
      <c r="T13" s="41"/>
      <c r="W13" s="40" t="s">
        <v>1349</v>
      </c>
      <c r="X13" s="40">
        <v>2</v>
      </c>
      <c r="Y13" s="133"/>
      <c r="Z13" s="133"/>
    </row>
    <row r="14" spans="1:37" ht="16.5" customHeight="1">
      <c r="A14" s="36" t="s">
        <v>0</v>
      </c>
      <c r="B14" s="19" t="s">
        <v>1266</v>
      </c>
      <c r="C14" s="19" t="s">
        <v>1266</v>
      </c>
      <c r="D14" s="19" t="s">
        <v>1266</v>
      </c>
      <c r="E14" s="19" t="s">
        <v>1266</v>
      </c>
      <c r="F14" s="19" t="s">
        <v>356</v>
      </c>
      <c r="G14" s="19" t="s">
        <v>1266</v>
      </c>
      <c r="H14" s="19" t="s">
        <v>1266</v>
      </c>
      <c r="I14" s="19" t="s">
        <v>1266</v>
      </c>
      <c r="J14" s="19" t="s">
        <v>1266</v>
      </c>
      <c r="K14" s="19" t="s">
        <v>1266</v>
      </c>
      <c r="L14" s="19" t="s">
        <v>1266</v>
      </c>
      <c r="M14" s="19" t="s">
        <v>1328</v>
      </c>
      <c r="N14" s="19" t="s">
        <v>1266</v>
      </c>
      <c r="O14" s="19" t="s">
        <v>1266</v>
      </c>
      <c r="P14" s="19" t="s">
        <v>1266</v>
      </c>
      <c r="Q14" s="19"/>
      <c r="R14" s="19"/>
      <c r="T14" s="41"/>
      <c r="W14" s="40" t="s">
        <v>1129</v>
      </c>
      <c r="X14" s="40">
        <v>2</v>
      </c>
      <c r="Y14" s="133"/>
      <c r="Z14" s="133"/>
    </row>
    <row r="15" spans="1:37" ht="16.5" customHeight="1">
      <c r="A15" s="36" t="s">
        <v>1</v>
      </c>
      <c r="B15" s="19"/>
      <c r="C15" s="29"/>
      <c r="D15" s="19"/>
      <c r="E15" s="19"/>
      <c r="F15" s="19"/>
      <c r="G15" s="19"/>
      <c r="H15" s="19"/>
      <c r="I15" s="19"/>
      <c r="J15" s="19"/>
      <c r="K15" s="19"/>
      <c r="L15" s="19"/>
      <c r="M15" s="19"/>
      <c r="N15" s="19"/>
      <c r="O15" s="19"/>
      <c r="P15" s="19"/>
      <c r="Q15" s="19"/>
      <c r="R15" s="19"/>
      <c r="T15" s="41"/>
      <c r="W15" s="40" t="s">
        <v>312</v>
      </c>
      <c r="X15" s="40">
        <v>2</v>
      </c>
      <c r="Y15" s="133"/>
      <c r="Z15" s="133"/>
    </row>
    <row r="16" spans="1:37" ht="16.5" customHeight="1">
      <c r="A16" s="42"/>
      <c r="B16" s="37"/>
      <c r="C16" s="37"/>
      <c r="D16" s="37"/>
      <c r="E16" s="37"/>
      <c r="F16" s="37"/>
      <c r="G16" s="37"/>
      <c r="H16" s="38"/>
      <c r="I16" s="38"/>
      <c r="J16" s="38"/>
      <c r="K16" s="38"/>
      <c r="L16" s="38"/>
      <c r="M16" s="38"/>
      <c r="N16" s="38"/>
      <c r="O16" s="38"/>
      <c r="P16" s="37"/>
      <c r="Q16" s="37"/>
      <c r="R16" s="39"/>
      <c r="T16" s="41"/>
      <c r="V16" s="40" t="s">
        <v>1400</v>
      </c>
      <c r="W16" s="40" t="s">
        <v>864</v>
      </c>
      <c r="X16" s="40">
        <v>2</v>
      </c>
      <c r="Y16" s="133"/>
      <c r="Z16" s="133"/>
    </row>
    <row r="17" spans="1:38" ht="16.5" customHeight="1">
      <c r="A17" s="23" t="s">
        <v>243</v>
      </c>
      <c r="B17" s="60">
        <v>45982</v>
      </c>
      <c r="C17" s="30">
        <v>45983</v>
      </c>
      <c r="D17" s="30">
        <v>45984</v>
      </c>
      <c r="E17" s="60">
        <v>45985</v>
      </c>
      <c r="F17" s="60">
        <v>45986</v>
      </c>
      <c r="G17" s="60">
        <v>45987</v>
      </c>
      <c r="H17" s="60">
        <v>45988</v>
      </c>
      <c r="I17" s="60">
        <v>45989</v>
      </c>
      <c r="J17" s="30">
        <v>45990</v>
      </c>
      <c r="K17" s="30">
        <v>45991</v>
      </c>
      <c r="L17" s="120"/>
      <c r="M17" s="26" t="s">
        <v>244</v>
      </c>
      <c r="N17" s="116">
        <v>45992</v>
      </c>
      <c r="O17" s="116">
        <v>45993</v>
      </c>
      <c r="P17" s="116">
        <v>45994</v>
      </c>
      <c r="Q17" s="116">
        <v>45995</v>
      </c>
      <c r="R17" s="116">
        <v>45996</v>
      </c>
      <c r="T17" s="41"/>
      <c r="V17" s="40">
        <v>18</v>
      </c>
      <c r="W17" s="40">
        <v>36</v>
      </c>
      <c r="X17" s="40">
        <v>36</v>
      </c>
      <c r="Y17" s="133"/>
      <c r="Z17" s="133"/>
      <c r="AB17" s="40">
        <v>18</v>
      </c>
      <c r="AC17" s="40">
        <v>18</v>
      </c>
    </row>
    <row r="18" spans="1:38" ht="16.5" customHeight="1">
      <c r="A18" s="36">
        <v>1</v>
      </c>
      <c r="B18" s="19"/>
      <c r="C18" s="19" t="s">
        <v>864</v>
      </c>
      <c r="D18" s="19" t="s">
        <v>315</v>
      </c>
      <c r="E18" s="19"/>
      <c r="F18" s="19"/>
      <c r="G18" s="19"/>
      <c r="H18" s="19"/>
      <c r="I18" s="19"/>
      <c r="J18" s="19" t="s">
        <v>312</v>
      </c>
      <c r="K18" s="19" t="s">
        <v>516</v>
      </c>
      <c r="L18" s="19"/>
      <c r="M18" s="26"/>
      <c r="N18" s="19"/>
      <c r="O18" s="19"/>
      <c r="P18" s="19"/>
      <c r="Q18" s="19"/>
      <c r="R18" s="19"/>
      <c r="V18" s="40" t="s">
        <v>1435</v>
      </c>
      <c r="W18" s="40" t="s">
        <v>1393</v>
      </c>
      <c r="X18" s="40" t="s">
        <v>1392</v>
      </c>
      <c r="Y18" s="40" t="s">
        <v>63</v>
      </c>
      <c r="Z18" s="40" t="s">
        <v>64</v>
      </c>
      <c r="AB18" s="40" t="s">
        <v>1395</v>
      </c>
      <c r="AC18" s="40" t="s">
        <v>1392</v>
      </c>
      <c r="AD18" s="40" t="s">
        <v>65</v>
      </c>
      <c r="AF18" s="40" t="s">
        <v>1438</v>
      </c>
      <c r="AG18" s="40" t="s">
        <v>1396</v>
      </c>
      <c r="AI18" s="40" t="s">
        <v>1438</v>
      </c>
      <c r="AJ18" s="40" t="s">
        <v>874</v>
      </c>
    </row>
    <row r="19" spans="1:38" ht="16.5" customHeight="1">
      <c r="A19" s="36">
        <v>2</v>
      </c>
      <c r="B19" s="19"/>
      <c r="C19" s="19" t="s">
        <v>93</v>
      </c>
      <c r="D19" s="19" t="s">
        <v>153</v>
      </c>
      <c r="F19" s="19"/>
      <c r="G19" s="19"/>
      <c r="H19" s="19"/>
      <c r="I19" s="19"/>
      <c r="J19" s="19" t="s">
        <v>1349</v>
      </c>
      <c r="K19" s="19" t="s">
        <v>1129</v>
      </c>
      <c r="L19" s="19"/>
      <c r="M19" s="26"/>
      <c r="N19" s="19"/>
      <c r="O19" s="19"/>
      <c r="P19" s="19"/>
      <c r="Q19" s="19"/>
      <c r="R19" s="19"/>
      <c r="W19" s="40" t="s">
        <v>2</v>
      </c>
      <c r="X19" s="40">
        <f t="shared" ref="X19:X33" si="0">COUNTIF($B$3:$R$5,W19)+COUNTIF($B$10:$R$12,W19)+COUNTIF($B$18:$R$20,W19)+COUNTIF($B$25:$R$27,W19)</f>
        <v>2</v>
      </c>
      <c r="Y19" s="133" t="s">
        <v>2</v>
      </c>
      <c r="Z19" s="133" t="s">
        <v>14</v>
      </c>
      <c r="AB19" s="40" t="s">
        <v>1159</v>
      </c>
      <c r="AC19" s="40">
        <f t="shared" ref="AC19:AC24" si="1">COUNTIF($B$3:$R$5,AB19)+COUNTIF($B$10:$R$12,AB19)+COUNTIF($B$18:$R$20,AB19)+COUNTIF($B$25:$R$27,AB19)</f>
        <v>2</v>
      </c>
      <c r="AD19" s="40" t="s">
        <v>1159</v>
      </c>
      <c r="AF19" s="40">
        <v>1</v>
      </c>
      <c r="AG19" s="40" t="s">
        <v>26</v>
      </c>
      <c r="AI19" s="40">
        <v>1</v>
      </c>
      <c r="AJ19" s="40" t="s">
        <v>1159</v>
      </c>
    </row>
    <row r="20" spans="1:38" ht="16.5" customHeight="1">
      <c r="A20" s="36">
        <v>3</v>
      </c>
      <c r="B20" s="19"/>
      <c r="C20" s="19" t="s">
        <v>37</v>
      </c>
      <c r="D20" s="19" t="s">
        <v>875</v>
      </c>
      <c r="E20" s="19"/>
      <c r="F20" s="19"/>
      <c r="G20" s="19"/>
      <c r="H20" s="19"/>
      <c r="I20" s="19"/>
      <c r="J20" s="19" t="s">
        <v>36</v>
      </c>
      <c r="K20" s="19" t="s">
        <v>1065</v>
      </c>
      <c r="L20" s="19"/>
      <c r="M20" s="26"/>
      <c r="N20" s="19"/>
      <c r="O20" s="19"/>
      <c r="P20" s="19"/>
      <c r="Q20" s="19"/>
      <c r="R20" s="19"/>
      <c r="T20" s="41"/>
      <c r="W20" s="40" t="s">
        <v>7</v>
      </c>
      <c r="X20" s="40">
        <f t="shared" si="0"/>
        <v>2</v>
      </c>
      <c r="Y20" s="133" t="s">
        <v>7</v>
      </c>
      <c r="Z20" s="133" t="s">
        <v>153</v>
      </c>
      <c r="AB20" s="40" t="s">
        <v>1065</v>
      </c>
      <c r="AC20" s="40">
        <f t="shared" si="1"/>
        <v>4</v>
      </c>
      <c r="AD20" s="40" t="s">
        <v>1065</v>
      </c>
      <c r="AF20" s="40">
        <v>2</v>
      </c>
      <c r="AG20" s="40" t="s">
        <v>1114</v>
      </c>
      <c r="AH20" s="64"/>
      <c r="AI20" s="40">
        <v>2</v>
      </c>
      <c r="AJ20" s="40" t="s">
        <v>356</v>
      </c>
    </row>
    <row r="21" spans="1:38" ht="16.5" customHeight="1">
      <c r="A21" s="36" t="s">
        <v>20</v>
      </c>
      <c r="B21" s="19" t="s">
        <v>1266</v>
      </c>
      <c r="C21" s="19" t="s">
        <v>1266</v>
      </c>
      <c r="D21" s="19" t="s">
        <v>1266</v>
      </c>
      <c r="E21" s="19" t="s">
        <v>864</v>
      </c>
      <c r="F21" s="19" t="s">
        <v>1266</v>
      </c>
      <c r="G21" s="19" t="s">
        <v>1266</v>
      </c>
      <c r="H21" s="19" t="s">
        <v>1266</v>
      </c>
      <c r="I21" s="19" t="s">
        <v>1266</v>
      </c>
      <c r="J21" s="19" t="s">
        <v>1266</v>
      </c>
      <c r="K21" s="19" t="s">
        <v>1266</v>
      </c>
      <c r="L21" s="19"/>
      <c r="M21" s="26"/>
      <c r="N21" s="19" t="s">
        <v>1349</v>
      </c>
      <c r="O21" s="19" t="s">
        <v>1266</v>
      </c>
      <c r="P21" s="19" t="s">
        <v>1266</v>
      </c>
      <c r="Q21" s="19" t="s">
        <v>1266</v>
      </c>
      <c r="R21" s="19" t="s">
        <v>1266</v>
      </c>
      <c r="T21" s="41"/>
      <c r="W21" s="40" t="s">
        <v>107</v>
      </c>
      <c r="X21" s="40">
        <f t="shared" si="0"/>
        <v>3</v>
      </c>
      <c r="Y21" s="133" t="s">
        <v>107</v>
      </c>
      <c r="Z21" s="133" t="s">
        <v>314</v>
      </c>
      <c r="AB21" s="40" t="s">
        <v>37</v>
      </c>
      <c r="AC21" s="40">
        <f t="shared" si="1"/>
        <v>4</v>
      </c>
      <c r="AD21" s="40" t="s">
        <v>37</v>
      </c>
      <c r="AF21" s="40">
        <v>3</v>
      </c>
      <c r="AG21" s="40" t="s">
        <v>327</v>
      </c>
      <c r="AH21" s="64"/>
      <c r="AI21" s="40">
        <v>3</v>
      </c>
      <c r="AJ21" s="40" t="s">
        <v>875</v>
      </c>
    </row>
    <row r="22" spans="1:38" ht="16.5" customHeight="1">
      <c r="A22" s="36" t="s">
        <v>0</v>
      </c>
      <c r="B22" s="19" t="s">
        <v>1266</v>
      </c>
      <c r="C22" s="19" t="s">
        <v>1266</v>
      </c>
      <c r="D22" s="19" t="s">
        <v>1266</v>
      </c>
      <c r="E22" s="19" t="s">
        <v>356</v>
      </c>
      <c r="F22" s="19" t="s">
        <v>1266</v>
      </c>
      <c r="G22" s="19" t="s">
        <v>1266</v>
      </c>
      <c r="H22" s="19" t="s">
        <v>1266</v>
      </c>
      <c r="I22" s="19" t="s">
        <v>1266</v>
      </c>
      <c r="J22" s="19" t="s">
        <v>1266</v>
      </c>
      <c r="K22" s="19" t="s">
        <v>1266</v>
      </c>
      <c r="L22" s="19"/>
      <c r="M22" s="26"/>
      <c r="N22" s="19" t="s">
        <v>875</v>
      </c>
      <c r="O22" s="19" t="s">
        <v>1266</v>
      </c>
      <c r="P22" s="19" t="s">
        <v>1266</v>
      </c>
      <c r="Q22" s="19" t="s">
        <v>1266</v>
      </c>
      <c r="R22" s="19" t="s">
        <v>1266</v>
      </c>
      <c r="T22" s="41"/>
      <c r="W22" s="40" t="s">
        <v>14</v>
      </c>
      <c r="X22" s="40">
        <f>COUNTIF($B$3:$R$5,W22)+COUNTIF($B$10:$R$12,W22)+COUNTIF($B$18:$R$20,W22)+COUNTIF($B$25:$R$27,W22)</f>
        <v>2</v>
      </c>
      <c r="Y22" s="133" t="s">
        <v>312</v>
      </c>
      <c r="Z22" s="133" t="s">
        <v>93</v>
      </c>
      <c r="AB22" s="40" t="s">
        <v>875</v>
      </c>
      <c r="AC22" s="40">
        <f t="shared" si="1"/>
        <v>2</v>
      </c>
      <c r="AD22" s="40" t="s">
        <v>875</v>
      </c>
      <c r="AF22" s="40">
        <v>4</v>
      </c>
      <c r="AG22" s="40" t="s">
        <v>153</v>
      </c>
      <c r="AI22" s="40">
        <v>4</v>
      </c>
      <c r="AJ22" s="40" t="s">
        <v>356</v>
      </c>
      <c r="AK22" s="68"/>
    </row>
    <row r="23" spans="1:38" ht="16.5" customHeight="1">
      <c r="A23" s="36" t="s">
        <v>1</v>
      </c>
      <c r="B23" s="19"/>
      <c r="C23" s="19"/>
      <c r="D23" s="19"/>
      <c r="E23" s="19"/>
      <c r="F23" s="19"/>
      <c r="G23" s="19"/>
      <c r="H23" s="19"/>
      <c r="I23" s="19"/>
      <c r="J23" s="19"/>
      <c r="K23" s="19"/>
      <c r="L23" s="19"/>
      <c r="M23" s="26"/>
      <c r="N23" s="19"/>
      <c r="O23" s="19"/>
      <c r="P23" s="19"/>
      <c r="Q23" s="19"/>
      <c r="R23" s="19"/>
      <c r="T23" s="72"/>
      <c r="V23" s="71"/>
      <c r="W23" s="40" t="s">
        <v>314</v>
      </c>
      <c r="X23" s="40">
        <f>COUNTIF($B$3:$R$5,W23)+COUNTIF($B$10:$R$12,W23)+COUNTIF($B$18:$R$20,W23)+COUNTIF($B$25:$R$27,W23)</f>
        <v>2</v>
      </c>
      <c r="Y23" s="133" t="s">
        <v>1265</v>
      </c>
      <c r="Z23" s="133" t="s">
        <v>1349</v>
      </c>
      <c r="AB23" s="40" t="s">
        <v>36</v>
      </c>
      <c r="AC23" s="40">
        <f t="shared" si="1"/>
        <v>4</v>
      </c>
      <c r="AD23" s="40" t="s">
        <v>36</v>
      </c>
      <c r="AF23" s="40">
        <v>5</v>
      </c>
      <c r="AG23" s="40" t="s">
        <v>25</v>
      </c>
      <c r="AH23" s="64"/>
      <c r="AI23" s="40">
        <v>5</v>
      </c>
      <c r="AJ23" s="40" t="s">
        <v>1328</v>
      </c>
    </row>
    <row r="24" spans="1:38" ht="16.5" customHeight="1">
      <c r="A24" s="26" t="s">
        <v>244</v>
      </c>
      <c r="B24" s="31">
        <v>45997</v>
      </c>
      <c r="C24" s="31">
        <v>45998</v>
      </c>
      <c r="D24" s="27">
        <v>45999</v>
      </c>
      <c r="E24" s="27">
        <v>46000</v>
      </c>
      <c r="F24" s="27">
        <v>46001</v>
      </c>
      <c r="G24" s="27">
        <v>46002</v>
      </c>
      <c r="H24" s="27">
        <v>46003</v>
      </c>
      <c r="I24" s="31">
        <v>46004</v>
      </c>
      <c r="J24" s="31">
        <v>46005</v>
      </c>
      <c r="K24" s="27">
        <v>46006</v>
      </c>
      <c r="L24" s="27">
        <v>46007</v>
      </c>
      <c r="M24" s="27">
        <v>46008</v>
      </c>
      <c r="N24" s="27">
        <v>46009</v>
      </c>
      <c r="O24" s="27">
        <v>46010</v>
      </c>
      <c r="P24" s="31">
        <v>46011</v>
      </c>
      <c r="Q24" s="31">
        <v>46012</v>
      </c>
      <c r="R24" s="27">
        <v>46013</v>
      </c>
      <c r="V24" s="71"/>
      <c r="W24" s="40" t="s">
        <v>93</v>
      </c>
      <c r="X24" s="40">
        <f t="shared" si="0"/>
        <v>3</v>
      </c>
      <c r="Y24" s="133" t="s">
        <v>25</v>
      </c>
      <c r="Z24" s="133"/>
      <c r="AB24" s="40" t="s">
        <v>1328</v>
      </c>
      <c r="AC24" s="40">
        <f t="shared" si="1"/>
        <v>2</v>
      </c>
      <c r="AD24" s="40" t="s">
        <v>1328</v>
      </c>
      <c r="AF24" s="40">
        <v>6</v>
      </c>
      <c r="AG24" s="40" t="s">
        <v>864</v>
      </c>
      <c r="AH24" s="64"/>
      <c r="AI24" s="40">
        <v>6</v>
      </c>
      <c r="AJ24" s="40" t="s">
        <v>356</v>
      </c>
      <c r="AL24" s="64"/>
    </row>
    <row r="25" spans="1:38" ht="16.5" customHeight="1">
      <c r="A25" s="28">
        <v>1</v>
      </c>
      <c r="B25" s="19" t="s">
        <v>25</v>
      </c>
      <c r="C25" s="19" t="s">
        <v>7</v>
      </c>
      <c r="D25" s="19"/>
      <c r="E25" s="19"/>
      <c r="F25" s="19"/>
      <c r="G25" s="19"/>
      <c r="H25" s="19"/>
      <c r="I25" s="19" t="s">
        <v>107</v>
      </c>
      <c r="J25" s="19" t="s">
        <v>2</v>
      </c>
      <c r="K25" s="19"/>
      <c r="L25" s="19"/>
      <c r="M25" s="19"/>
      <c r="N25" s="19"/>
      <c r="O25" s="19"/>
      <c r="P25" s="19" t="s">
        <v>1129</v>
      </c>
      <c r="Q25" s="19" t="s">
        <v>315</v>
      </c>
      <c r="R25" s="19"/>
      <c r="V25" s="71"/>
      <c r="W25" s="40" t="s">
        <v>1265</v>
      </c>
      <c r="X25" s="40">
        <f t="shared" si="0"/>
        <v>3</v>
      </c>
      <c r="Y25" s="133" t="s">
        <v>774</v>
      </c>
      <c r="Z25" s="133"/>
      <c r="AF25" s="40">
        <v>7</v>
      </c>
      <c r="AG25" s="40" t="s">
        <v>1349</v>
      </c>
      <c r="AI25" s="40">
        <v>7</v>
      </c>
      <c r="AJ25" s="40" t="s">
        <v>875</v>
      </c>
    </row>
    <row r="26" spans="1:38" ht="16.5" customHeight="1">
      <c r="A26" s="28">
        <v>2</v>
      </c>
      <c r="B26" s="19" t="s">
        <v>14</v>
      </c>
      <c r="C26" s="19" t="s">
        <v>814</v>
      </c>
      <c r="D26" s="19"/>
      <c r="E26" s="19"/>
      <c r="F26" s="19"/>
      <c r="G26" s="19"/>
      <c r="H26" s="19"/>
      <c r="I26" s="19" t="s">
        <v>864</v>
      </c>
      <c r="J26" s="19" t="s">
        <v>774</v>
      </c>
      <c r="K26" s="19"/>
      <c r="L26" s="19"/>
      <c r="M26" s="19"/>
      <c r="N26" s="19"/>
      <c r="O26" s="19"/>
      <c r="P26" s="19" t="s">
        <v>93</v>
      </c>
      <c r="Q26" s="19" t="s">
        <v>1349</v>
      </c>
      <c r="R26" s="19"/>
      <c r="T26" s="71"/>
      <c r="V26" s="40" t="s">
        <v>169</v>
      </c>
      <c r="W26" s="40" t="s">
        <v>25</v>
      </c>
      <c r="X26" s="40">
        <f t="shared" si="0"/>
        <v>2</v>
      </c>
      <c r="Y26" s="133" t="s">
        <v>516</v>
      </c>
      <c r="Z26" s="133"/>
      <c r="AF26" s="40">
        <v>8</v>
      </c>
      <c r="AG26" s="40" t="s">
        <v>516</v>
      </c>
      <c r="AI26" s="40">
        <v>8</v>
      </c>
      <c r="AJ26" s="40" t="s">
        <v>356</v>
      </c>
    </row>
    <row r="27" spans="1:38" ht="16.5" customHeight="1">
      <c r="A27" s="28">
        <v>3</v>
      </c>
      <c r="B27" s="19" t="s">
        <v>37</v>
      </c>
      <c r="C27" s="19" t="s">
        <v>1159</v>
      </c>
      <c r="D27" s="19"/>
      <c r="E27" s="19"/>
      <c r="F27" s="19"/>
      <c r="G27" s="19"/>
      <c r="H27" s="19"/>
      <c r="I27" s="19" t="s">
        <v>36</v>
      </c>
      <c r="J27" s="19" t="s">
        <v>1065</v>
      </c>
      <c r="K27" s="19"/>
      <c r="L27" s="19"/>
      <c r="M27" s="19"/>
      <c r="N27" s="19"/>
      <c r="O27" s="19"/>
      <c r="P27" s="19" t="s">
        <v>1328</v>
      </c>
      <c r="Q27" s="19" t="s">
        <v>37</v>
      </c>
      <c r="R27" s="19"/>
      <c r="T27" s="72"/>
      <c r="V27" s="71"/>
      <c r="W27" s="40" t="s">
        <v>774</v>
      </c>
      <c r="X27" s="40">
        <f t="shared" si="0"/>
        <v>2</v>
      </c>
      <c r="Y27" s="136" t="s">
        <v>864</v>
      </c>
      <c r="Z27" s="133"/>
      <c r="AF27" s="40">
        <v>9</v>
      </c>
      <c r="AG27" s="40" t="s">
        <v>312</v>
      </c>
      <c r="AI27" s="40">
        <v>9</v>
      </c>
      <c r="AJ27" s="40" t="s">
        <v>1159</v>
      </c>
    </row>
    <row r="28" spans="1:38" ht="16.5" customHeight="1">
      <c r="A28" s="28" t="s">
        <v>20</v>
      </c>
      <c r="B28" s="19" t="s">
        <v>1266</v>
      </c>
      <c r="C28" s="19" t="s">
        <v>1266</v>
      </c>
      <c r="D28" s="19" t="s">
        <v>516</v>
      </c>
      <c r="E28" s="19" t="s">
        <v>1266</v>
      </c>
      <c r="F28" s="19" t="s">
        <v>1266</v>
      </c>
      <c r="G28" s="19" t="s">
        <v>1266</v>
      </c>
      <c r="H28" s="19" t="s">
        <v>1266</v>
      </c>
      <c r="I28" s="19" t="s">
        <v>1266</v>
      </c>
      <c r="J28" s="19" t="s">
        <v>1266</v>
      </c>
      <c r="K28" s="19" t="s">
        <v>312</v>
      </c>
      <c r="L28" s="19" t="s">
        <v>1266</v>
      </c>
      <c r="M28" s="19" t="s">
        <v>1266</v>
      </c>
      <c r="N28" s="19" t="s">
        <v>1266</v>
      </c>
      <c r="O28" s="19" t="s">
        <v>1266</v>
      </c>
      <c r="P28" s="19" t="s">
        <v>1266</v>
      </c>
      <c r="Q28" s="19" t="s">
        <v>1266</v>
      </c>
      <c r="R28" s="19" t="s">
        <v>774</v>
      </c>
      <c r="T28" s="72"/>
      <c r="V28" s="71"/>
      <c r="W28" s="40" t="s">
        <v>516</v>
      </c>
      <c r="X28" s="40">
        <f t="shared" si="0"/>
        <v>2</v>
      </c>
      <c r="Y28" s="133" t="s">
        <v>1129</v>
      </c>
      <c r="Z28" s="133"/>
      <c r="AF28" s="40">
        <v>10</v>
      </c>
      <c r="AG28" s="40" t="s">
        <v>1114</v>
      </c>
      <c r="AI28" s="40">
        <v>10</v>
      </c>
      <c r="AJ28" s="40" t="s">
        <v>356</v>
      </c>
    </row>
    <row r="29" spans="1:38" ht="16.5" customHeight="1">
      <c r="A29" s="28" t="s">
        <v>0</v>
      </c>
      <c r="B29" s="19" t="s">
        <v>1266</v>
      </c>
      <c r="C29" s="19" t="s">
        <v>1266</v>
      </c>
      <c r="D29" s="19" t="s">
        <v>356</v>
      </c>
      <c r="E29" s="19" t="s">
        <v>1266</v>
      </c>
      <c r="F29" s="19" t="s">
        <v>1266</v>
      </c>
      <c r="G29" s="19" t="s">
        <v>1266</v>
      </c>
      <c r="H29" s="19" t="s">
        <v>1266</v>
      </c>
      <c r="I29" s="19" t="s">
        <v>1266</v>
      </c>
      <c r="J29" s="19" t="s">
        <v>1266</v>
      </c>
      <c r="K29" s="19" t="s">
        <v>1157</v>
      </c>
      <c r="L29" s="19" t="s">
        <v>1266</v>
      </c>
      <c r="M29" s="19" t="s">
        <v>1266</v>
      </c>
      <c r="N29" s="19" t="s">
        <v>1266</v>
      </c>
      <c r="O29" s="19" t="s">
        <v>1266</v>
      </c>
      <c r="P29" s="19" t="s">
        <v>1266</v>
      </c>
      <c r="Q29" s="19" t="s">
        <v>1266</v>
      </c>
      <c r="R29" s="19" t="s">
        <v>356</v>
      </c>
      <c r="T29" s="72"/>
      <c r="V29" s="71"/>
      <c r="W29" s="40" t="s">
        <v>312</v>
      </c>
      <c r="X29" s="40">
        <f>COUNTIF($B$3:$R$5,W29)+COUNTIF($B$10:$R$12,W29)+COUNTIF($B$18:$R$20,W29)+COUNTIF($B$25:$R$27,W29)</f>
        <v>2</v>
      </c>
      <c r="Y29" s="133"/>
      <c r="Z29" s="133"/>
    </row>
    <row r="30" spans="1:38" ht="16.5" customHeight="1">
      <c r="A30" s="28" t="s">
        <v>1</v>
      </c>
      <c r="B30" s="19"/>
      <c r="C30" s="19"/>
      <c r="D30" s="19"/>
      <c r="E30" s="19"/>
      <c r="F30" s="19"/>
      <c r="G30" s="19"/>
      <c r="H30" s="19"/>
      <c r="I30" s="19"/>
      <c r="J30" s="19"/>
      <c r="K30" s="19"/>
      <c r="L30" s="19"/>
      <c r="M30" s="19"/>
      <c r="N30" s="19"/>
      <c r="O30" s="19"/>
      <c r="P30" s="19"/>
      <c r="Q30" s="19"/>
      <c r="R30" s="19"/>
      <c r="T30" s="71"/>
      <c r="V30" s="71"/>
      <c r="W30" s="40" t="s">
        <v>1349</v>
      </c>
      <c r="X30" s="40">
        <f t="shared" si="0"/>
        <v>3</v>
      </c>
      <c r="Y30" s="133"/>
      <c r="Z30" s="133"/>
    </row>
    <row r="31" spans="1:38" ht="16.5" customHeight="1">
      <c r="A31" s="111" t="s">
        <v>1377</v>
      </c>
      <c r="B31" s="111"/>
      <c r="C31" s="111"/>
      <c r="D31" s="111"/>
      <c r="E31" s="111"/>
      <c r="F31" s="111"/>
      <c r="G31" s="111"/>
      <c r="H31" s="111"/>
      <c r="I31" s="111"/>
      <c r="J31" s="111"/>
      <c r="K31" s="111"/>
      <c r="L31" s="111"/>
      <c r="M31" s="111"/>
      <c r="N31" s="111"/>
      <c r="O31" s="111"/>
      <c r="P31" s="111"/>
      <c r="Q31" s="145" t="s">
        <v>82</v>
      </c>
      <c r="R31" s="145"/>
      <c r="T31" s="72"/>
      <c r="W31" s="40" t="s">
        <v>1129</v>
      </c>
      <c r="X31" s="40">
        <f t="shared" si="0"/>
        <v>3</v>
      </c>
      <c r="Y31" s="133"/>
      <c r="Z31" s="133"/>
    </row>
    <row r="32" spans="1:38" ht="16.5" customHeight="1">
      <c r="A32" s="111" t="s">
        <v>1378</v>
      </c>
      <c r="B32" s="111"/>
      <c r="C32" s="111"/>
      <c r="D32" s="111"/>
      <c r="E32" s="111"/>
      <c r="F32" s="111"/>
      <c r="G32" s="111"/>
      <c r="H32" s="111"/>
      <c r="I32" s="111"/>
      <c r="J32" s="111"/>
      <c r="K32" s="111"/>
      <c r="L32" s="111"/>
      <c r="M32" s="111"/>
      <c r="N32" s="111"/>
      <c r="O32" s="111"/>
      <c r="P32" s="111"/>
      <c r="Q32" s="85"/>
      <c r="R32" s="85"/>
      <c r="T32" s="72"/>
      <c r="W32" s="40" t="s">
        <v>153</v>
      </c>
      <c r="X32" s="40">
        <f>COUNTIF($B$3:$R$5,W32)+COUNTIF($B$10:$R$12,W32)+COUNTIF($B$18:$R$20,W32)+COUNTIF($B$25:$R$27,W32)</f>
        <v>2</v>
      </c>
      <c r="Y32" s="133"/>
      <c r="Z32" s="133"/>
    </row>
    <row r="33" spans="1:29" ht="16.5" customHeight="1">
      <c r="V33" s="40" t="s">
        <v>1400</v>
      </c>
      <c r="W33" s="40" t="s">
        <v>864</v>
      </c>
      <c r="X33" s="40">
        <f t="shared" si="0"/>
        <v>3</v>
      </c>
      <c r="Y33" s="133"/>
      <c r="Z33" s="133"/>
    </row>
    <row r="34" spans="1:29" ht="16.5" customHeight="1">
      <c r="R34" s="43"/>
      <c r="V34" s="40">
        <v>18</v>
      </c>
      <c r="W34" s="40">
        <f>V34*2</f>
        <v>36</v>
      </c>
      <c r="X34" s="40">
        <f>SUM(X19:X33)</f>
        <v>36</v>
      </c>
      <c r="AB34" s="40">
        <f>V34</f>
        <v>18</v>
      </c>
      <c r="AC34" s="40">
        <f>SUM(AC19:AC24)</f>
        <v>18</v>
      </c>
    </row>
    <row r="35" spans="1:29" ht="16.5" customHeight="1">
      <c r="R35" s="55"/>
    </row>
    <row r="36" spans="1:29" ht="12.75" customHeight="1">
      <c r="R36" s="55"/>
    </row>
    <row r="37" spans="1:29">
      <c r="A37" s="40" t="s">
        <v>322</v>
      </c>
      <c r="B37" s="49"/>
      <c r="C37" s="49"/>
      <c r="D37" s="49"/>
      <c r="E37" s="49"/>
      <c r="F37" s="49"/>
      <c r="G37" s="49"/>
      <c r="H37" s="55"/>
      <c r="I37" s="49"/>
      <c r="J37" s="49"/>
      <c r="K37" s="49"/>
      <c r="L37" s="49"/>
      <c r="M37" s="49"/>
      <c r="N37" s="49"/>
      <c r="O37" s="49"/>
      <c r="R37" s="55"/>
    </row>
    <row r="38" spans="1:29">
      <c r="A38" s="49" t="s">
        <v>1062</v>
      </c>
      <c r="B38" s="49" t="s">
        <v>1063</v>
      </c>
      <c r="C38" s="49"/>
      <c r="D38" s="49"/>
      <c r="E38" s="49"/>
      <c r="F38" s="49"/>
      <c r="G38" s="49" t="s">
        <v>1000</v>
      </c>
      <c r="H38" s="49"/>
      <c r="I38" s="55"/>
      <c r="J38" s="55"/>
      <c r="K38" s="55" t="s">
        <v>1108</v>
      </c>
      <c r="L38" s="55"/>
      <c r="M38" s="55"/>
      <c r="N38" s="55"/>
      <c r="O38" s="55"/>
      <c r="P38" s="43"/>
      <c r="Q38" s="43"/>
      <c r="R38" s="55"/>
    </row>
    <row r="39" spans="1:29">
      <c r="A39" s="83" t="s">
        <v>1409</v>
      </c>
      <c r="B39" s="49"/>
      <c r="C39" s="49"/>
      <c r="D39" s="49"/>
      <c r="E39" s="49"/>
      <c r="F39" s="49"/>
      <c r="G39" s="95"/>
      <c r="H39" s="49"/>
      <c r="I39" s="55"/>
      <c r="J39" s="55"/>
      <c r="K39" s="131" t="s">
        <v>1352</v>
      </c>
      <c r="L39" s="55"/>
      <c r="M39" s="55"/>
      <c r="N39" s="55"/>
      <c r="O39" s="55"/>
      <c r="P39" s="55"/>
      <c r="Q39" s="55"/>
      <c r="R39" s="55"/>
      <c r="S39" s="49"/>
      <c r="X39" s="71"/>
    </row>
    <row r="40" spans="1:29">
      <c r="A40" s="84" t="s">
        <v>1410</v>
      </c>
      <c r="B40" s="49"/>
      <c r="C40" s="49"/>
      <c r="D40" s="49"/>
      <c r="E40" s="49"/>
      <c r="F40" s="49"/>
      <c r="G40" s="122" t="s">
        <v>1409</v>
      </c>
      <c r="H40" s="49"/>
      <c r="I40" s="55"/>
      <c r="J40" s="55"/>
      <c r="K40" s="132" t="s">
        <v>1261</v>
      </c>
      <c r="L40" s="55"/>
      <c r="M40" s="55"/>
      <c r="N40" s="55"/>
      <c r="O40" s="55"/>
      <c r="P40" s="55"/>
      <c r="Q40" s="55"/>
      <c r="R40" s="55"/>
      <c r="S40" s="49"/>
      <c r="X40" s="71"/>
      <c r="Y40" s="71"/>
    </row>
    <row r="41" spans="1:29">
      <c r="A41" s="117" t="s">
        <v>1140</v>
      </c>
      <c r="B41" s="49"/>
      <c r="C41" s="49"/>
      <c r="D41" s="49"/>
      <c r="E41" s="49"/>
      <c r="F41" s="76"/>
      <c r="G41" s="121" t="s">
        <v>1421</v>
      </c>
      <c r="H41" s="55"/>
      <c r="I41" s="55"/>
      <c r="J41" s="55"/>
      <c r="K41" s="131" t="s">
        <v>1436</v>
      </c>
      <c r="L41" s="55"/>
      <c r="M41" s="55"/>
      <c r="N41" s="55"/>
      <c r="O41" s="55"/>
      <c r="P41" s="55"/>
      <c r="Q41" s="55"/>
      <c r="R41" s="55"/>
      <c r="S41" s="49"/>
      <c r="X41" s="71"/>
      <c r="Y41" s="71"/>
    </row>
    <row r="42" spans="1:29">
      <c r="A42" s="84" t="s">
        <v>1411</v>
      </c>
      <c r="B42" s="49"/>
      <c r="C42" s="49"/>
      <c r="D42" s="49"/>
      <c r="E42" s="49"/>
      <c r="F42" s="77"/>
      <c r="G42" s="98" t="s">
        <v>1140</v>
      </c>
      <c r="H42" s="49"/>
      <c r="I42" s="55"/>
      <c r="J42" s="55"/>
      <c r="L42" s="55"/>
      <c r="M42" s="55"/>
      <c r="N42" s="55"/>
      <c r="O42" s="55"/>
      <c r="P42" s="55"/>
      <c r="Q42" s="55"/>
      <c r="R42" s="55"/>
      <c r="S42" s="49"/>
    </row>
    <row r="43" spans="1:29">
      <c r="A43" s="90" t="s">
        <v>1141</v>
      </c>
      <c r="B43" s="49"/>
      <c r="C43" s="49"/>
      <c r="D43" s="49"/>
      <c r="E43" s="49"/>
      <c r="F43" s="77"/>
      <c r="G43" s="117" t="s">
        <v>1422</v>
      </c>
      <c r="H43" s="49"/>
      <c r="L43" s="40" t="s">
        <v>1343</v>
      </c>
      <c r="N43" s="71" t="s">
        <v>1344</v>
      </c>
      <c r="O43" s="40" t="s">
        <v>1395</v>
      </c>
      <c r="P43" s="40" t="s">
        <v>1343</v>
      </c>
      <c r="Q43" s="40" t="s">
        <v>1395</v>
      </c>
      <c r="R43" s="40" t="s">
        <v>1344</v>
      </c>
    </row>
    <row r="44" spans="1:29">
      <c r="A44" s="84" t="s">
        <v>1412</v>
      </c>
      <c r="B44" s="49"/>
      <c r="C44" s="76"/>
      <c r="D44" s="49"/>
      <c r="E44" s="49"/>
      <c r="F44" s="77"/>
      <c r="G44" s="123" t="s">
        <v>1102</v>
      </c>
      <c r="H44" s="49"/>
      <c r="K44" s="40" t="s">
        <v>2</v>
      </c>
      <c r="L44" s="40">
        <f>COUNTIF($B$3:$R$5,K44)+COUNTIF($B$10:$R$12,K44)</f>
        <v>1</v>
      </c>
      <c r="M44" s="40" t="s">
        <v>2</v>
      </c>
      <c r="N44" s="40">
        <f>COUNTIF($B$18:$R$20,M44)+COUNTIF($B$25:$R$27,M44)</f>
        <v>1</v>
      </c>
      <c r="O44" s="40" t="s">
        <v>1159</v>
      </c>
      <c r="P44" s="40">
        <f>COUNTIF($B$3:$R$5,O44)+COUNTIF($B$10:$R$12,O44)</f>
        <v>1</v>
      </c>
      <c r="Q44" s="40" t="s">
        <v>1159</v>
      </c>
      <c r="R44" s="40">
        <f>COUNTIF($B$18:$R$20,Q44)+COUNTIF($B$25:$R$27,Q44)</f>
        <v>1</v>
      </c>
    </row>
    <row r="45" spans="1:29">
      <c r="A45" s="90" t="s">
        <v>1049</v>
      </c>
      <c r="B45" s="49"/>
      <c r="C45" s="49"/>
      <c r="D45" s="49"/>
      <c r="E45" s="49"/>
      <c r="F45" s="77"/>
      <c r="G45" s="83" t="s">
        <v>1423</v>
      </c>
      <c r="H45" s="49"/>
      <c r="K45" s="40" t="s">
        <v>7</v>
      </c>
      <c r="L45" s="40">
        <f t="shared" ref="L45:L58" si="2">COUNTIF($B$3:$R$5,K45)+COUNTIF($B$10:$R$12,K45)</f>
        <v>1</v>
      </c>
      <c r="M45" s="40" t="s">
        <v>7</v>
      </c>
      <c r="N45" s="40">
        <f t="shared" ref="N45:N58" si="3">COUNTIF($B$18:$R$20,M45)+COUNTIF($B$25:$R$27,M45)</f>
        <v>1</v>
      </c>
      <c r="O45" s="40" t="s">
        <v>1065</v>
      </c>
      <c r="P45" s="40">
        <f t="shared" ref="P45:P49" si="4">COUNTIF($B$3:$R$5,O45)+COUNTIF($B$10:$R$12,O45)</f>
        <v>2</v>
      </c>
      <c r="Q45" s="40" t="s">
        <v>1065</v>
      </c>
      <c r="R45" s="40">
        <f t="shared" ref="R45:R49" si="5">COUNTIF($B$18:$R$20,Q45)+COUNTIF($B$25:$R$27,Q45)</f>
        <v>2</v>
      </c>
    </row>
    <row r="46" spans="1:29">
      <c r="A46" s="84" t="s">
        <v>1413</v>
      </c>
      <c r="B46" s="49"/>
      <c r="C46" s="49"/>
      <c r="D46" s="49"/>
      <c r="E46" s="49"/>
      <c r="F46" s="49"/>
      <c r="G46" s="103" t="s">
        <v>1049</v>
      </c>
      <c r="H46" s="49"/>
      <c r="K46" s="40" t="s">
        <v>107</v>
      </c>
      <c r="L46" s="40">
        <f t="shared" si="2"/>
        <v>2</v>
      </c>
      <c r="M46" s="40" t="s">
        <v>107</v>
      </c>
      <c r="N46" s="40">
        <f t="shared" si="3"/>
        <v>1</v>
      </c>
      <c r="O46" s="40" t="s">
        <v>37</v>
      </c>
      <c r="P46" s="40">
        <f t="shared" si="4"/>
        <v>1</v>
      </c>
      <c r="Q46" s="40" t="s">
        <v>37</v>
      </c>
      <c r="R46" s="40">
        <f t="shared" si="5"/>
        <v>3</v>
      </c>
    </row>
    <row r="47" spans="1:29">
      <c r="A47" s="95" t="s">
        <v>1233</v>
      </c>
      <c r="B47" s="49"/>
      <c r="C47" s="49"/>
      <c r="D47" s="49"/>
      <c r="E47" s="49"/>
      <c r="F47" s="77"/>
      <c r="G47" s="125" t="s">
        <v>1424</v>
      </c>
      <c r="H47" s="49"/>
      <c r="K47" s="40" t="s">
        <v>14</v>
      </c>
      <c r="L47" s="40">
        <f t="shared" si="2"/>
        <v>1</v>
      </c>
      <c r="M47" s="40" t="s">
        <v>14</v>
      </c>
      <c r="N47" s="40">
        <f t="shared" si="3"/>
        <v>1</v>
      </c>
      <c r="O47" s="40" t="s">
        <v>875</v>
      </c>
      <c r="P47" s="40">
        <f t="shared" si="4"/>
        <v>1</v>
      </c>
      <c r="Q47" s="40" t="s">
        <v>875</v>
      </c>
      <c r="R47" s="40">
        <f t="shared" si="5"/>
        <v>1</v>
      </c>
    </row>
    <row r="48" spans="1:29">
      <c r="A48" s="104" t="s">
        <v>1414</v>
      </c>
      <c r="B48" s="49"/>
      <c r="C48" s="49"/>
      <c r="D48" s="49"/>
      <c r="E48" s="49"/>
      <c r="F48" s="77"/>
      <c r="G48" s="115" t="s">
        <v>1416</v>
      </c>
      <c r="H48" s="49"/>
      <c r="K48" s="40" t="s">
        <v>314</v>
      </c>
      <c r="L48" s="40">
        <f t="shared" si="2"/>
        <v>1</v>
      </c>
      <c r="M48" s="40" t="s">
        <v>314</v>
      </c>
      <c r="N48" s="40">
        <f t="shared" si="3"/>
        <v>1</v>
      </c>
      <c r="O48" s="40" t="s">
        <v>36</v>
      </c>
      <c r="P48" s="40">
        <f t="shared" si="4"/>
        <v>2</v>
      </c>
      <c r="Q48" s="40" t="s">
        <v>36</v>
      </c>
      <c r="R48" s="40">
        <f t="shared" si="5"/>
        <v>2</v>
      </c>
    </row>
    <row r="49" spans="1:25">
      <c r="A49" s="95" t="s">
        <v>1338</v>
      </c>
      <c r="B49" s="49"/>
      <c r="C49" s="49"/>
      <c r="D49" s="49"/>
      <c r="E49" s="49"/>
      <c r="F49" s="77"/>
      <c r="G49" s="83" t="s">
        <v>1425</v>
      </c>
      <c r="H49" s="49"/>
      <c r="K49" s="40" t="s">
        <v>93</v>
      </c>
      <c r="L49" s="40">
        <f t="shared" si="2"/>
        <v>1</v>
      </c>
      <c r="M49" s="40" t="s">
        <v>93</v>
      </c>
      <c r="N49" s="40">
        <f t="shared" si="3"/>
        <v>2</v>
      </c>
      <c r="O49" s="40" t="s">
        <v>1328</v>
      </c>
      <c r="P49" s="40">
        <f t="shared" si="4"/>
        <v>1</v>
      </c>
      <c r="Q49" s="40" t="s">
        <v>1328</v>
      </c>
      <c r="R49" s="40">
        <f t="shared" si="5"/>
        <v>1</v>
      </c>
    </row>
    <row r="50" spans="1:25">
      <c r="A50" s="130" t="s">
        <v>1415</v>
      </c>
      <c r="B50" s="49"/>
      <c r="C50" s="49"/>
      <c r="D50" s="49"/>
      <c r="E50" s="49"/>
      <c r="F50" s="49"/>
      <c r="G50" s="50" t="s">
        <v>1142</v>
      </c>
      <c r="H50" s="49"/>
      <c r="K50" s="40" t="s">
        <v>1265</v>
      </c>
      <c r="L50" s="40">
        <f t="shared" si="2"/>
        <v>1</v>
      </c>
      <c r="M50" s="40" t="s">
        <v>1265</v>
      </c>
      <c r="N50" s="40">
        <f t="shared" si="3"/>
        <v>2</v>
      </c>
      <c r="P50" s="55"/>
      <c r="Q50" s="49"/>
      <c r="R50" s="49"/>
    </row>
    <row r="51" spans="1:25">
      <c r="A51" s="90" t="s">
        <v>1416</v>
      </c>
      <c r="B51" s="49"/>
      <c r="C51" s="49"/>
      <c r="D51" s="49"/>
      <c r="E51" s="49"/>
      <c r="F51" s="77"/>
      <c r="G51" s="118" t="s">
        <v>1426</v>
      </c>
      <c r="H51" s="49"/>
      <c r="K51" s="40" t="s">
        <v>25</v>
      </c>
      <c r="L51" s="40">
        <f t="shared" si="2"/>
        <v>1</v>
      </c>
      <c r="M51" s="40" t="s">
        <v>25</v>
      </c>
      <c r="N51" s="40">
        <f t="shared" si="3"/>
        <v>1</v>
      </c>
      <c r="P51" s="55"/>
      <c r="Q51" s="49"/>
      <c r="R51" s="49"/>
    </row>
    <row r="52" spans="1:25">
      <c r="A52" s="91" t="s">
        <v>1417</v>
      </c>
      <c r="B52" s="49"/>
      <c r="C52" s="49"/>
      <c r="D52" s="49"/>
      <c r="E52" s="49"/>
      <c r="F52" s="49"/>
      <c r="G52" s="84" t="s">
        <v>1052</v>
      </c>
      <c r="H52" s="49"/>
      <c r="I52" s="71"/>
      <c r="J52" s="71"/>
      <c r="K52" s="40" t="s">
        <v>774</v>
      </c>
      <c r="L52" s="40">
        <f t="shared" si="2"/>
        <v>1</v>
      </c>
      <c r="M52" s="40" t="s">
        <v>774</v>
      </c>
      <c r="N52" s="40">
        <f t="shared" si="3"/>
        <v>1</v>
      </c>
      <c r="P52" s="55"/>
      <c r="Q52" s="49"/>
      <c r="R52" s="49"/>
    </row>
    <row r="53" spans="1:25">
      <c r="A53" s="95" t="s">
        <v>1081</v>
      </c>
      <c r="B53" s="73"/>
      <c r="C53" s="49"/>
      <c r="D53" s="49"/>
      <c r="E53" s="49"/>
      <c r="F53" s="49"/>
      <c r="G53" s="83" t="s">
        <v>1427</v>
      </c>
      <c r="H53" s="49"/>
      <c r="I53" s="71"/>
      <c r="J53" s="71"/>
      <c r="K53" s="40" t="s">
        <v>516</v>
      </c>
      <c r="L53" s="40">
        <f t="shared" si="2"/>
        <v>1</v>
      </c>
      <c r="M53" s="40" t="s">
        <v>516</v>
      </c>
      <c r="N53" s="40">
        <f t="shared" si="3"/>
        <v>1</v>
      </c>
      <c r="P53" s="49"/>
      <c r="Q53" s="49"/>
      <c r="R53" s="49"/>
    </row>
    <row r="54" spans="1:25">
      <c r="A54" s="91" t="s">
        <v>1428</v>
      </c>
      <c r="B54" s="49"/>
      <c r="C54" s="49"/>
      <c r="D54" s="49"/>
      <c r="E54" s="49"/>
      <c r="F54" s="49"/>
      <c r="G54" s="87"/>
      <c r="H54" s="49"/>
      <c r="I54" s="71"/>
      <c r="J54" s="71"/>
      <c r="K54" s="40" t="s">
        <v>153</v>
      </c>
      <c r="L54" s="40">
        <f t="shared" si="2"/>
        <v>1</v>
      </c>
      <c r="M54" s="40" t="s">
        <v>153</v>
      </c>
      <c r="N54" s="40">
        <f t="shared" si="3"/>
        <v>1</v>
      </c>
      <c r="P54" s="49"/>
      <c r="Q54" s="49"/>
      <c r="R54" s="49"/>
    </row>
    <row r="55" spans="1:25">
      <c r="A55" s="118" t="s">
        <v>1240</v>
      </c>
      <c r="B55" s="49"/>
      <c r="C55" s="49"/>
      <c r="D55" s="49"/>
      <c r="E55" s="49"/>
      <c r="F55" s="76"/>
      <c r="G55" s="49"/>
      <c r="H55" s="49"/>
      <c r="I55" s="71"/>
      <c r="J55" s="71"/>
      <c r="K55" s="40" t="s">
        <v>1349</v>
      </c>
      <c r="L55" s="40">
        <f t="shared" si="2"/>
        <v>1</v>
      </c>
      <c r="M55" s="40" t="s">
        <v>1349</v>
      </c>
      <c r="N55" s="40">
        <f t="shared" si="3"/>
        <v>2</v>
      </c>
      <c r="P55" s="49"/>
      <c r="Q55" s="49"/>
      <c r="R55" s="49"/>
    </row>
    <row r="56" spans="1:25">
      <c r="A56" s="100" t="s">
        <v>1418</v>
      </c>
      <c r="B56" s="49"/>
      <c r="C56" s="49"/>
      <c r="D56" s="49"/>
      <c r="E56" s="49"/>
      <c r="F56" s="49"/>
      <c r="G56" s="49"/>
      <c r="H56" s="49"/>
      <c r="I56" s="71"/>
      <c r="J56" s="71"/>
      <c r="K56" s="40" t="s">
        <v>1129</v>
      </c>
      <c r="L56" s="40">
        <f t="shared" si="2"/>
        <v>1</v>
      </c>
      <c r="M56" s="40" t="s">
        <v>1129</v>
      </c>
      <c r="N56" s="40">
        <f t="shared" si="3"/>
        <v>2</v>
      </c>
      <c r="P56" s="49"/>
      <c r="Q56" s="49"/>
      <c r="R56" s="49"/>
    </row>
    <row r="57" spans="1:25">
      <c r="A57" s="125" t="s">
        <v>1142</v>
      </c>
      <c r="B57" s="49"/>
      <c r="C57" s="49"/>
      <c r="D57" s="49"/>
      <c r="E57" s="49"/>
      <c r="F57" s="49"/>
      <c r="G57" s="49"/>
      <c r="H57" s="49"/>
      <c r="I57" s="71"/>
      <c r="J57" s="71"/>
      <c r="K57" s="40" t="s">
        <v>312</v>
      </c>
      <c r="L57" s="40">
        <f t="shared" si="2"/>
        <v>1</v>
      </c>
      <c r="M57" s="40" t="s">
        <v>312</v>
      </c>
      <c r="N57" s="40">
        <f t="shared" si="3"/>
        <v>1</v>
      </c>
      <c r="P57" s="49"/>
      <c r="Q57" s="49"/>
      <c r="R57" s="49"/>
    </row>
    <row r="58" spans="1:25">
      <c r="A58" s="126" t="s">
        <v>1419</v>
      </c>
      <c r="B58" s="49"/>
      <c r="C58" s="49"/>
      <c r="D58" s="49"/>
      <c r="E58" s="49"/>
      <c r="F58" s="49"/>
      <c r="G58" s="49"/>
      <c r="H58" s="49"/>
      <c r="K58" s="40" t="s">
        <v>864</v>
      </c>
      <c r="L58" s="40">
        <f t="shared" si="2"/>
        <v>1</v>
      </c>
      <c r="M58" s="40" t="s">
        <v>864</v>
      </c>
      <c r="N58" s="40">
        <f t="shared" si="3"/>
        <v>2</v>
      </c>
      <c r="P58" s="49"/>
      <c r="Q58" s="49"/>
      <c r="R58" s="49"/>
    </row>
    <row r="59" spans="1:25">
      <c r="A59" s="79" t="s">
        <v>1052</v>
      </c>
      <c r="B59" s="73"/>
      <c r="C59" s="73"/>
      <c r="D59" s="49"/>
      <c r="E59" s="49"/>
      <c r="F59" s="49"/>
      <c r="G59" s="49"/>
      <c r="H59" s="49"/>
      <c r="L59" s="40">
        <f>SUM(L44:L58)</f>
        <v>16</v>
      </c>
      <c r="N59" s="40">
        <f>SUM(N44:N58)</f>
        <v>20</v>
      </c>
      <c r="P59" s="40">
        <f>SUM(P44:P58)</f>
        <v>8</v>
      </c>
      <c r="Q59" s="49"/>
      <c r="R59" s="40">
        <f>SUM(R44:R58)</f>
        <v>10</v>
      </c>
      <c r="V59" s="71"/>
      <c r="W59" s="71"/>
      <c r="X59" s="71"/>
      <c r="Y59" s="71"/>
    </row>
    <row r="60" spans="1:25">
      <c r="A60" s="50" t="s">
        <v>1420</v>
      </c>
      <c r="B60" s="73"/>
      <c r="C60" s="73"/>
      <c r="D60" s="49"/>
      <c r="E60" s="49"/>
      <c r="F60" s="49"/>
      <c r="G60" s="49"/>
      <c r="H60" s="49"/>
      <c r="I60" s="49"/>
      <c r="J60" s="49"/>
      <c r="K60" s="49"/>
      <c r="L60" s="49"/>
      <c r="M60" s="49"/>
      <c r="N60" s="49"/>
      <c r="O60" s="49"/>
      <c r="P60" s="49"/>
      <c r="Q60" s="49"/>
      <c r="R60" s="49"/>
      <c r="S60" s="49"/>
      <c r="T60" s="71"/>
      <c r="U60" s="71"/>
      <c r="V60" s="71"/>
      <c r="W60" s="71"/>
      <c r="X60" s="71"/>
      <c r="Y60" s="71"/>
    </row>
    <row r="61" spans="1:25">
      <c r="A61" s="119" t="s">
        <v>107</v>
      </c>
      <c r="B61" s="73"/>
      <c r="C61" s="73"/>
      <c r="D61" s="73"/>
      <c r="E61" s="73"/>
      <c r="F61" s="73"/>
      <c r="G61" s="73"/>
      <c r="H61" s="73"/>
      <c r="I61" s="73"/>
      <c r="J61" s="73"/>
      <c r="K61" s="73"/>
      <c r="L61" s="73"/>
      <c r="M61" s="73"/>
      <c r="N61" s="73"/>
      <c r="O61" s="73"/>
      <c r="P61" s="73"/>
      <c r="Q61" s="73"/>
      <c r="R61" s="73"/>
      <c r="S61" s="49"/>
      <c r="T61" s="71"/>
      <c r="U61" s="71"/>
      <c r="V61" s="71"/>
      <c r="W61" s="71"/>
      <c r="X61" s="71"/>
      <c r="Y61" s="71"/>
    </row>
    <row r="62" spans="1:25">
      <c r="A62" s="50" t="s">
        <v>1429</v>
      </c>
      <c r="B62" s="73"/>
      <c r="C62" s="73"/>
      <c r="D62" s="73"/>
      <c r="E62" s="73"/>
      <c r="F62" s="73"/>
      <c r="G62" s="73"/>
      <c r="H62" s="73"/>
      <c r="I62" s="73"/>
      <c r="J62" s="73"/>
      <c r="K62" s="73"/>
      <c r="L62" s="73"/>
      <c r="M62" s="73"/>
      <c r="N62" s="73"/>
      <c r="O62" s="73"/>
      <c r="P62" s="73"/>
      <c r="Q62" s="73"/>
      <c r="R62" s="73"/>
      <c r="S62" s="49"/>
      <c r="T62" s="71"/>
      <c r="U62" s="71"/>
      <c r="V62" s="71"/>
      <c r="W62" s="71"/>
      <c r="X62" s="71"/>
      <c r="Y62" s="71"/>
    </row>
    <row r="63" spans="1:25">
      <c r="A63" s="119" t="s">
        <v>774</v>
      </c>
      <c r="B63" s="73"/>
      <c r="C63" s="73"/>
      <c r="D63" s="73"/>
      <c r="E63" s="73"/>
      <c r="F63" s="73"/>
      <c r="G63" s="73"/>
      <c r="H63" s="73"/>
      <c r="I63" s="73"/>
      <c r="J63" s="73"/>
      <c r="K63" s="73"/>
      <c r="L63" s="73"/>
      <c r="M63" s="73"/>
      <c r="N63" s="73"/>
      <c r="O63" s="73"/>
      <c r="P63" s="73"/>
      <c r="Q63" s="73"/>
      <c r="R63" s="73"/>
      <c r="S63" s="49"/>
      <c r="T63" s="71"/>
      <c r="U63" s="71"/>
      <c r="V63" s="71"/>
      <c r="W63" s="71"/>
      <c r="X63" s="71"/>
      <c r="Y63" s="71"/>
    </row>
    <row r="64" spans="1:25">
      <c r="A64" s="50" t="s">
        <v>1437</v>
      </c>
      <c r="D64" s="73"/>
      <c r="E64" s="73"/>
      <c r="F64" s="73"/>
      <c r="G64" s="73"/>
      <c r="H64" s="73"/>
      <c r="I64" s="73"/>
      <c r="J64" s="73"/>
      <c r="K64" s="73"/>
      <c r="L64" s="73"/>
      <c r="M64" s="73"/>
      <c r="N64" s="73"/>
      <c r="O64" s="73"/>
      <c r="P64" s="73"/>
      <c r="Q64" s="73"/>
      <c r="R64" s="73"/>
      <c r="S64" s="49"/>
      <c r="T64" s="71"/>
      <c r="U64" s="71"/>
      <c r="V64" s="71"/>
      <c r="W64" s="71"/>
      <c r="X64" s="71"/>
      <c r="Y64" s="71"/>
    </row>
    <row r="65" spans="1:19">
      <c r="D65" s="73"/>
      <c r="E65" s="73"/>
      <c r="F65" s="73"/>
      <c r="G65" s="73"/>
      <c r="H65" s="73"/>
      <c r="I65" s="73"/>
      <c r="J65" s="73"/>
      <c r="K65" s="73"/>
      <c r="L65" s="73"/>
      <c r="M65" s="73"/>
      <c r="N65" s="73"/>
      <c r="O65" s="73"/>
      <c r="P65" s="73"/>
      <c r="Q65" s="73"/>
      <c r="R65" s="73"/>
      <c r="S65" s="73"/>
    </row>
    <row r="66" spans="1:19">
      <c r="A66" s="73"/>
      <c r="B66" s="73"/>
      <c r="C66" s="73"/>
      <c r="D66" s="73"/>
      <c r="E66" s="73"/>
      <c r="F66" s="73"/>
      <c r="G66" s="73"/>
      <c r="H66" s="73"/>
      <c r="I66" s="73"/>
      <c r="J66" s="73"/>
      <c r="K66" s="73"/>
      <c r="L66" s="73"/>
      <c r="M66" s="73"/>
      <c r="N66" s="73"/>
      <c r="O66" s="73"/>
      <c r="P66" s="73"/>
      <c r="Q66" s="73"/>
      <c r="R66" s="73"/>
      <c r="S66" s="73"/>
    </row>
    <row r="67" spans="1:19">
      <c r="A67" s="73"/>
      <c r="B67" s="73"/>
      <c r="C67" s="73"/>
      <c r="D67" s="73"/>
      <c r="E67" s="73"/>
      <c r="F67" s="73"/>
      <c r="G67" s="73"/>
      <c r="H67" s="73"/>
      <c r="I67" s="73"/>
      <c r="J67" s="73"/>
      <c r="K67" s="73"/>
      <c r="L67" s="73"/>
      <c r="M67" s="73"/>
      <c r="N67" s="73"/>
      <c r="O67" s="73"/>
      <c r="P67" s="73"/>
      <c r="Q67" s="73"/>
      <c r="R67" s="73"/>
      <c r="S67" s="73"/>
    </row>
    <row r="68" spans="1:19">
      <c r="A68" s="73"/>
      <c r="B68" s="73"/>
      <c r="C68" s="73"/>
      <c r="D68" s="73"/>
      <c r="E68" s="73"/>
      <c r="F68" s="73"/>
      <c r="G68" s="73"/>
      <c r="H68" s="73"/>
      <c r="I68" s="73"/>
      <c r="J68" s="73"/>
      <c r="K68" s="73"/>
      <c r="L68" s="73"/>
      <c r="M68" s="73"/>
      <c r="N68" s="73"/>
      <c r="O68" s="73"/>
      <c r="P68" s="73"/>
      <c r="Q68" s="73"/>
      <c r="R68" s="73"/>
      <c r="S68" s="73"/>
    </row>
    <row r="69" spans="1:19">
      <c r="A69" s="73"/>
      <c r="B69" s="73"/>
      <c r="C69" s="73"/>
      <c r="D69" s="73"/>
      <c r="E69" s="73"/>
      <c r="F69" s="73"/>
      <c r="G69" s="73"/>
      <c r="H69" s="73"/>
      <c r="I69" s="73"/>
      <c r="J69" s="73"/>
      <c r="K69" s="73"/>
      <c r="L69" s="73"/>
      <c r="M69" s="73"/>
      <c r="N69" s="73"/>
      <c r="O69" s="73"/>
      <c r="P69" s="73"/>
      <c r="Q69" s="73"/>
      <c r="R69" s="73"/>
      <c r="S69" s="73"/>
    </row>
    <row r="70" spans="1:19">
      <c r="A70" s="73"/>
      <c r="B70" s="73"/>
      <c r="C70" s="73"/>
      <c r="D70" s="73"/>
      <c r="E70" s="73"/>
      <c r="F70" s="73"/>
      <c r="G70" s="73"/>
      <c r="H70" s="73"/>
      <c r="I70" s="73"/>
      <c r="J70" s="73"/>
      <c r="K70" s="73"/>
      <c r="L70" s="73"/>
      <c r="M70" s="73"/>
      <c r="N70" s="73"/>
      <c r="O70" s="73"/>
      <c r="P70" s="73"/>
      <c r="Q70" s="73"/>
      <c r="R70" s="73"/>
      <c r="S70" s="73"/>
    </row>
    <row r="71" spans="1:19">
      <c r="S71" s="73"/>
    </row>
    <row r="72" spans="1:19">
      <c r="S72" s="73"/>
    </row>
    <row r="73" spans="1:19">
      <c r="S73" s="73"/>
    </row>
    <row r="74" spans="1:19">
      <c r="S74" s="73"/>
    </row>
  </sheetData>
  <mergeCells count="2">
    <mergeCell ref="K1:M1"/>
    <mergeCell ref="Q31:R31"/>
  </mergeCells>
  <phoneticPr fontId="2"/>
  <pageMargins left="0.23622047244094491" right="0.23622047244094491" top="0" bottom="0" header="0.31496062992125984" footer="0.31496062992125984"/>
  <pageSetup paperSize="9" orientation="landscape"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63B8A-7230-42CC-B11F-DF4633907E0C}">
  <dimension ref="A1:AI74"/>
  <sheetViews>
    <sheetView topLeftCell="A17" zoomScaleNormal="100" workbookViewId="0">
      <selection activeCell="N26" sqref="N26"/>
    </sheetView>
  </sheetViews>
  <sheetFormatPr defaultColWidth="9" defaultRowHeight="18.75"/>
  <cols>
    <col min="1" max="18" width="6.625" style="40" customWidth="1"/>
    <col min="19" max="19" width="3.625" style="40" customWidth="1"/>
    <col min="20" max="20" width="6.625" style="40" customWidth="1"/>
    <col min="21" max="21" width="3.625" style="40" customWidth="1"/>
    <col min="22" max="39" width="6.625" style="40" customWidth="1"/>
    <col min="40" max="40" width="3.625" style="40" customWidth="1"/>
    <col min="41" max="16384" width="9" style="40"/>
  </cols>
  <sheetData>
    <row r="1" spans="1:35">
      <c r="A1" s="147" t="s">
        <v>1381</v>
      </c>
      <c r="B1" s="147"/>
      <c r="C1" s="147"/>
      <c r="D1" s="147"/>
      <c r="E1" s="147"/>
      <c r="F1" s="147"/>
      <c r="G1" s="147"/>
      <c r="H1" s="147"/>
      <c r="I1" s="147"/>
      <c r="J1" s="147"/>
      <c r="K1" s="147"/>
      <c r="L1" s="147"/>
      <c r="M1" s="147"/>
      <c r="N1" s="147"/>
      <c r="O1" s="147"/>
      <c r="P1" s="147"/>
      <c r="Q1" s="147"/>
      <c r="R1" s="147"/>
      <c r="Y1" s="40" t="s">
        <v>167</v>
      </c>
    </row>
    <row r="2" spans="1:35" ht="16.5" customHeight="1">
      <c r="A2" s="26" t="s">
        <v>216</v>
      </c>
      <c r="B2" s="116">
        <v>45890</v>
      </c>
      <c r="C2" s="116">
        <v>45891</v>
      </c>
      <c r="D2" s="31">
        <v>45892</v>
      </c>
      <c r="E2" s="31">
        <v>45893</v>
      </c>
      <c r="F2" s="116">
        <v>45894</v>
      </c>
      <c r="G2" s="116">
        <v>45895</v>
      </c>
      <c r="H2" s="116">
        <v>45896</v>
      </c>
      <c r="I2" s="116">
        <v>45897</v>
      </c>
      <c r="J2" s="116">
        <v>45898</v>
      </c>
      <c r="K2" s="31">
        <v>45899</v>
      </c>
      <c r="L2" s="31">
        <v>45900</v>
      </c>
      <c r="M2" s="23" t="s">
        <v>217</v>
      </c>
      <c r="N2" s="60">
        <v>45901</v>
      </c>
      <c r="O2" s="60">
        <v>45902</v>
      </c>
      <c r="P2" s="60">
        <v>45903</v>
      </c>
      <c r="Q2" s="60">
        <v>45904</v>
      </c>
      <c r="R2" s="60">
        <v>45905</v>
      </c>
      <c r="W2" s="40" t="s">
        <v>957</v>
      </c>
      <c r="X2" s="40" t="s">
        <v>1310</v>
      </c>
      <c r="Y2" s="40" t="s">
        <v>958</v>
      </c>
      <c r="Z2" s="40" t="s">
        <v>1310</v>
      </c>
      <c r="AA2" s="105" t="s">
        <v>1309</v>
      </c>
      <c r="AB2" s="40" t="s">
        <v>1398</v>
      </c>
      <c r="AD2" s="40" t="s">
        <v>169</v>
      </c>
      <c r="AE2" s="40" t="s">
        <v>1343</v>
      </c>
      <c r="AF2" s="40" t="s">
        <v>1344</v>
      </c>
      <c r="AH2" s="40" t="s">
        <v>874</v>
      </c>
    </row>
    <row r="3" spans="1:35" ht="16.5" customHeight="1">
      <c r="A3" s="28">
        <v>1</v>
      </c>
      <c r="B3" s="19"/>
      <c r="C3" s="19"/>
      <c r="D3" s="19" t="s">
        <v>315</v>
      </c>
      <c r="E3" s="19" t="s">
        <v>2</v>
      </c>
      <c r="F3" s="19"/>
      <c r="G3" s="19"/>
      <c r="H3" s="19"/>
      <c r="I3" s="19"/>
      <c r="J3" s="19"/>
      <c r="K3" s="19" t="s">
        <v>864</v>
      </c>
      <c r="L3" s="19" t="s">
        <v>25</v>
      </c>
      <c r="M3" s="36"/>
      <c r="N3" s="19"/>
      <c r="O3" s="35"/>
      <c r="P3" s="19"/>
      <c r="Q3" s="19"/>
      <c r="R3" s="19"/>
      <c r="W3" s="40" t="s">
        <v>2</v>
      </c>
      <c r="X3" s="40">
        <v>2</v>
      </c>
      <c r="Y3" s="40" t="s">
        <v>312</v>
      </c>
      <c r="Z3" s="40">
        <v>0</v>
      </c>
      <c r="AA3" s="105">
        <v>2</v>
      </c>
      <c r="AB3" s="40" t="s">
        <v>1159</v>
      </c>
      <c r="AC3" s="40">
        <v>2</v>
      </c>
      <c r="AD3" s="40" t="s">
        <v>25</v>
      </c>
      <c r="AE3" s="40">
        <v>16</v>
      </c>
      <c r="AF3" s="40" t="s">
        <v>895</v>
      </c>
      <c r="AH3" s="40" t="s">
        <v>37</v>
      </c>
      <c r="AI3" s="40" t="s">
        <v>1208</v>
      </c>
    </row>
    <row r="4" spans="1:35" ht="16.5" customHeight="1">
      <c r="A4" s="28">
        <v>2</v>
      </c>
      <c r="B4" s="19"/>
      <c r="C4" s="19"/>
      <c r="D4" s="19" t="s">
        <v>7</v>
      </c>
      <c r="E4" s="19" t="s">
        <v>14</v>
      </c>
      <c r="F4" s="19"/>
      <c r="G4" s="19"/>
      <c r="H4" s="19"/>
      <c r="I4" s="19"/>
      <c r="J4" s="19"/>
      <c r="K4" s="19" t="s">
        <v>93</v>
      </c>
      <c r="L4" s="19" t="s">
        <v>153</v>
      </c>
      <c r="M4" s="36"/>
      <c r="N4" s="19"/>
      <c r="O4" s="19"/>
      <c r="P4" s="19"/>
      <c r="Q4" s="19"/>
      <c r="R4" s="19"/>
      <c r="T4" s="41"/>
      <c r="V4" s="41"/>
      <c r="W4" s="40" t="s">
        <v>107</v>
      </c>
      <c r="X4" s="40">
        <v>3</v>
      </c>
      <c r="Y4" s="40" t="s">
        <v>25</v>
      </c>
      <c r="Z4" s="40">
        <v>0</v>
      </c>
      <c r="AA4" s="105">
        <v>2</v>
      </c>
      <c r="AB4" s="40" t="s">
        <v>1065</v>
      </c>
      <c r="AC4" s="40">
        <v>3</v>
      </c>
      <c r="AD4" s="40" t="s">
        <v>26</v>
      </c>
      <c r="AE4" s="40" t="s">
        <v>963</v>
      </c>
      <c r="AH4" s="40" t="s">
        <v>875</v>
      </c>
      <c r="AI4" s="64" t="s">
        <v>895</v>
      </c>
    </row>
    <row r="5" spans="1:35" ht="16.5" customHeight="1">
      <c r="A5" s="28">
        <v>3</v>
      </c>
      <c r="B5" s="19"/>
      <c r="C5" s="19"/>
      <c r="D5" s="19" t="s">
        <v>37</v>
      </c>
      <c r="E5" s="19" t="s">
        <v>1065</v>
      </c>
      <c r="F5" s="19"/>
      <c r="G5" s="19"/>
      <c r="H5" s="19"/>
      <c r="I5" s="19"/>
      <c r="J5" s="19"/>
      <c r="K5" s="19" t="s">
        <v>36</v>
      </c>
      <c r="L5" s="19" t="s">
        <v>1157</v>
      </c>
      <c r="M5" s="36"/>
      <c r="N5" s="19"/>
      <c r="O5" s="19"/>
      <c r="P5" s="19"/>
      <c r="Q5" s="19"/>
      <c r="R5" s="19"/>
      <c r="T5" s="41"/>
      <c r="V5" s="41"/>
      <c r="W5" s="40" t="s">
        <v>1265</v>
      </c>
      <c r="X5" s="40">
        <v>2</v>
      </c>
      <c r="Y5" s="40" t="s">
        <v>774</v>
      </c>
      <c r="Z5" s="40">
        <v>1</v>
      </c>
      <c r="AA5" s="105">
        <v>2</v>
      </c>
      <c r="AB5" s="40" t="s">
        <v>37</v>
      </c>
      <c r="AC5" s="40">
        <v>3</v>
      </c>
      <c r="AD5" s="40" t="s">
        <v>327</v>
      </c>
      <c r="AE5" s="64">
        <v>12</v>
      </c>
      <c r="AF5" s="40">
        <v>5</v>
      </c>
      <c r="AH5" s="40" t="s">
        <v>356</v>
      </c>
      <c r="AI5" s="40" t="s">
        <v>896</v>
      </c>
    </row>
    <row r="6" spans="1:35" ht="16.5" customHeight="1">
      <c r="A6" s="28" t="s">
        <v>20</v>
      </c>
      <c r="B6" s="19" t="s">
        <v>516</v>
      </c>
      <c r="C6" s="19" t="s">
        <v>13</v>
      </c>
      <c r="D6" s="19" t="s">
        <v>13</v>
      </c>
      <c r="E6" s="19" t="s">
        <v>13</v>
      </c>
      <c r="F6" s="19" t="s">
        <v>312</v>
      </c>
      <c r="G6" s="19" t="s">
        <v>13</v>
      </c>
      <c r="H6" s="19" t="s">
        <v>13</v>
      </c>
      <c r="I6" s="19" t="s">
        <v>13</v>
      </c>
      <c r="J6" s="19" t="s">
        <v>13</v>
      </c>
      <c r="K6" s="19" t="s">
        <v>13</v>
      </c>
      <c r="L6" s="19" t="s">
        <v>13</v>
      </c>
      <c r="M6" s="36"/>
      <c r="N6" s="19" t="s">
        <v>774</v>
      </c>
      <c r="O6" s="19" t="s">
        <v>13</v>
      </c>
      <c r="P6" s="19" t="s">
        <v>13</v>
      </c>
      <c r="Q6" s="19" t="s">
        <v>13</v>
      </c>
      <c r="R6" s="19" t="s">
        <v>13</v>
      </c>
      <c r="T6" s="41"/>
      <c r="V6" s="41"/>
      <c r="W6" s="40" t="s">
        <v>7</v>
      </c>
      <c r="X6" s="40">
        <v>1</v>
      </c>
      <c r="Y6" s="40" t="s">
        <v>153</v>
      </c>
      <c r="Z6" s="40">
        <v>1</v>
      </c>
      <c r="AA6" s="106">
        <v>2</v>
      </c>
      <c r="AB6" s="40" t="s">
        <v>875</v>
      </c>
      <c r="AC6" s="68">
        <v>2</v>
      </c>
      <c r="AD6" s="40" t="s">
        <v>1032</v>
      </c>
      <c r="AE6" s="64">
        <v>6</v>
      </c>
      <c r="AF6" s="40">
        <v>15</v>
      </c>
      <c r="AG6" s="68"/>
      <c r="AH6" s="40" t="s">
        <v>1159</v>
      </c>
      <c r="AI6" s="40">
        <v>5</v>
      </c>
    </row>
    <row r="7" spans="1:35" ht="16.5" customHeight="1">
      <c r="A7" s="28" t="s">
        <v>0</v>
      </c>
      <c r="B7" s="19" t="s">
        <v>356</v>
      </c>
      <c r="C7" s="19" t="s">
        <v>13</v>
      </c>
      <c r="D7" s="19" t="s">
        <v>13</v>
      </c>
      <c r="E7" s="19" t="s">
        <v>13</v>
      </c>
      <c r="F7" s="19" t="s">
        <v>875</v>
      </c>
      <c r="G7" s="19" t="s">
        <v>13</v>
      </c>
      <c r="H7" s="19" t="s">
        <v>13</v>
      </c>
      <c r="I7" s="19" t="s">
        <v>13</v>
      </c>
      <c r="J7" s="19" t="s">
        <v>13</v>
      </c>
      <c r="K7" s="19" t="s">
        <v>13</v>
      </c>
      <c r="L7" s="19" t="s">
        <v>13</v>
      </c>
      <c r="M7" s="36"/>
      <c r="N7" s="19" t="s">
        <v>356</v>
      </c>
      <c r="O7" s="19" t="s">
        <v>13</v>
      </c>
      <c r="P7" s="19" t="s">
        <v>13</v>
      </c>
      <c r="Q7" s="19" t="s">
        <v>13</v>
      </c>
      <c r="R7" s="19" t="s">
        <v>13</v>
      </c>
      <c r="T7" s="41"/>
      <c r="V7" s="41"/>
      <c r="W7" s="40" t="s">
        <v>93</v>
      </c>
      <c r="X7" s="40">
        <v>2</v>
      </c>
      <c r="Y7" s="40" t="s">
        <v>516</v>
      </c>
      <c r="Z7" s="40">
        <v>0</v>
      </c>
      <c r="AA7" s="105">
        <v>2</v>
      </c>
      <c r="AB7" s="40" t="s">
        <v>1186</v>
      </c>
      <c r="AC7" s="40">
        <v>3</v>
      </c>
      <c r="AD7" s="40" t="s">
        <v>1114</v>
      </c>
      <c r="AE7" s="64">
        <v>4</v>
      </c>
      <c r="AF7" s="40">
        <v>13</v>
      </c>
      <c r="AH7" s="40" t="s">
        <v>1186</v>
      </c>
      <c r="AI7" s="40">
        <v>1</v>
      </c>
    </row>
    <row r="8" spans="1:35" ht="16.5" customHeight="1">
      <c r="A8" s="28" t="s">
        <v>1</v>
      </c>
      <c r="B8" s="29"/>
      <c r="C8" s="19"/>
      <c r="D8" s="19"/>
      <c r="E8" s="19"/>
      <c r="F8" s="19"/>
      <c r="G8" s="19"/>
      <c r="H8" s="19"/>
      <c r="I8" s="19"/>
      <c r="J8" s="19"/>
      <c r="K8" s="19"/>
      <c r="L8" s="19"/>
      <c r="M8" s="36"/>
      <c r="N8" s="19"/>
      <c r="O8" s="19"/>
      <c r="P8" s="19"/>
      <c r="Q8" s="19"/>
      <c r="R8" s="19"/>
      <c r="T8" s="41"/>
      <c r="W8" s="40" t="s">
        <v>14</v>
      </c>
      <c r="X8" s="40">
        <v>2</v>
      </c>
      <c r="Y8" s="40" t="s">
        <v>864</v>
      </c>
      <c r="Z8" s="40">
        <v>1</v>
      </c>
      <c r="AA8" s="107">
        <v>2</v>
      </c>
      <c r="AB8" s="40" t="s">
        <v>1328</v>
      </c>
      <c r="AC8" s="64">
        <v>3</v>
      </c>
      <c r="AD8" s="40" t="s">
        <v>864</v>
      </c>
      <c r="AE8" s="40">
        <v>14</v>
      </c>
      <c r="AF8" s="40">
        <v>7</v>
      </c>
      <c r="AG8" s="64"/>
      <c r="AH8" s="40" t="s">
        <v>1328</v>
      </c>
      <c r="AI8" s="64">
        <v>9</v>
      </c>
    </row>
    <row r="9" spans="1:35" ht="16.5" customHeight="1">
      <c r="A9" s="23" t="s">
        <v>217</v>
      </c>
      <c r="B9" s="30">
        <v>45906</v>
      </c>
      <c r="C9" s="30">
        <v>45907</v>
      </c>
      <c r="D9" s="60">
        <v>45908</v>
      </c>
      <c r="E9" s="60">
        <v>45909</v>
      </c>
      <c r="F9" s="60">
        <v>45910</v>
      </c>
      <c r="G9" s="60">
        <v>45911</v>
      </c>
      <c r="H9" s="60">
        <v>45912</v>
      </c>
      <c r="I9" s="30">
        <v>45913</v>
      </c>
      <c r="J9" s="30">
        <v>45914</v>
      </c>
      <c r="K9" s="60">
        <v>45915</v>
      </c>
      <c r="L9" s="60">
        <v>45916</v>
      </c>
      <c r="M9" s="60">
        <v>45917</v>
      </c>
      <c r="N9" s="60">
        <v>45918</v>
      </c>
      <c r="O9" s="60">
        <v>45919</v>
      </c>
      <c r="P9" s="30">
        <v>45920</v>
      </c>
      <c r="Q9" s="19"/>
      <c r="R9" s="19"/>
      <c r="T9" s="41"/>
      <c r="W9" s="40" t="s">
        <v>314</v>
      </c>
      <c r="X9" s="40">
        <v>2</v>
      </c>
      <c r="Y9" s="40" t="s">
        <v>1129</v>
      </c>
      <c r="Z9" s="40">
        <v>0</v>
      </c>
      <c r="AA9" s="105">
        <v>2</v>
      </c>
      <c r="AC9" s="64"/>
      <c r="AD9" s="40" t="s">
        <v>516</v>
      </c>
      <c r="AE9" s="40">
        <v>8</v>
      </c>
      <c r="AF9" s="40" t="s">
        <v>1371</v>
      </c>
    </row>
    <row r="10" spans="1:35" ht="16.5" customHeight="1">
      <c r="A10" s="36">
        <v>1</v>
      </c>
      <c r="B10" s="19" t="s">
        <v>516</v>
      </c>
      <c r="C10" s="19" t="s">
        <v>107</v>
      </c>
      <c r="D10" s="19"/>
      <c r="E10" s="19"/>
      <c r="F10" s="19"/>
      <c r="G10" s="19"/>
      <c r="H10" s="19"/>
      <c r="I10" s="19" t="s">
        <v>312</v>
      </c>
      <c r="J10" s="19" t="s">
        <v>315</v>
      </c>
      <c r="K10" s="19"/>
      <c r="L10" s="19"/>
      <c r="M10" s="19"/>
      <c r="N10" s="19"/>
      <c r="O10" s="19"/>
      <c r="P10" s="19" t="s">
        <v>2</v>
      </c>
      <c r="Q10" s="19"/>
      <c r="R10" s="19"/>
      <c r="T10" s="41"/>
      <c r="Y10" s="40" t="s">
        <v>1032</v>
      </c>
      <c r="Z10" s="40">
        <v>0</v>
      </c>
      <c r="AA10" s="105">
        <v>1</v>
      </c>
      <c r="AD10" s="40" t="s">
        <v>153</v>
      </c>
      <c r="AF10" s="40">
        <v>11</v>
      </c>
    </row>
    <row r="11" spans="1:35" ht="16.5" customHeight="1">
      <c r="A11" s="36">
        <v>2</v>
      </c>
      <c r="B11" s="19" t="s">
        <v>1349</v>
      </c>
      <c r="C11" s="19" t="s">
        <v>1129</v>
      </c>
      <c r="D11" s="19"/>
      <c r="E11" s="19"/>
      <c r="F11" s="19"/>
      <c r="G11" s="19"/>
      <c r="H11" s="19"/>
      <c r="I11" s="19" t="s">
        <v>314</v>
      </c>
      <c r="J11" s="19" t="s">
        <v>14</v>
      </c>
      <c r="K11" s="19"/>
      <c r="L11" s="19"/>
      <c r="M11" s="19"/>
      <c r="N11" s="19"/>
      <c r="O11" s="19"/>
      <c r="P11" s="19" t="s">
        <v>774</v>
      </c>
      <c r="Q11" s="19"/>
      <c r="R11" s="19"/>
      <c r="T11" s="41"/>
      <c r="AA11" s="105"/>
    </row>
    <row r="12" spans="1:35" ht="16.5" customHeight="1">
      <c r="A12" s="36">
        <v>3</v>
      </c>
      <c r="B12" s="19" t="s">
        <v>1328</v>
      </c>
      <c r="C12" s="19" t="s">
        <v>37</v>
      </c>
      <c r="D12" s="19"/>
      <c r="E12" s="19"/>
      <c r="F12" s="19"/>
      <c r="G12" s="35"/>
      <c r="H12" s="19"/>
      <c r="I12" s="19" t="s">
        <v>36</v>
      </c>
      <c r="J12" s="19" t="s">
        <v>875</v>
      </c>
      <c r="K12" s="19"/>
      <c r="L12" s="19"/>
      <c r="M12" s="19"/>
      <c r="N12" s="19"/>
      <c r="O12" s="19"/>
      <c r="P12" s="19" t="s">
        <v>1065</v>
      </c>
      <c r="Q12" s="19"/>
      <c r="R12" s="19"/>
      <c r="T12" s="41"/>
      <c r="W12" s="40" t="s">
        <v>1373</v>
      </c>
    </row>
    <row r="13" spans="1:35" ht="16.5" customHeight="1">
      <c r="A13" s="36" t="s">
        <v>20</v>
      </c>
      <c r="B13" s="19" t="s">
        <v>13</v>
      </c>
      <c r="C13" s="19" t="s">
        <v>13</v>
      </c>
      <c r="D13" s="19" t="s">
        <v>153</v>
      </c>
      <c r="E13" s="19" t="s">
        <v>13</v>
      </c>
      <c r="F13" s="19" t="s">
        <v>13</v>
      </c>
      <c r="G13" s="19" t="s">
        <v>13</v>
      </c>
      <c r="H13" s="19" t="s">
        <v>13</v>
      </c>
      <c r="I13" s="19" t="s">
        <v>13</v>
      </c>
      <c r="J13" s="19" t="s">
        <v>13</v>
      </c>
      <c r="K13" s="19" t="s">
        <v>1129</v>
      </c>
      <c r="L13" s="19" t="s">
        <v>13</v>
      </c>
      <c r="M13" s="19" t="s">
        <v>13</v>
      </c>
      <c r="N13" s="19" t="s">
        <v>13</v>
      </c>
      <c r="O13" s="19" t="s">
        <v>13</v>
      </c>
      <c r="P13" s="19" t="s">
        <v>13</v>
      </c>
      <c r="Q13" s="19"/>
      <c r="R13" s="19"/>
      <c r="T13" s="41"/>
      <c r="W13" s="40">
        <v>16</v>
      </c>
      <c r="X13" s="40">
        <v>14</v>
      </c>
      <c r="Z13" s="40">
        <v>3</v>
      </c>
      <c r="AA13" s="40">
        <v>15</v>
      </c>
      <c r="AC13" s="40">
        <v>16</v>
      </c>
    </row>
    <row r="14" spans="1:35" ht="16.5" customHeight="1">
      <c r="A14" s="36" t="s">
        <v>0</v>
      </c>
      <c r="B14" s="19" t="s">
        <v>13</v>
      </c>
      <c r="C14" s="19" t="s">
        <v>13</v>
      </c>
      <c r="D14" s="19" t="s">
        <v>1157</v>
      </c>
      <c r="E14" s="19" t="s">
        <v>13</v>
      </c>
      <c r="F14" s="19" t="s">
        <v>13</v>
      </c>
      <c r="G14" s="19" t="s">
        <v>13</v>
      </c>
      <c r="H14" s="19" t="s">
        <v>13</v>
      </c>
      <c r="I14" s="19" t="s">
        <v>13</v>
      </c>
      <c r="J14" s="19" t="s">
        <v>13</v>
      </c>
      <c r="K14" s="19" t="s">
        <v>356</v>
      </c>
      <c r="L14" s="19" t="s">
        <v>13</v>
      </c>
      <c r="M14" s="19" t="s">
        <v>13</v>
      </c>
      <c r="N14" s="19" t="s">
        <v>13</v>
      </c>
      <c r="O14" s="19" t="s">
        <v>13</v>
      </c>
      <c r="P14" s="19" t="s">
        <v>13</v>
      </c>
      <c r="Q14" s="19"/>
      <c r="R14" s="19"/>
      <c r="T14" s="41"/>
    </row>
    <row r="15" spans="1:35" ht="16.5" customHeight="1">
      <c r="A15" s="36" t="s">
        <v>1</v>
      </c>
      <c r="B15" s="19"/>
      <c r="C15" s="29"/>
      <c r="D15" s="19"/>
      <c r="E15" s="19"/>
      <c r="F15" s="19"/>
      <c r="G15" s="19"/>
      <c r="H15" s="19"/>
      <c r="I15" s="19"/>
      <c r="J15" s="19"/>
      <c r="K15" s="19"/>
      <c r="L15" s="19"/>
      <c r="M15" s="19"/>
      <c r="N15" s="19"/>
      <c r="O15" s="19"/>
      <c r="P15" s="19"/>
      <c r="Q15" s="19"/>
      <c r="R15" s="19"/>
      <c r="T15" s="41"/>
      <c r="W15" s="40" t="s">
        <v>1399</v>
      </c>
      <c r="X15" s="40">
        <v>32</v>
      </c>
    </row>
    <row r="16" spans="1:35" ht="16.5" customHeight="1">
      <c r="A16" s="42"/>
      <c r="B16" s="37"/>
      <c r="C16" s="37"/>
      <c r="D16" s="37"/>
      <c r="E16" s="37"/>
      <c r="F16" s="37"/>
      <c r="G16" s="37"/>
      <c r="H16" s="38"/>
      <c r="I16" s="38"/>
      <c r="J16" s="38"/>
      <c r="K16" s="38"/>
      <c r="L16" s="38"/>
      <c r="M16" s="38"/>
      <c r="N16" s="38"/>
      <c r="O16" s="38"/>
      <c r="P16" s="37"/>
      <c r="Q16" s="37"/>
      <c r="R16" s="39"/>
      <c r="T16" s="41"/>
    </row>
    <row r="17" spans="1:35" ht="16.5" customHeight="1">
      <c r="A17" s="23" t="s">
        <v>217</v>
      </c>
      <c r="B17" s="30">
        <v>45921</v>
      </c>
      <c r="C17" s="25">
        <v>45922</v>
      </c>
      <c r="D17" s="25">
        <v>45923</v>
      </c>
      <c r="E17" s="25">
        <v>45924</v>
      </c>
      <c r="F17" s="25">
        <v>45925</v>
      </c>
      <c r="G17" s="25">
        <v>45926</v>
      </c>
      <c r="H17" s="30">
        <v>45927</v>
      </c>
      <c r="I17" s="30">
        <v>45928</v>
      </c>
      <c r="J17" s="25">
        <v>45929</v>
      </c>
      <c r="K17" s="25">
        <v>45930</v>
      </c>
      <c r="L17" s="120"/>
      <c r="M17" s="26" t="s">
        <v>218</v>
      </c>
      <c r="N17" s="116">
        <v>45931</v>
      </c>
      <c r="O17" s="116">
        <v>45932</v>
      </c>
      <c r="P17" s="116">
        <v>45933</v>
      </c>
      <c r="Q17" s="31">
        <v>45934</v>
      </c>
      <c r="R17" s="31">
        <v>45935</v>
      </c>
      <c r="T17" s="41"/>
    </row>
    <row r="18" spans="1:35" ht="16.5" customHeight="1">
      <c r="A18" s="36">
        <v>1</v>
      </c>
      <c r="B18" s="19" t="s">
        <v>7</v>
      </c>
      <c r="C18" s="19"/>
      <c r="D18" s="19"/>
      <c r="E18" s="19"/>
      <c r="F18" s="19"/>
      <c r="G18" s="19"/>
      <c r="H18" s="19" t="s">
        <v>107</v>
      </c>
      <c r="I18" s="19" t="s">
        <v>312</v>
      </c>
      <c r="J18" s="19"/>
      <c r="K18" s="19"/>
      <c r="L18" s="19"/>
      <c r="M18" s="26"/>
      <c r="N18" s="19"/>
      <c r="O18" s="19"/>
      <c r="P18" s="19"/>
      <c r="Q18" s="19" t="s">
        <v>315</v>
      </c>
      <c r="R18" s="19" t="s">
        <v>516</v>
      </c>
      <c r="V18" s="40" t="s">
        <v>1380</v>
      </c>
      <c r="W18" s="40" t="s">
        <v>1393</v>
      </c>
      <c r="X18" s="40" t="s">
        <v>1392</v>
      </c>
      <c r="Y18" s="40" t="s">
        <v>1395</v>
      </c>
      <c r="Z18" s="40" t="s">
        <v>1392</v>
      </c>
      <c r="AB18" s="40" t="s">
        <v>63</v>
      </c>
      <c r="AC18" s="40" t="s">
        <v>64</v>
      </c>
      <c r="AD18" s="40" t="s">
        <v>65</v>
      </c>
      <c r="AE18" s="40" t="s">
        <v>1396</v>
      </c>
      <c r="AF18" s="40" t="s">
        <v>1379</v>
      </c>
      <c r="AG18" s="40" t="s">
        <v>874</v>
      </c>
      <c r="AH18" s="40" t="s">
        <v>1379</v>
      </c>
    </row>
    <row r="19" spans="1:35" ht="16.5" customHeight="1">
      <c r="A19" s="36">
        <v>2</v>
      </c>
      <c r="B19" s="19" t="s">
        <v>93</v>
      </c>
      <c r="C19" s="19"/>
      <c r="D19" s="19"/>
      <c r="F19" s="19"/>
      <c r="G19" s="19"/>
      <c r="H19" s="19" t="s">
        <v>153</v>
      </c>
      <c r="I19" s="19" t="s">
        <v>1349</v>
      </c>
      <c r="J19" s="19"/>
      <c r="K19" s="19"/>
      <c r="L19" s="19"/>
      <c r="M19" s="26"/>
      <c r="N19" s="19"/>
      <c r="O19" s="19"/>
      <c r="P19" s="19"/>
      <c r="Q19" s="19" t="s">
        <v>1129</v>
      </c>
      <c r="R19" s="19" t="s">
        <v>314</v>
      </c>
      <c r="W19" s="40" t="s">
        <v>2</v>
      </c>
      <c r="X19" s="40">
        <f>COUNTIF($B$3:$R$5,W19)+COUNTIF($B$10:$R$12,W19)+COUNTIF($B$18:$R$20,W19)+COUNTIF($B$25:$R$27,W19)</f>
        <v>3</v>
      </c>
      <c r="Y19" s="40" t="s">
        <v>1159</v>
      </c>
      <c r="Z19" s="40">
        <f>COUNTIF($B$3:$R$5,Y19)+COUNTIF($B$10:$R$12,Y19)+COUNTIF($B$18:$R$20,Y19)+COUNTIF($B$25:$R$27,Y19)</f>
        <v>2</v>
      </c>
      <c r="AB19" s="40" t="s">
        <v>2</v>
      </c>
      <c r="AC19" s="40" t="s">
        <v>14</v>
      </c>
      <c r="AD19" s="40" t="s">
        <v>1159</v>
      </c>
      <c r="AE19" s="40" t="s">
        <v>516</v>
      </c>
      <c r="AF19" s="40">
        <v>1.9</v>
      </c>
      <c r="AG19" s="40" t="s">
        <v>37</v>
      </c>
      <c r="AH19" s="40" t="s">
        <v>1208</v>
      </c>
    </row>
    <row r="20" spans="1:35" ht="16.5" customHeight="1">
      <c r="A20" s="36">
        <v>3</v>
      </c>
      <c r="B20" s="19" t="s">
        <v>37</v>
      </c>
      <c r="C20" s="19"/>
      <c r="D20" s="19"/>
      <c r="E20" s="19"/>
      <c r="F20" s="19"/>
      <c r="G20" s="19"/>
      <c r="H20" s="19" t="s">
        <v>36</v>
      </c>
      <c r="I20" s="19" t="s">
        <v>1328</v>
      </c>
      <c r="J20" s="19"/>
      <c r="K20" s="19"/>
      <c r="L20" s="19"/>
      <c r="M20" s="26"/>
      <c r="N20" s="19"/>
      <c r="O20" s="19"/>
      <c r="P20" s="19"/>
      <c r="Q20" s="19" t="s">
        <v>1157</v>
      </c>
      <c r="R20" s="19" t="s">
        <v>1065</v>
      </c>
      <c r="T20" s="41"/>
      <c r="W20" s="40" t="s">
        <v>7</v>
      </c>
      <c r="X20" s="40">
        <f t="shared" ref="X20:Z33" si="0">COUNTIF($B$3:$R$5,W20)+COUNTIF($B$10:$R$12,W20)+COUNTIF($B$18:$R$20,W20)+COUNTIF($B$25:$R$27,W20)</f>
        <v>3</v>
      </c>
      <c r="Y20" s="40" t="s">
        <v>1065</v>
      </c>
      <c r="Z20" s="40">
        <f t="shared" si="0"/>
        <v>4</v>
      </c>
      <c r="AB20" s="40" t="s">
        <v>7</v>
      </c>
      <c r="AC20" s="40" t="s">
        <v>153</v>
      </c>
      <c r="AD20" s="40" t="s">
        <v>1065</v>
      </c>
      <c r="AE20" s="40" t="s">
        <v>26</v>
      </c>
      <c r="AF20" s="64" t="s">
        <v>1397</v>
      </c>
      <c r="AG20" s="40" t="s">
        <v>875</v>
      </c>
      <c r="AH20" s="40" t="s">
        <v>1160</v>
      </c>
      <c r="AI20" s="64"/>
    </row>
    <row r="21" spans="1:35" ht="16.5" customHeight="1">
      <c r="A21" s="36" t="s">
        <v>20</v>
      </c>
      <c r="B21" s="19" t="s">
        <v>13</v>
      </c>
      <c r="C21" s="19" t="s">
        <v>864</v>
      </c>
      <c r="D21" s="19" t="s">
        <v>13</v>
      </c>
      <c r="E21" s="19" t="s">
        <v>13</v>
      </c>
      <c r="F21" s="19" t="s">
        <v>13</v>
      </c>
      <c r="G21" s="19" t="s">
        <v>13</v>
      </c>
      <c r="H21" s="19" t="s">
        <v>13</v>
      </c>
      <c r="I21" s="19" t="s">
        <v>13</v>
      </c>
      <c r="J21" s="19" t="s">
        <v>25</v>
      </c>
      <c r="K21" s="19" t="s">
        <v>13</v>
      </c>
      <c r="L21" s="19"/>
      <c r="M21" s="26"/>
      <c r="N21" s="19" t="s">
        <v>13</v>
      </c>
      <c r="O21" s="19" t="s">
        <v>13</v>
      </c>
      <c r="P21" s="19" t="s">
        <v>13</v>
      </c>
      <c r="Q21" s="19" t="s">
        <v>13</v>
      </c>
      <c r="R21" s="19" t="s">
        <v>13</v>
      </c>
      <c r="T21" s="41"/>
      <c r="W21" s="40" t="s">
        <v>107</v>
      </c>
      <c r="X21" s="40">
        <f t="shared" si="0"/>
        <v>2</v>
      </c>
      <c r="Y21" s="40" t="s">
        <v>37</v>
      </c>
      <c r="Z21" s="40">
        <f t="shared" si="0"/>
        <v>4</v>
      </c>
      <c r="AB21" s="40" t="s">
        <v>107</v>
      </c>
      <c r="AC21" s="40" t="s">
        <v>314</v>
      </c>
      <c r="AD21" s="40" t="s">
        <v>37</v>
      </c>
      <c r="AE21" s="40" t="s">
        <v>327</v>
      </c>
      <c r="AF21" s="64">
        <v>3</v>
      </c>
      <c r="AG21" s="40" t="s">
        <v>356</v>
      </c>
      <c r="AH21" s="40" t="s">
        <v>1091</v>
      </c>
    </row>
    <row r="22" spans="1:35" ht="16.5" customHeight="1">
      <c r="A22" s="36" t="s">
        <v>0</v>
      </c>
      <c r="B22" s="19" t="s">
        <v>13</v>
      </c>
      <c r="C22" s="19" t="s">
        <v>875</v>
      </c>
      <c r="D22" s="19" t="s">
        <v>13</v>
      </c>
      <c r="E22" s="19" t="s">
        <v>13</v>
      </c>
      <c r="F22" s="19" t="s">
        <v>13</v>
      </c>
      <c r="G22" s="19" t="s">
        <v>13</v>
      </c>
      <c r="H22" s="19" t="s">
        <v>13</v>
      </c>
      <c r="I22" s="19" t="s">
        <v>13</v>
      </c>
      <c r="J22" s="19" t="s">
        <v>356</v>
      </c>
      <c r="K22" s="19" t="s">
        <v>13</v>
      </c>
      <c r="L22" s="19"/>
      <c r="M22" s="26"/>
      <c r="N22" s="19" t="s">
        <v>13</v>
      </c>
      <c r="O22" s="19" t="s">
        <v>13</v>
      </c>
      <c r="P22" s="19" t="s">
        <v>13</v>
      </c>
      <c r="Q22" s="19" t="s">
        <v>13</v>
      </c>
      <c r="R22" s="19" t="s">
        <v>13</v>
      </c>
      <c r="T22" s="41"/>
      <c r="W22" s="40" t="s">
        <v>14</v>
      </c>
      <c r="X22" s="40">
        <f t="shared" si="0"/>
        <v>3</v>
      </c>
      <c r="Y22" s="40" t="s">
        <v>875</v>
      </c>
      <c r="Z22" s="40">
        <f t="shared" si="0"/>
        <v>2</v>
      </c>
      <c r="AB22" s="40" t="s">
        <v>312</v>
      </c>
      <c r="AC22" s="40" t="s">
        <v>93</v>
      </c>
      <c r="AD22" s="40" t="s">
        <v>875</v>
      </c>
      <c r="AE22" s="40" t="s">
        <v>153</v>
      </c>
      <c r="AF22" s="40">
        <v>4</v>
      </c>
      <c r="AG22" s="40" t="s">
        <v>1159</v>
      </c>
      <c r="AH22" s="68" t="s">
        <v>963</v>
      </c>
    </row>
    <row r="23" spans="1:35" ht="16.5" customHeight="1">
      <c r="A23" s="36" t="s">
        <v>1</v>
      </c>
      <c r="B23" s="19"/>
      <c r="C23" s="19"/>
      <c r="D23" s="19"/>
      <c r="E23" s="19"/>
      <c r="F23" s="19"/>
      <c r="G23" s="19"/>
      <c r="H23" s="19"/>
      <c r="I23" s="19"/>
      <c r="J23" s="19"/>
      <c r="K23" s="19"/>
      <c r="L23" s="19"/>
      <c r="M23" s="26"/>
      <c r="N23" s="19"/>
      <c r="O23" s="19"/>
      <c r="P23" s="19"/>
      <c r="Q23" s="19"/>
      <c r="R23" s="19"/>
      <c r="T23" s="72"/>
      <c r="V23" s="71"/>
      <c r="W23" s="40" t="s">
        <v>314</v>
      </c>
      <c r="X23" s="40">
        <f t="shared" si="0"/>
        <v>3</v>
      </c>
      <c r="Y23" s="40" t="s">
        <v>36</v>
      </c>
      <c r="Z23" s="40">
        <f t="shared" si="0"/>
        <v>4</v>
      </c>
      <c r="AB23" s="40" t="s">
        <v>1265</v>
      </c>
      <c r="AC23" s="40" t="s">
        <v>1349</v>
      </c>
      <c r="AD23" s="40" t="s">
        <v>36</v>
      </c>
      <c r="AE23" s="40" t="s">
        <v>1114</v>
      </c>
      <c r="AF23" s="64">
        <v>5</v>
      </c>
      <c r="AG23" s="40" t="s">
        <v>1328</v>
      </c>
      <c r="AH23" s="40">
        <v>6</v>
      </c>
    </row>
    <row r="24" spans="1:35" ht="16.5" customHeight="1">
      <c r="A24" s="26" t="s">
        <v>218</v>
      </c>
      <c r="B24" s="27">
        <v>45936</v>
      </c>
      <c r="C24" s="27">
        <v>45937</v>
      </c>
      <c r="D24" s="27">
        <v>45938</v>
      </c>
      <c r="E24" s="27">
        <v>45939</v>
      </c>
      <c r="F24" s="27">
        <v>45940</v>
      </c>
      <c r="G24" s="31">
        <v>45941</v>
      </c>
      <c r="H24" s="31">
        <v>45942</v>
      </c>
      <c r="I24" s="27">
        <v>45943</v>
      </c>
      <c r="J24" s="27">
        <v>45944</v>
      </c>
      <c r="K24" s="27">
        <v>45945</v>
      </c>
      <c r="L24" s="27">
        <v>45946</v>
      </c>
      <c r="M24" s="27">
        <v>45947</v>
      </c>
      <c r="N24" s="31">
        <v>45948</v>
      </c>
      <c r="O24" s="31">
        <v>45949</v>
      </c>
      <c r="P24" s="27">
        <v>45950</v>
      </c>
      <c r="Q24" s="27">
        <v>45951</v>
      </c>
      <c r="R24" s="27">
        <v>45952</v>
      </c>
      <c r="V24" s="71"/>
      <c r="W24" s="40" t="s">
        <v>93</v>
      </c>
      <c r="X24" s="40">
        <f t="shared" si="0"/>
        <v>3</v>
      </c>
      <c r="Y24" s="40" t="s">
        <v>1328</v>
      </c>
      <c r="Z24" s="40">
        <f t="shared" si="0"/>
        <v>2</v>
      </c>
      <c r="AB24" s="40" t="s">
        <v>25</v>
      </c>
      <c r="AD24" s="40" t="s">
        <v>1328</v>
      </c>
      <c r="AE24" s="40" t="s">
        <v>864</v>
      </c>
      <c r="AF24" s="64">
        <v>6</v>
      </c>
      <c r="AH24" s="64"/>
      <c r="AI24" s="64"/>
    </row>
    <row r="25" spans="1:35" ht="16.5" customHeight="1">
      <c r="A25" s="28">
        <v>1</v>
      </c>
      <c r="B25" s="19"/>
      <c r="C25" s="19"/>
      <c r="D25" s="19"/>
      <c r="E25" s="19"/>
      <c r="F25" s="19"/>
      <c r="G25" s="19" t="s">
        <v>864</v>
      </c>
      <c r="H25" s="19" t="s">
        <v>774</v>
      </c>
      <c r="I25" s="19"/>
      <c r="J25" s="19"/>
      <c r="K25" s="19"/>
      <c r="L25" s="19"/>
      <c r="M25" s="19"/>
      <c r="N25" s="19" t="s">
        <v>312</v>
      </c>
      <c r="O25" s="19" t="s">
        <v>2</v>
      </c>
      <c r="P25" s="19"/>
      <c r="Q25" s="19"/>
      <c r="R25" s="19"/>
      <c r="V25" s="71"/>
      <c r="W25" s="40" t="s">
        <v>1265</v>
      </c>
      <c r="X25" s="40">
        <f t="shared" si="0"/>
        <v>3</v>
      </c>
      <c r="AB25" s="40" t="s">
        <v>774</v>
      </c>
      <c r="AD25" s="105"/>
      <c r="AE25" s="40" t="s">
        <v>25</v>
      </c>
      <c r="AF25" s="40">
        <v>7</v>
      </c>
    </row>
    <row r="26" spans="1:35" ht="16.5" customHeight="1">
      <c r="A26" s="28">
        <v>2</v>
      </c>
      <c r="B26" s="19"/>
      <c r="C26" s="19"/>
      <c r="D26" s="19"/>
      <c r="E26" s="19"/>
      <c r="F26" s="19"/>
      <c r="G26" s="19" t="s">
        <v>14</v>
      </c>
      <c r="H26" s="19" t="s">
        <v>93</v>
      </c>
      <c r="I26" s="19"/>
      <c r="J26" s="19"/>
      <c r="K26" s="19"/>
      <c r="L26" s="19"/>
      <c r="M26" s="19"/>
      <c r="N26" s="19" t="s">
        <v>7</v>
      </c>
      <c r="O26" s="19" t="s">
        <v>314</v>
      </c>
      <c r="P26" s="19"/>
      <c r="Q26" s="19"/>
      <c r="R26" s="19"/>
      <c r="T26" s="71"/>
      <c r="V26" s="71"/>
      <c r="W26" s="40" t="s">
        <v>25</v>
      </c>
      <c r="X26" s="40">
        <f t="shared" si="0"/>
        <v>1</v>
      </c>
      <c r="AB26" s="40" t="s">
        <v>516</v>
      </c>
      <c r="AD26" s="105"/>
      <c r="AE26" s="40" t="s">
        <v>1349</v>
      </c>
      <c r="AF26" s="40">
        <v>8</v>
      </c>
    </row>
    <row r="27" spans="1:35" ht="16.5" customHeight="1">
      <c r="A27" s="28">
        <v>3</v>
      </c>
      <c r="B27" s="19"/>
      <c r="C27" s="19"/>
      <c r="D27" s="19"/>
      <c r="E27" s="19"/>
      <c r="F27" s="19"/>
      <c r="G27" s="19" t="s">
        <v>36</v>
      </c>
      <c r="H27" s="19" t="s">
        <v>875</v>
      </c>
      <c r="I27" s="19"/>
      <c r="J27" s="19"/>
      <c r="K27" s="19"/>
      <c r="L27" s="19"/>
      <c r="M27" s="19"/>
      <c r="N27" s="19" t="s">
        <v>37</v>
      </c>
      <c r="O27" s="19" t="s">
        <v>1065</v>
      </c>
      <c r="P27" s="19"/>
      <c r="Q27" s="19"/>
      <c r="R27" s="19"/>
      <c r="T27" s="72"/>
      <c r="V27" s="71"/>
      <c r="W27" s="40" t="s">
        <v>774</v>
      </c>
      <c r="X27" s="40">
        <f t="shared" si="0"/>
        <v>2</v>
      </c>
      <c r="AB27" s="124" t="s">
        <v>864</v>
      </c>
    </row>
    <row r="28" spans="1:35" ht="16.5" customHeight="1">
      <c r="A28" s="28" t="s">
        <v>20</v>
      </c>
      <c r="B28" s="19" t="s">
        <v>1229</v>
      </c>
      <c r="C28" s="19" t="s">
        <v>13</v>
      </c>
      <c r="D28" s="19" t="s">
        <v>13</v>
      </c>
      <c r="E28" s="19" t="s">
        <v>13</v>
      </c>
      <c r="F28" s="19" t="s">
        <v>13</v>
      </c>
      <c r="G28" s="19" t="s">
        <v>13</v>
      </c>
      <c r="H28" s="19" t="s">
        <v>13</v>
      </c>
      <c r="I28" s="19" t="s">
        <v>516</v>
      </c>
      <c r="J28" s="19" t="s">
        <v>13</v>
      </c>
      <c r="K28" s="19" t="s">
        <v>13</v>
      </c>
      <c r="L28" s="19" t="s">
        <v>13</v>
      </c>
      <c r="M28" s="19" t="s">
        <v>13</v>
      </c>
      <c r="N28" s="19" t="s">
        <v>13</v>
      </c>
      <c r="O28" s="19" t="s">
        <v>13</v>
      </c>
      <c r="P28" s="19" t="s">
        <v>312</v>
      </c>
      <c r="Q28" s="19" t="s">
        <v>13</v>
      </c>
      <c r="R28" s="19" t="s">
        <v>13</v>
      </c>
      <c r="T28" s="72"/>
      <c r="V28" s="71"/>
      <c r="W28" s="40" t="s">
        <v>516</v>
      </c>
      <c r="X28" s="40">
        <f t="shared" si="0"/>
        <v>2</v>
      </c>
      <c r="AB28" s="40" t="s">
        <v>1129</v>
      </c>
    </row>
    <row r="29" spans="1:35" ht="16.5" customHeight="1">
      <c r="A29" s="28" t="s">
        <v>0</v>
      </c>
      <c r="B29" s="19" t="s">
        <v>1328</v>
      </c>
      <c r="C29" s="19" t="s">
        <v>13</v>
      </c>
      <c r="D29" s="19" t="s">
        <v>13</v>
      </c>
      <c r="E29" s="19" t="s">
        <v>13</v>
      </c>
      <c r="F29" s="19" t="s">
        <v>13</v>
      </c>
      <c r="G29" s="19" t="s">
        <v>13</v>
      </c>
      <c r="H29" s="19" t="s">
        <v>13</v>
      </c>
      <c r="I29" s="19" t="s">
        <v>356</v>
      </c>
      <c r="J29" s="19" t="s">
        <v>13</v>
      </c>
      <c r="K29" s="19" t="s">
        <v>13</v>
      </c>
      <c r="L29" s="19" t="s">
        <v>13</v>
      </c>
      <c r="M29" s="19" t="s">
        <v>13</v>
      </c>
      <c r="N29" s="19" t="s">
        <v>13</v>
      </c>
      <c r="O29" s="19" t="s">
        <v>13</v>
      </c>
      <c r="P29" s="19" t="s">
        <v>1157</v>
      </c>
      <c r="Q29" s="19" t="s">
        <v>13</v>
      </c>
      <c r="R29" s="19" t="s">
        <v>13</v>
      </c>
      <c r="T29" s="72"/>
      <c r="V29" s="71"/>
      <c r="W29" s="40" t="s">
        <v>153</v>
      </c>
      <c r="X29" s="40">
        <f t="shared" si="0"/>
        <v>2</v>
      </c>
    </row>
    <row r="30" spans="1:35" ht="16.5" customHeight="1">
      <c r="A30" s="28" t="s">
        <v>1</v>
      </c>
      <c r="B30" s="19"/>
      <c r="C30" s="19"/>
      <c r="D30" s="19"/>
      <c r="E30" s="19"/>
      <c r="F30" s="19"/>
      <c r="G30" s="19"/>
      <c r="H30" s="19"/>
      <c r="I30" s="19"/>
      <c r="J30" s="19"/>
      <c r="K30" s="19"/>
      <c r="L30" s="19"/>
      <c r="M30" s="19"/>
      <c r="N30" s="19"/>
      <c r="O30" s="19"/>
      <c r="P30" s="19"/>
      <c r="Q30" s="19"/>
      <c r="R30" s="19"/>
      <c r="T30" s="71"/>
      <c r="V30" s="71"/>
      <c r="W30" s="40" t="s">
        <v>1349</v>
      </c>
      <c r="X30" s="40">
        <f t="shared" si="0"/>
        <v>2</v>
      </c>
    </row>
    <row r="31" spans="1:35" ht="16.5" customHeight="1">
      <c r="A31" s="111" t="s">
        <v>1377</v>
      </c>
      <c r="B31" s="111"/>
      <c r="C31" s="111"/>
      <c r="D31" s="111"/>
      <c r="E31" s="111"/>
      <c r="F31" s="111"/>
      <c r="G31" s="111"/>
      <c r="H31" s="111"/>
      <c r="I31" s="111"/>
      <c r="J31" s="111"/>
      <c r="K31" s="111"/>
      <c r="L31" s="111"/>
      <c r="M31" s="111"/>
      <c r="N31" s="111"/>
      <c r="O31" s="111"/>
      <c r="P31" s="111"/>
      <c r="Q31" s="145" t="s">
        <v>82</v>
      </c>
      <c r="R31" s="145"/>
      <c r="T31" s="72"/>
      <c r="W31" s="40" t="s">
        <v>1129</v>
      </c>
      <c r="X31" s="40">
        <f t="shared" si="0"/>
        <v>2</v>
      </c>
    </row>
    <row r="32" spans="1:35" ht="16.5" customHeight="1">
      <c r="A32" s="111" t="s">
        <v>1378</v>
      </c>
      <c r="B32" s="111"/>
      <c r="C32" s="111"/>
      <c r="D32" s="111"/>
      <c r="E32" s="111"/>
      <c r="F32" s="111"/>
      <c r="G32" s="111"/>
      <c r="H32" s="111"/>
      <c r="I32" s="111"/>
      <c r="J32" s="111"/>
      <c r="K32" s="111"/>
      <c r="L32" s="111"/>
      <c r="M32" s="111"/>
      <c r="N32" s="111"/>
      <c r="O32" s="111"/>
      <c r="P32" s="111"/>
      <c r="Q32" s="85"/>
      <c r="R32" s="85"/>
      <c r="T32" s="72"/>
      <c r="W32" s="40" t="s">
        <v>312</v>
      </c>
      <c r="X32" s="40">
        <f t="shared" si="0"/>
        <v>3</v>
      </c>
    </row>
    <row r="33" spans="1:26" ht="16.5" customHeight="1">
      <c r="V33" s="40" t="s">
        <v>1400</v>
      </c>
      <c r="W33" s="40" t="s">
        <v>864</v>
      </c>
      <c r="X33" s="40">
        <f t="shared" si="0"/>
        <v>2</v>
      </c>
    </row>
    <row r="34" spans="1:26" ht="16.5" customHeight="1">
      <c r="R34" s="43"/>
      <c r="V34" s="40">
        <v>18</v>
      </c>
      <c r="W34" s="40">
        <f>V34*2</f>
        <v>36</v>
      </c>
      <c r="X34" s="40">
        <f>SUM(X19:X33)</f>
        <v>36</v>
      </c>
      <c r="Y34" s="40">
        <f>V34</f>
        <v>18</v>
      </c>
      <c r="Z34" s="40">
        <f>SUM(Z19:Z33)</f>
        <v>18</v>
      </c>
    </row>
    <row r="35" spans="1:26" ht="16.5" customHeight="1">
      <c r="R35" s="55"/>
    </row>
    <row r="36" spans="1:26" ht="12.75" customHeight="1">
      <c r="R36" s="55"/>
    </row>
    <row r="37" spans="1:26">
      <c r="A37" s="40" t="s">
        <v>322</v>
      </c>
      <c r="B37" s="49"/>
      <c r="C37" s="49"/>
      <c r="D37" s="49"/>
      <c r="E37" s="49"/>
      <c r="F37" s="49"/>
      <c r="G37" s="49"/>
      <c r="H37" s="55"/>
      <c r="I37" s="49"/>
      <c r="J37" s="49"/>
      <c r="K37" s="49"/>
      <c r="L37" s="49"/>
      <c r="M37" s="49"/>
      <c r="N37" s="49"/>
      <c r="O37" s="49"/>
      <c r="R37" s="55"/>
    </row>
    <row r="38" spans="1:26">
      <c r="A38" s="49" t="s">
        <v>1062</v>
      </c>
      <c r="B38" s="49" t="s">
        <v>1063</v>
      </c>
      <c r="C38" s="49"/>
      <c r="D38" s="49"/>
      <c r="E38" s="49"/>
      <c r="F38" s="49"/>
      <c r="G38" s="49" t="s">
        <v>1000</v>
      </c>
      <c r="H38" s="49"/>
      <c r="I38" s="55"/>
      <c r="J38" s="55"/>
      <c r="K38" s="55" t="s">
        <v>1108</v>
      </c>
      <c r="L38" s="55"/>
      <c r="M38" s="55"/>
      <c r="N38" s="55"/>
      <c r="O38" s="55"/>
      <c r="P38" s="43"/>
      <c r="Q38" s="43"/>
      <c r="R38" s="55"/>
    </row>
    <row r="39" spans="1:26">
      <c r="A39" s="90" t="s">
        <v>1049</v>
      </c>
      <c r="B39" s="50"/>
      <c r="C39" s="49"/>
      <c r="D39" s="49"/>
      <c r="E39" s="49"/>
      <c r="F39" s="49"/>
      <c r="G39" s="95" t="s">
        <v>1049</v>
      </c>
      <c r="H39" s="49"/>
      <c r="I39" s="55"/>
      <c r="J39" s="55"/>
      <c r="K39" s="55" t="s">
        <v>1352</v>
      </c>
      <c r="L39" s="55"/>
      <c r="M39" s="55"/>
      <c r="N39" s="55"/>
      <c r="O39" s="55"/>
      <c r="P39" s="55"/>
      <c r="Q39" s="55"/>
      <c r="R39" s="55"/>
      <c r="S39" s="49"/>
      <c r="X39" s="71"/>
    </row>
    <row r="40" spans="1:26">
      <c r="A40" s="84" t="s">
        <v>1388</v>
      </c>
      <c r="B40" s="50"/>
      <c r="C40" s="76"/>
      <c r="D40" s="49"/>
      <c r="E40" s="49"/>
      <c r="F40" s="49"/>
      <c r="G40" s="122">
        <v>45922</v>
      </c>
      <c r="H40" s="49"/>
      <c r="I40" s="55"/>
      <c r="J40" s="55"/>
      <c r="K40" s="77" t="s">
        <v>1261</v>
      </c>
      <c r="L40" s="55"/>
      <c r="M40" s="55"/>
      <c r="N40" s="55"/>
      <c r="O40" s="55"/>
      <c r="P40" s="55"/>
      <c r="Q40" s="55"/>
      <c r="R40" s="55"/>
      <c r="S40" s="49"/>
      <c r="X40" s="71"/>
      <c r="Y40" s="71"/>
    </row>
    <row r="41" spans="1:26">
      <c r="A41" s="83" t="s">
        <v>1052</v>
      </c>
      <c r="B41" s="49"/>
      <c r="C41" s="49"/>
      <c r="D41" s="49"/>
      <c r="E41" s="49"/>
      <c r="F41" s="76"/>
      <c r="G41" s="121" t="s">
        <v>1052</v>
      </c>
      <c r="H41" s="55"/>
      <c r="I41" s="55"/>
      <c r="J41" s="55"/>
      <c r="K41" s="55" t="s">
        <v>1405</v>
      </c>
      <c r="L41" s="55"/>
      <c r="M41" s="55"/>
      <c r="N41" s="55"/>
      <c r="O41" s="55"/>
      <c r="P41" s="55"/>
      <c r="Q41" s="55"/>
      <c r="R41" s="55"/>
      <c r="S41" s="49"/>
      <c r="X41" s="71"/>
      <c r="Y41" s="71"/>
    </row>
    <row r="42" spans="1:26">
      <c r="A42" s="84" t="s">
        <v>1389</v>
      </c>
      <c r="B42" s="49"/>
      <c r="C42" s="49"/>
      <c r="D42" s="49"/>
      <c r="E42" s="49"/>
      <c r="F42" s="77"/>
      <c r="G42" s="98" t="s">
        <v>1394</v>
      </c>
      <c r="H42" s="49"/>
      <c r="I42" s="55"/>
      <c r="J42" s="55"/>
      <c r="L42" s="55"/>
      <c r="M42" s="55"/>
      <c r="N42" s="55"/>
      <c r="O42" s="55"/>
      <c r="P42" s="55"/>
      <c r="Q42" s="55"/>
      <c r="R42" s="55"/>
      <c r="S42" s="49"/>
    </row>
    <row r="43" spans="1:26">
      <c r="A43" s="117" t="s">
        <v>1140</v>
      </c>
      <c r="B43" s="49"/>
      <c r="C43" s="49"/>
      <c r="D43" s="49"/>
      <c r="E43" s="49"/>
      <c r="F43" s="77"/>
      <c r="G43" s="117" t="s">
        <v>1140</v>
      </c>
      <c r="H43" s="49"/>
      <c r="L43" s="40" t="s">
        <v>1343</v>
      </c>
      <c r="N43" s="71" t="s">
        <v>1344</v>
      </c>
      <c r="O43" s="40" t="s">
        <v>1395</v>
      </c>
      <c r="P43" s="40" t="s">
        <v>1343</v>
      </c>
      <c r="Q43" s="40" t="s">
        <v>1395</v>
      </c>
      <c r="R43" s="40" t="s">
        <v>1344</v>
      </c>
    </row>
    <row r="44" spans="1:26">
      <c r="A44" s="84" t="s">
        <v>1382</v>
      </c>
      <c r="B44" s="49"/>
      <c r="C44" s="49"/>
      <c r="D44" s="49"/>
      <c r="E44" s="49"/>
      <c r="F44" s="77"/>
      <c r="G44" s="123">
        <v>45915</v>
      </c>
      <c r="H44" s="49"/>
      <c r="K44" s="40" t="s">
        <v>2</v>
      </c>
      <c r="L44" s="40">
        <f>COUNTIF($B$3:$R$5,K44)+COUNTIF($B$10:$R$12,K44)</f>
        <v>2</v>
      </c>
      <c r="M44" s="40" t="s">
        <v>2</v>
      </c>
      <c r="N44" s="40">
        <f>COUNTIF($B$18:$R$20,M44)+COUNTIF($B$25:$R$27,M44)</f>
        <v>1</v>
      </c>
      <c r="O44" s="40" t="s">
        <v>1159</v>
      </c>
      <c r="P44" s="40">
        <f>COUNTIF($B$3:$R$5,O44)+COUNTIF($B$10:$R$12,O44)</f>
        <v>1</v>
      </c>
      <c r="Q44" s="40" t="s">
        <v>1159</v>
      </c>
      <c r="R44" s="40">
        <f>COUNTIF($B$18:$R$20,Q44)+COUNTIF($B$25:$R$27,Q44)</f>
        <v>1</v>
      </c>
    </row>
    <row r="45" spans="1:26">
      <c r="A45" s="90" t="s">
        <v>1141</v>
      </c>
      <c r="B45" s="49"/>
      <c r="C45" s="49"/>
      <c r="D45" s="49"/>
      <c r="E45" s="49"/>
      <c r="F45" s="77"/>
      <c r="G45" s="83" t="s">
        <v>1056</v>
      </c>
      <c r="H45" s="49"/>
      <c r="K45" s="40" t="s">
        <v>7</v>
      </c>
      <c r="L45" s="40">
        <f t="shared" ref="L45:L58" si="1">COUNTIF($B$3:$R$5,K45)+COUNTIF($B$10:$R$12,K45)</f>
        <v>1</v>
      </c>
      <c r="M45" s="40" t="s">
        <v>7</v>
      </c>
      <c r="N45" s="40">
        <f t="shared" ref="N45:N58" si="2">COUNTIF($B$18:$R$20,M45)+COUNTIF($B$25:$R$27,M45)</f>
        <v>2</v>
      </c>
      <c r="O45" s="40" t="s">
        <v>1065</v>
      </c>
      <c r="P45" s="40">
        <f t="shared" ref="P45:P49" si="3">COUNTIF($B$3:$R$5,O45)+COUNTIF($B$10:$R$12,O45)</f>
        <v>2</v>
      </c>
      <c r="Q45" s="40" t="s">
        <v>1065</v>
      </c>
      <c r="R45" s="40">
        <f t="shared" ref="R45:R49" si="4">COUNTIF($B$18:$R$20,Q45)+COUNTIF($B$25:$R$27,Q45)</f>
        <v>2</v>
      </c>
    </row>
    <row r="46" spans="1:26">
      <c r="A46" s="84" t="s">
        <v>1383</v>
      </c>
      <c r="B46" s="49"/>
      <c r="C46" s="76"/>
      <c r="D46" s="49"/>
      <c r="E46" s="49"/>
      <c r="F46" s="49"/>
      <c r="G46" s="103" t="s">
        <v>1387</v>
      </c>
      <c r="H46" s="49"/>
      <c r="K46" s="40" t="s">
        <v>107</v>
      </c>
      <c r="L46" s="40">
        <f t="shared" si="1"/>
        <v>1</v>
      </c>
      <c r="M46" s="40" t="s">
        <v>107</v>
      </c>
      <c r="N46" s="40">
        <f t="shared" si="2"/>
        <v>1</v>
      </c>
      <c r="O46" s="40" t="s">
        <v>37</v>
      </c>
      <c r="P46" s="40">
        <f t="shared" si="3"/>
        <v>2</v>
      </c>
      <c r="Q46" s="40" t="s">
        <v>37</v>
      </c>
      <c r="R46" s="40">
        <f t="shared" si="4"/>
        <v>2</v>
      </c>
    </row>
    <row r="47" spans="1:26">
      <c r="A47" s="90" t="s">
        <v>1056</v>
      </c>
      <c r="B47" s="49"/>
      <c r="C47" s="49"/>
      <c r="D47" s="49"/>
      <c r="E47" s="49"/>
      <c r="F47" s="77"/>
      <c r="G47" s="125" t="s">
        <v>1401</v>
      </c>
      <c r="H47" s="49"/>
      <c r="K47" s="40" t="s">
        <v>14</v>
      </c>
      <c r="L47" s="40">
        <f t="shared" si="1"/>
        <v>2</v>
      </c>
      <c r="M47" s="40" t="s">
        <v>14</v>
      </c>
      <c r="N47" s="40">
        <f t="shared" si="2"/>
        <v>1</v>
      </c>
      <c r="O47" s="40" t="s">
        <v>875</v>
      </c>
      <c r="P47" s="40">
        <f t="shared" si="3"/>
        <v>1</v>
      </c>
      <c r="Q47" s="40" t="s">
        <v>875</v>
      </c>
      <c r="R47" s="40">
        <f t="shared" si="4"/>
        <v>1</v>
      </c>
    </row>
    <row r="48" spans="1:26">
      <c r="A48" s="84" t="s">
        <v>1384</v>
      </c>
      <c r="B48" s="49"/>
      <c r="C48" s="49"/>
      <c r="D48" s="49"/>
      <c r="E48" s="49"/>
      <c r="F48" s="77"/>
      <c r="G48" s="115" t="s">
        <v>1404</v>
      </c>
      <c r="H48" s="49"/>
      <c r="K48" s="40" t="s">
        <v>314</v>
      </c>
      <c r="L48" s="40">
        <f t="shared" si="1"/>
        <v>1</v>
      </c>
      <c r="M48" s="40" t="s">
        <v>314</v>
      </c>
      <c r="N48" s="40">
        <f t="shared" si="2"/>
        <v>2</v>
      </c>
      <c r="O48" s="40" t="s">
        <v>36</v>
      </c>
      <c r="P48" s="40">
        <f t="shared" si="3"/>
        <v>2</v>
      </c>
      <c r="Q48" s="40" t="s">
        <v>36</v>
      </c>
      <c r="R48" s="40">
        <f t="shared" si="4"/>
        <v>2</v>
      </c>
    </row>
    <row r="49" spans="1:25">
      <c r="A49" s="95" t="s">
        <v>1240</v>
      </c>
      <c r="B49" s="49"/>
      <c r="C49" s="49"/>
      <c r="D49" s="49"/>
      <c r="E49" s="49"/>
      <c r="F49" s="77"/>
      <c r="G49" s="83"/>
      <c r="H49" s="49"/>
      <c r="K49" s="40" t="s">
        <v>93</v>
      </c>
      <c r="L49" s="40">
        <f t="shared" si="1"/>
        <v>1</v>
      </c>
      <c r="M49" s="40" t="s">
        <v>93</v>
      </c>
      <c r="N49" s="40">
        <f t="shared" si="2"/>
        <v>2</v>
      </c>
      <c r="O49" s="40" t="s">
        <v>1328</v>
      </c>
      <c r="P49" s="40">
        <f t="shared" si="3"/>
        <v>1</v>
      </c>
      <c r="Q49" s="40" t="s">
        <v>1328</v>
      </c>
      <c r="R49" s="40">
        <f t="shared" si="4"/>
        <v>1</v>
      </c>
    </row>
    <row r="50" spans="1:25">
      <c r="A50" s="104" t="s">
        <v>1385</v>
      </c>
      <c r="B50" s="49"/>
      <c r="C50" s="49"/>
      <c r="D50" s="49"/>
      <c r="E50" s="49"/>
      <c r="F50" s="49"/>
      <c r="G50" s="50"/>
      <c r="H50" s="49"/>
      <c r="K50" s="40" t="s">
        <v>1265</v>
      </c>
      <c r="L50" s="40">
        <f t="shared" si="1"/>
        <v>2</v>
      </c>
      <c r="M50" s="40" t="s">
        <v>1265</v>
      </c>
      <c r="N50" s="40">
        <f t="shared" si="2"/>
        <v>1</v>
      </c>
      <c r="P50" s="55"/>
      <c r="Q50" s="49"/>
      <c r="R50" s="49"/>
    </row>
    <row r="51" spans="1:25">
      <c r="A51" s="95" t="s">
        <v>1233</v>
      </c>
      <c r="B51" s="49"/>
      <c r="C51" s="49"/>
      <c r="D51" s="49"/>
      <c r="E51" s="49"/>
      <c r="F51" s="77"/>
      <c r="G51" s="118"/>
      <c r="H51" s="49"/>
      <c r="K51" s="40" t="s">
        <v>25</v>
      </c>
      <c r="L51" s="40">
        <f t="shared" si="1"/>
        <v>1</v>
      </c>
      <c r="M51" s="40" t="s">
        <v>25</v>
      </c>
      <c r="N51" s="40">
        <f t="shared" si="2"/>
        <v>0</v>
      </c>
      <c r="P51" s="55"/>
      <c r="Q51" s="49"/>
      <c r="R51" s="49"/>
    </row>
    <row r="52" spans="1:25">
      <c r="A52" s="104" t="s">
        <v>1390</v>
      </c>
      <c r="B52" s="49"/>
      <c r="C52" s="49"/>
      <c r="D52" s="49"/>
      <c r="E52" s="49"/>
      <c r="F52" s="49"/>
      <c r="G52" s="87"/>
      <c r="H52" s="49"/>
      <c r="I52" s="71"/>
      <c r="J52" s="71"/>
      <c r="K52" s="40" t="s">
        <v>774</v>
      </c>
      <c r="L52" s="40">
        <f t="shared" si="1"/>
        <v>1</v>
      </c>
      <c r="M52" s="40" t="s">
        <v>774</v>
      </c>
      <c r="N52" s="40">
        <f t="shared" si="2"/>
        <v>1</v>
      </c>
      <c r="P52" s="55"/>
      <c r="Q52" s="49"/>
      <c r="R52" s="49"/>
    </row>
    <row r="53" spans="1:25">
      <c r="A53" s="90" t="s">
        <v>1050</v>
      </c>
      <c r="B53" s="49"/>
      <c r="C53" s="49"/>
      <c r="D53" s="49"/>
      <c r="E53" s="49"/>
      <c r="F53" s="49"/>
      <c r="G53" s="88"/>
      <c r="H53" s="49"/>
      <c r="I53" s="71"/>
      <c r="J53" s="71"/>
      <c r="K53" s="40" t="s">
        <v>516</v>
      </c>
      <c r="L53" s="40">
        <f t="shared" si="1"/>
        <v>1</v>
      </c>
      <c r="M53" s="40" t="s">
        <v>516</v>
      </c>
      <c r="N53" s="40">
        <f t="shared" si="2"/>
        <v>1</v>
      </c>
      <c r="P53" s="49"/>
      <c r="Q53" s="49"/>
      <c r="R53" s="49"/>
    </row>
    <row r="54" spans="1:25">
      <c r="A54" s="91" t="s">
        <v>1386</v>
      </c>
      <c r="B54" s="49"/>
      <c r="C54" s="49"/>
      <c r="D54" s="49"/>
      <c r="E54" s="49"/>
      <c r="F54" s="49"/>
      <c r="G54" s="87"/>
      <c r="H54" s="49"/>
      <c r="I54" s="71"/>
      <c r="J54" s="71"/>
      <c r="K54" s="40" t="s">
        <v>153</v>
      </c>
      <c r="L54" s="40">
        <f t="shared" si="1"/>
        <v>1</v>
      </c>
      <c r="M54" s="40" t="s">
        <v>153</v>
      </c>
      <c r="N54" s="40">
        <f t="shared" si="2"/>
        <v>1</v>
      </c>
      <c r="P54" s="49"/>
      <c r="Q54" s="49"/>
      <c r="R54" s="49"/>
    </row>
    <row r="55" spans="1:25">
      <c r="A55" s="95" t="s">
        <v>1338</v>
      </c>
      <c r="B55" s="73"/>
      <c r="C55" s="49"/>
      <c r="D55" s="49"/>
      <c r="E55" s="49"/>
      <c r="F55" s="76"/>
      <c r="G55" s="49"/>
      <c r="H55" s="49"/>
      <c r="I55" s="71"/>
      <c r="J55" s="71"/>
      <c r="K55" s="40" t="s">
        <v>1349</v>
      </c>
      <c r="L55" s="40">
        <f t="shared" si="1"/>
        <v>1</v>
      </c>
      <c r="M55" s="40" t="s">
        <v>1349</v>
      </c>
      <c r="N55" s="40">
        <f t="shared" si="2"/>
        <v>1</v>
      </c>
      <c r="P55" s="49"/>
      <c r="Q55" s="49"/>
      <c r="R55" s="49"/>
    </row>
    <row r="56" spans="1:25">
      <c r="A56" s="91" t="s">
        <v>1402</v>
      </c>
      <c r="B56" s="49"/>
      <c r="C56" s="49"/>
      <c r="D56" s="49"/>
      <c r="E56" s="49"/>
      <c r="F56" s="49"/>
      <c r="G56" s="49"/>
      <c r="H56" s="49"/>
      <c r="I56" s="71"/>
      <c r="J56" s="71"/>
      <c r="K56" s="40" t="s">
        <v>1129</v>
      </c>
      <c r="L56" s="40">
        <f t="shared" si="1"/>
        <v>1</v>
      </c>
      <c r="M56" s="40" t="s">
        <v>1129</v>
      </c>
      <c r="N56" s="40">
        <f t="shared" si="2"/>
        <v>1</v>
      </c>
      <c r="P56" s="49"/>
      <c r="Q56" s="49"/>
      <c r="R56" s="49"/>
    </row>
    <row r="57" spans="1:25">
      <c r="A57" s="118" t="s">
        <v>1057</v>
      </c>
      <c r="B57" s="49"/>
      <c r="C57" s="49"/>
      <c r="D57" s="49"/>
      <c r="E57" s="49"/>
      <c r="F57" s="49"/>
      <c r="G57" s="49"/>
      <c r="H57" s="49"/>
      <c r="I57" s="71"/>
      <c r="J57" s="71"/>
      <c r="K57" s="40" t="s">
        <v>312</v>
      </c>
      <c r="L57" s="40">
        <f t="shared" si="1"/>
        <v>1</v>
      </c>
      <c r="M57" s="40" t="s">
        <v>312</v>
      </c>
      <c r="N57" s="40">
        <f t="shared" si="2"/>
        <v>2</v>
      </c>
      <c r="P57" s="49"/>
      <c r="Q57" s="49"/>
      <c r="R57" s="49"/>
    </row>
    <row r="58" spans="1:25">
      <c r="A58" s="100" t="s">
        <v>1391</v>
      </c>
      <c r="B58" s="49"/>
      <c r="C58" s="49"/>
      <c r="D58" s="49"/>
      <c r="E58" s="49"/>
      <c r="F58" s="49"/>
      <c r="G58" s="49"/>
      <c r="H58" s="49"/>
      <c r="K58" s="40" t="s">
        <v>864</v>
      </c>
      <c r="L58" s="40">
        <f t="shared" si="1"/>
        <v>1</v>
      </c>
      <c r="M58" s="40" t="s">
        <v>864</v>
      </c>
      <c r="N58" s="40">
        <f t="shared" si="2"/>
        <v>1</v>
      </c>
      <c r="P58" s="49"/>
      <c r="Q58" s="49"/>
      <c r="R58" s="49"/>
    </row>
    <row r="59" spans="1:25">
      <c r="A59" s="125" t="s">
        <v>1401</v>
      </c>
      <c r="B59" s="49"/>
      <c r="C59" s="49"/>
      <c r="D59" s="49"/>
      <c r="E59" s="49"/>
      <c r="F59" s="49"/>
      <c r="G59" s="49"/>
      <c r="H59" s="49"/>
      <c r="L59" s="40">
        <f>SUM(L44:L58)</f>
        <v>18</v>
      </c>
      <c r="N59" s="40">
        <f>SUM(N44:N58)</f>
        <v>18</v>
      </c>
      <c r="P59" s="40">
        <f>SUM(P44:P58)</f>
        <v>9</v>
      </c>
      <c r="Q59" s="49"/>
      <c r="R59" s="40">
        <f>SUM(R44:R58)</f>
        <v>9</v>
      </c>
      <c r="V59" s="71"/>
      <c r="W59" s="71"/>
      <c r="X59" s="71"/>
      <c r="Y59" s="71"/>
    </row>
    <row r="60" spans="1:25">
      <c r="A60" s="126" t="s">
        <v>1403</v>
      </c>
      <c r="B60" s="49"/>
      <c r="C60" s="49"/>
      <c r="D60" s="49"/>
      <c r="E60" s="49"/>
      <c r="F60" s="49"/>
      <c r="G60" s="49"/>
      <c r="H60" s="49"/>
      <c r="I60" s="49"/>
      <c r="J60" s="49"/>
      <c r="K60" s="49"/>
      <c r="L60" s="49"/>
      <c r="M60" s="49"/>
      <c r="N60" s="49"/>
      <c r="O60" s="49"/>
      <c r="P60" s="49"/>
      <c r="Q60" s="49"/>
      <c r="R60" s="49"/>
      <c r="S60" s="49"/>
      <c r="T60" s="71"/>
      <c r="U60" s="71"/>
      <c r="V60" s="71"/>
      <c r="W60" s="71"/>
      <c r="X60" s="71"/>
      <c r="Y60" s="71"/>
    </row>
    <row r="61" spans="1:25">
      <c r="A61" s="79"/>
      <c r="B61" s="73"/>
      <c r="C61" s="73"/>
      <c r="D61" s="73"/>
      <c r="E61" s="73"/>
      <c r="F61" s="73"/>
      <c r="G61" s="73"/>
      <c r="H61" s="73"/>
      <c r="I61" s="73"/>
      <c r="J61" s="73"/>
      <c r="K61" s="73"/>
      <c r="L61" s="73"/>
      <c r="M61" s="73"/>
      <c r="N61" s="73"/>
      <c r="O61" s="73"/>
      <c r="P61" s="73"/>
      <c r="Q61" s="73"/>
      <c r="R61" s="73"/>
      <c r="S61" s="49"/>
      <c r="T61" s="71"/>
      <c r="U61" s="71"/>
      <c r="V61" s="71"/>
      <c r="W61" s="71"/>
      <c r="X61" s="71"/>
      <c r="Y61" s="71"/>
    </row>
    <row r="62" spans="1:25">
      <c r="A62" s="50"/>
      <c r="B62" s="73"/>
      <c r="C62" s="73"/>
      <c r="D62" s="73"/>
      <c r="E62" s="73"/>
      <c r="F62" s="73"/>
      <c r="G62" s="73"/>
      <c r="H62" s="73"/>
      <c r="I62" s="73"/>
      <c r="J62" s="73"/>
      <c r="K62" s="73"/>
      <c r="L62" s="73"/>
      <c r="M62" s="73"/>
      <c r="N62" s="73"/>
      <c r="O62" s="73"/>
      <c r="P62" s="73"/>
      <c r="Q62" s="73"/>
      <c r="R62" s="73"/>
      <c r="S62" s="49"/>
      <c r="T62" s="71"/>
      <c r="U62" s="71"/>
      <c r="V62" s="71"/>
      <c r="W62" s="71"/>
      <c r="X62" s="71"/>
      <c r="Y62" s="71"/>
    </row>
    <row r="63" spans="1:25">
      <c r="A63" s="119"/>
      <c r="B63" s="73"/>
      <c r="C63" s="73"/>
      <c r="D63" s="73"/>
      <c r="E63" s="73"/>
      <c r="F63" s="73"/>
      <c r="G63" s="73"/>
      <c r="H63" s="73"/>
      <c r="I63" s="73"/>
      <c r="J63" s="73"/>
      <c r="K63" s="73"/>
      <c r="L63" s="73"/>
      <c r="M63" s="73"/>
      <c r="N63" s="73"/>
      <c r="O63" s="73"/>
      <c r="P63" s="73"/>
      <c r="Q63" s="73"/>
      <c r="R63" s="73"/>
      <c r="S63" s="49"/>
      <c r="T63" s="71"/>
      <c r="U63" s="71"/>
      <c r="V63" s="71"/>
      <c r="W63" s="71"/>
      <c r="X63" s="71"/>
      <c r="Y63" s="71"/>
    </row>
    <row r="64" spans="1:25">
      <c r="A64" s="50"/>
      <c r="B64" s="73"/>
      <c r="C64" s="73"/>
      <c r="D64" s="73"/>
      <c r="E64" s="73"/>
      <c r="F64" s="73"/>
      <c r="G64" s="73"/>
      <c r="H64" s="73"/>
      <c r="I64" s="73"/>
      <c r="J64" s="73"/>
      <c r="K64" s="73"/>
      <c r="L64" s="73"/>
      <c r="M64" s="73"/>
      <c r="N64" s="73"/>
      <c r="O64" s="73"/>
      <c r="P64" s="73"/>
      <c r="Q64" s="73"/>
      <c r="R64" s="73"/>
      <c r="S64" s="49"/>
      <c r="T64" s="71"/>
      <c r="U64" s="71"/>
      <c r="V64" s="71"/>
      <c r="W64" s="71"/>
      <c r="X64" s="71"/>
      <c r="Y64" s="71"/>
    </row>
    <row r="65" spans="1:19">
      <c r="A65" s="119"/>
      <c r="B65" s="73"/>
      <c r="C65" s="73"/>
      <c r="D65" s="73"/>
      <c r="E65" s="73"/>
      <c r="F65" s="73"/>
      <c r="G65" s="73"/>
      <c r="H65" s="73"/>
      <c r="I65" s="73"/>
      <c r="J65" s="73"/>
      <c r="K65" s="73"/>
      <c r="L65" s="73"/>
      <c r="M65" s="73"/>
      <c r="N65" s="73"/>
      <c r="O65" s="73"/>
      <c r="P65" s="73"/>
      <c r="Q65" s="73"/>
      <c r="R65" s="73"/>
      <c r="S65" s="73"/>
    </row>
    <row r="66" spans="1:19">
      <c r="A66" s="73"/>
      <c r="B66" s="73"/>
      <c r="C66" s="73"/>
      <c r="D66" s="73"/>
      <c r="E66" s="73"/>
      <c r="F66" s="73"/>
      <c r="G66" s="73"/>
      <c r="H66" s="73"/>
      <c r="I66" s="73"/>
      <c r="J66" s="73"/>
      <c r="K66" s="73"/>
      <c r="L66" s="73"/>
      <c r="M66" s="73"/>
      <c r="N66" s="73"/>
      <c r="O66" s="73"/>
      <c r="P66" s="73"/>
      <c r="Q66" s="73"/>
      <c r="R66" s="73"/>
      <c r="S66" s="73"/>
    </row>
    <row r="67" spans="1:19">
      <c r="A67" s="73"/>
      <c r="B67" s="73"/>
      <c r="C67" s="73"/>
      <c r="D67" s="73"/>
      <c r="E67" s="73"/>
      <c r="F67" s="73"/>
      <c r="G67" s="73"/>
      <c r="H67" s="73"/>
      <c r="I67" s="73"/>
      <c r="J67" s="73"/>
      <c r="K67" s="73"/>
      <c r="L67" s="73"/>
      <c r="M67" s="73"/>
      <c r="N67" s="73"/>
      <c r="O67" s="73"/>
      <c r="P67" s="73"/>
      <c r="Q67" s="73"/>
      <c r="R67" s="73"/>
      <c r="S67" s="73"/>
    </row>
    <row r="68" spans="1:19">
      <c r="A68" s="73"/>
      <c r="B68" s="73"/>
      <c r="C68" s="73"/>
      <c r="D68" s="73"/>
      <c r="E68" s="73"/>
      <c r="F68" s="73"/>
      <c r="G68" s="73"/>
      <c r="H68" s="73"/>
      <c r="I68" s="73"/>
      <c r="J68" s="73"/>
      <c r="K68" s="73"/>
      <c r="L68" s="73"/>
      <c r="M68" s="73"/>
      <c r="N68" s="73"/>
      <c r="O68" s="73"/>
      <c r="P68" s="73"/>
      <c r="Q68" s="73"/>
      <c r="R68" s="73"/>
      <c r="S68" s="73"/>
    </row>
    <row r="69" spans="1:19">
      <c r="A69" s="73"/>
      <c r="B69" s="73"/>
      <c r="C69" s="73"/>
      <c r="D69" s="73"/>
      <c r="E69" s="73"/>
      <c r="F69" s="73"/>
      <c r="G69" s="73"/>
      <c r="H69" s="73"/>
      <c r="I69" s="73"/>
      <c r="J69" s="73"/>
      <c r="K69" s="73"/>
      <c r="L69" s="73"/>
      <c r="M69" s="73"/>
      <c r="N69" s="73"/>
      <c r="O69" s="73"/>
      <c r="P69" s="73"/>
      <c r="Q69" s="73"/>
      <c r="R69" s="73"/>
      <c r="S69" s="73"/>
    </row>
    <row r="70" spans="1:19">
      <c r="A70" s="73"/>
      <c r="B70" s="73"/>
      <c r="C70" s="73"/>
      <c r="D70" s="73"/>
      <c r="E70" s="73"/>
      <c r="F70" s="73"/>
      <c r="G70" s="73"/>
      <c r="H70" s="73"/>
      <c r="I70" s="73"/>
      <c r="J70" s="73"/>
      <c r="K70" s="73"/>
      <c r="L70" s="73"/>
      <c r="M70" s="73"/>
      <c r="N70" s="73"/>
      <c r="O70" s="73"/>
      <c r="P70" s="73"/>
      <c r="Q70" s="73"/>
      <c r="R70" s="73"/>
      <c r="S70" s="73"/>
    </row>
    <row r="71" spans="1:19">
      <c r="S71" s="73"/>
    </row>
    <row r="72" spans="1:19">
      <c r="S72" s="73"/>
    </row>
    <row r="73" spans="1:19">
      <c r="S73" s="73"/>
    </row>
    <row r="74" spans="1:19">
      <c r="S74" s="73"/>
    </row>
  </sheetData>
  <mergeCells count="2">
    <mergeCell ref="A1:R1"/>
    <mergeCell ref="Q31:R31"/>
  </mergeCells>
  <phoneticPr fontId="2"/>
  <pageMargins left="0.23622047244094491" right="0.23622047244094491" top="0" bottom="0" header="0.31496062992125984" footer="0.31496062992125984"/>
  <pageSetup paperSize="9" orientation="landscape"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034EE-2BB4-4592-8D4B-91477C9D17C1}">
  <dimension ref="A1:AH74"/>
  <sheetViews>
    <sheetView zoomScale="90" zoomScaleNormal="90" workbookViewId="0">
      <selection activeCell="K53" sqref="K53"/>
    </sheetView>
  </sheetViews>
  <sheetFormatPr defaultColWidth="9" defaultRowHeight="18.75"/>
  <cols>
    <col min="1" max="18" width="6.625" style="40" customWidth="1"/>
    <col min="19" max="19" width="3.625" style="40" customWidth="1"/>
    <col min="20" max="20" width="6.625" style="40" customWidth="1"/>
    <col min="21" max="21" width="3.625" style="40" customWidth="1"/>
    <col min="22" max="39" width="6.625" style="40" customWidth="1"/>
    <col min="40" max="40" width="3.625" style="40" customWidth="1"/>
    <col min="41" max="16384" width="9" style="40"/>
  </cols>
  <sheetData>
    <row r="1" spans="1:34">
      <c r="A1" s="147" t="s">
        <v>1367</v>
      </c>
      <c r="B1" s="147"/>
      <c r="C1" s="147"/>
      <c r="D1" s="147"/>
      <c r="E1" s="147"/>
      <c r="F1" s="147"/>
      <c r="G1" s="147"/>
      <c r="H1" s="147"/>
      <c r="I1" s="147"/>
      <c r="J1" s="147"/>
      <c r="K1" s="147"/>
      <c r="L1" s="147"/>
      <c r="M1" s="147"/>
      <c r="N1" s="147"/>
      <c r="O1" s="147"/>
      <c r="P1" s="147"/>
      <c r="Q1" s="147"/>
      <c r="R1" s="147"/>
      <c r="X1" s="40" t="s">
        <v>116</v>
      </c>
    </row>
    <row r="2" spans="1:34" ht="16.5" customHeight="1">
      <c r="A2" s="26" t="s">
        <v>355</v>
      </c>
      <c r="B2" s="31">
        <v>45829</v>
      </c>
      <c r="C2" s="31">
        <v>45830</v>
      </c>
      <c r="D2" s="27">
        <v>45831</v>
      </c>
      <c r="E2" s="27">
        <v>45832</v>
      </c>
      <c r="F2" s="27">
        <v>45833</v>
      </c>
      <c r="G2" s="27">
        <v>45834</v>
      </c>
      <c r="H2" s="27">
        <v>45835</v>
      </c>
      <c r="I2" s="31">
        <v>45836</v>
      </c>
      <c r="J2" s="31">
        <v>45837</v>
      </c>
      <c r="K2" s="27">
        <v>45838</v>
      </c>
      <c r="L2" s="27"/>
      <c r="M2" s="23" t="s">
        <v>368</v>
      </c>
      <c r="N2" s="60">
        <v>45839</v>
      </c>
      <c r="O2" s="60">
        <v>45840</v>
      </c>
      <c r="P2" s="60">
        <v>45841</v>
      </c>
      <c r="Q2" s="60">
        <v>45842</v>
      </c>
      <c r="R2" s="30">
        <v>45843</v>
      </c>
      <c r="V2" s="40" t="s">
        <v>63</v>
      </c>
      <c r="W2" s="40" t="s">
        <v>1310</v>
      </c>
      <c r="X2" s="40" t="s">
        <v>64</v>
      </c>
      <c r="Y2" s="40" t="s">
        <v>1310</v>
      </c>
      <c r="Z2" s="105" t="s">
        <v>1309</v>
      </c>
      <c r="AA2" s="40" t="s">
        <v>65</v>
      </c>
      <c r="AC2" s="40" t="s">
        <v>169</v>
      </c>
      <c r="AD2" s="40" t="s">
        <v>1343</v>
      </c>
      <c r="AE2" s="40" t="s">
        <v>1344</v>
      </c>
      <c r="AG2" s="40" t="s">
        <v>874</v>
      </c>
    </row>
    <row r="3" spans="1:34" ht="16.5" customHeight="1">
      <c r="A3" s="28">
        <v>1</v>
      </c>
      <c r="B3" s="19" t="s">
        <v>2</v>
      </c>
      <c r="C3" s="19" t="s">
        <v>315</v>
      </c>
      <c r="D3" s="19"/>
      <c r="E3" s="19"/>
      <c r="F3" s="19"/>
      <c r="G3" s="19"/>
      <c r="H3" s="19"/>
      <c r="I3" s="108" t="s">
        <v>1032</v>
      </c>
      <c r="J3" s="109" t="s">
        <v>153</v>
      </c>
      <c r="K3" s="19"/>
      <c r="L3" s="19"/>
      <c r="M3" s="36"/>
      <c r="N3" s="19"/>
      <c r="O3" s="35"/>
      <c r="P3" s="19"/>
      <c r="Q3" s="19"/>
      <c r="R3" s="108" t="s">
        <v>25</v>
      </c>
      <c r="V3" s="40" t="s">
        <v>2</v>
      </c>
      <c r="W3" s="40">
        <v>1</v>
      </c>
      <c r="X3" s="40" t="s">
        <v>312</v>
      </c>
      <c r="Y3" s="40">
        <v>1</v>
      </c>
      <c r="Z3" s="105">
        <v>2</v>
      </c>
      <c r="AA3" s="40" t="s">
        <v>1159</v>
      </c>
      <c r="AB3" s="40">
        <v>3</v>
      </c>
      <c r="AC3" s="40" t="s">
        <v>25</v>
      </c>
      <c r="AE3" s="40">
        <v>3.9</v>
      </c>
      <c r="AG3" s="40" t="s">
        <v>37</v>
      </c>
      <c r="AH3" s="40">
        <v>4</v>
      </c>
    </row>
    <row r="4" spans="1:34" ht="16.5" customHeight="1">
      <c r="A4" s="28">
        <v>2</v>
      </c>
      <c r="B4" s="19" t="s">
        <v>14</v>
      </c>
      <c r="C4" s="19" t="s">
        <v>93</v>
      </c>
      <c r="D4" s="19"/>
      <c r="E4" s="19"/>
      <c r="F4" s="19"/>
      <c r="G4" s="19"/>
      <c r="H4" s="19"/>
      <c r="I4" s="109" t="s">
        <v>864</v>
      </c>
      <c r="J4" s="19" t="s">
        <v>107</v>
      </c>
      <c r="K4" s="19"/>
      <c r="L4" s="19"/>
      <c r="M4" s="36"/>
      <c r="N4" s="19"/>
      <c r="O4" s="19"/>
      <c r="P4" s="19"/>
      <c r="Q4" s="19"/>
      <c r="R4" s="108" t="s">
        <v>516</v>
      </c>
      <c r="T4" s="41"/>
      <c r="U4" s="41"/>
      <c r="V4" s="40" t="s">
        <v>107</v>
      </c>
      <c r="W4" s="40">
        <v>1</v>
      </c>
      <c r="X4" s="40" t="s">
        <v>25</v>
      </c>
      <c r="Y4" s="40">
        <v>1</v>
      </c>
      <c r="Z4" s="105">
        <v>2</v>
      </c>
      <c r="AA4" s="40" t="s">
        <v>1065</v>
      </c>
      <c r="AB4" s="40">
        <v>4</v>
      </c>
      <c r="AC4" s="40" t="s">
        <v>26</v>
      </c>
      <c r="AD4" s="40">
        <v>2</v>
      </c>
      <c r="AE4" s="40">
        <v>11</v>
      </c>
      <c r="AG4" s="40" t="s">
        <v>875</v>
      </c>
      <c r="AH4" s="64" t="s">
        <v>1354</v>
      </c>
    </row>
    <row r="5" spans="1:34" ht="16.5" customHeight="1">
      <c r="A5" s="28">
        <v>3</v>
      </c>
      <c r="B5" s="19" t="s">
        <v>1159</v>
      </c>
      <c r="C5" s="19" t="s">
        <v>875</v>
      </c>
      <c r="D5" s="19"/>
      <c r="E5" s="19"/>
      <c r="F5" s="19"/>
      <c r="G5" s="19"/>
      <c r="H5" s="19"/>
      <c r="I5" s="19" t="s">
        <v>1328</v>
      </c>
      <c r="J5" s="19" t="s">
        <v>1065</v>
      </c>
      <c r="K5" s="19"/>
      <c r="L5" s="19"/>
      <c r="M5" s="36"/>
      <c r="N5" s="19"/>
      <c r="O5" s="19"/>
      <c r="P5" s="19"/>
      <c r="Q5" s="19"/>
      <c r="R5" s="19" t="s">
        <v>37</v>
      </c>
      <c r="T5" s="41"/>
      <c r="U5" s="41"/>
      <c r="V5" s="40" t="s">
        <v>1265</v>
      </c>
      <c r="W5" s="40">
        <v>1</v>
      </c>
      <c r="X5" s="40" t="s">
        <v>774</v>
      </c>
      <c r="Y5" s="40">
        <v>1</v>
      </c>
      <c r="Z5" s="105">
        <v>1</v>
      </c>
      <c r="AA5" s="40" t="s">
        <v>37</v>
      </c>
      <c r="AB5" s="40">
        <v>2</v>
      </c>
      <c r="AC5" s="40" t="s">
        <v>327</v>
      </c>
      <c r="AD5" s="64">
        <v>12</v>
      </c>
      <c r="AE5" s="40">
        <v>5</v>
      </c>
      <c r="AG5" s="40" t="s">
        <v>356</v>
      </c>
      <c r="AH5" s="40" t="s">
        <v>982</v>
      </c>
    </row>
    <row r="6" spans="1:34" ht="16.5" customHeight="1">
      <c r="A6" s="28" t="s">
        <v>20</v>
      </c>
      <c r="B6" s="108" t="s">
        <v>516</v>
      </c>
      <c r="C6" s="108" t="s">
        <v>13</v>
      </c>
      <c r="D6" s="109" t="s">
        <v>312</v>
      </c>
      <c r="E6" s="109" t="s">
        <v>13</v>
      </c>
      <c r="F6" s="109" t="s">
        <v>13</v>
      </c>
      <c r="G6" s="109" t="s">
        <v>13</v>
      </c>
      <c r="H6" s="108" t="s">
        <v>25</v>
      </c>
      <c r="I6" s="108" t="s">
        <v>13</v>
      </c>
      <c r="J6" s="108" t="s">
        <v>13</v>
      </c>
      <c r="K6" s="109" t="s">
        <v>1129</v>
      </c>
      <c r="L6" s="19"/>
      <c r="M6" s="36"/>
      <c r="N6" s="109" t="s">
        <v>1129</v>
      </c>
      <c r="O6" s="109" t="s">
        <v>13</v>
      </c>
      <c r="P6" s="109" t="s">
        <v>13</v>
      </c>
      <c r="Q6" s="108" t="s">
        <v>774</v>
      </c>
      <c r="R6" s="108" t="s">
        <v>13</v>
      </c>
      <c r="T6" s="41"/>
      <c r="U6" s="41"/>
      <c r="V6" s="40" t="s">
        <v>7</v>
      </c>
      <c r="W6" s="40">
        <v>2</v>
      </c>
      <c r="X6" s="40" t="s">
        <v>153</v>
      </c>
      <c r="Y6" s="40">
        <v>1</v>
      </c>
      <c r="Z6" s="106">
        <v>2</v>
      </c>
      <c r="AA6" s="40" t="s">
        <v>875</v>
      </c>
      <c r="AB6" s="68">
        <v>2</v>
      </c>
      <c r="AC6" s="40" t="s">
        <v>1032</v>
      </c>
      <c r="AD6" s="64">
        <v>6</v>
      </c>
      <c r="AE6" s="40">
        <v>15</v>
      </c>
      <c r="AF6" s="68"/>
      <c r="AG6" s="40" t="s">
        <v>1159</v>
      </c>
      <c r="AH6" s="40">
        <v>1</v>
      </c>
    </row>
    <row r="7" spans="1:34" ht="16.5" customHeight="1">
      <c r="A7" s="28" t="s">
        <v>0</v>
      </c>
      <c r="B7" s="35" t="s">
        <v>1186</v>
      </c>
      <c r="C7" s="35" t="s">
        <v>13</v>
      </c>
      <c r="D7" s="35" t="s">
        <v>356</v>
      </c>
      <c r="E7" s="35" t="s">
        <v>13</v>
      </c>
      <c r="F7" s="35" t="s">
        <v>13</v>
      </c>
      <c r="G7" s="35" t="s">
        <v>13</v>
      </c>
      <c r="H7" s="35" t="s">
        <v>13</v>
      </c>
      <c r="I7" s="35" t="s">
        <v>13</v>
      </c>
      <c r="J7" s="35" t="s">
        <v>13</v>
      </c>
      <c r="K7" s="19" t="s">
        <v>875</v>
      </c>
      <c r="L7" s="19"/>
      <c r="M7" s="36"/>
      <c r="N7" s="19" t="s">
        <v>875</v>
      </c>
      <c r="O7" s="19" t="s">
        <v>1266</v>
      </c>
      <c r="P7" s="19" t="s">
        <v>1266</v>
      </c>
      <c r="Q7" s="19" t="s">
        <v>1266</v>
      </c>
      <c r="R7" s="19" t="s">
        <v>1266</v>
      </c>
      <c r="T7" s="41"/>
      <c r="U7" s="41"/>
      <c r="V7" s="40" t="s">
        <v>93</v>
      </c>
      <c r="W7" s="40">
        <v>2</v>
      </c>
      <c r="X7" s="40" t="s">
        <v>516</v>
      </c>
      <c r="Y7" s="40">
        <v>1</v>
      </c>
      <c r="Z7" s="105">
        <v>2</v>
      </c>
      <c r="AA7" s="40" t="s">
        <v>1186</v>
      </c>
      <c r="AB7" s="40">
        <v>1</v>
      </c>
      <c r="AC7" s="40" t="s">
        <v>1114</v>
      </c>
      <c r="AD7" s="64">
        <v>4</v>
      </c>
      <c r="AE7" s="40">
        <v>13</v>
      </c>
      <c r="AG7" s="40" t="s">
        <v>1186</v>
      </c>
      <c r="AH7" s="40">
        <v>3.9</v>
      </c>
    </row>
    <row r="8" spans="1:34" ht="16.5" customHeight="1">
      <c r="A8" s="28" t="s">
        <v>1</v>
      </c>
      <c r="B8" s="29"/>
      <c r="C8" s="19"/>
      <c r="D8" s="19"/>
      <c r="E8" s="19"/>
      <c r="F8" s="19"/>
      <c r="G8" s="19"/>
      <c r="H8" s="19"/>
      <c r="I8" s="19"/>
      <c r="J8" s="19"/>
      <c r="K8" s="19"/>
      <c r="L8" s="19"/>
      <c r="M8" s="36"/>
      <c r="N8" s="19"/>
      <c r="O8" s="19"/>
      <c r="P8" s="19"/>
      <c r="Q8" s="19"/>
      <c r="R8" s="19"/>
      <c r="T8" s="41"/>
      <c r="V8" s="40" t="s">
        <v>14</v>
      </c>
      <c r="W8" s="40">
        <v>1</v>
      </c>
      <c r="X8" s="40" t="s">
        <v>864</v>
      </c>
      <c r="Y8" s="40">
        <v>1</v>
      </c>
      <c r="Z8" s="107">
        <v>1</v>
      </c>
      <c r="AA8" s="40" t="s">
        <v>1328</v>
      </c>
      <c r="AB8" s="64">
        <v>3</v>
      </c>
      <c r="AC8" s="40" t="s">
        <v>864</v>
      </c>
      <c r="AD8" s="40">
        <v>14</v>
      </c>
      <c r="AE8" s="40">
        <v>7</v>
      </c>
      <c r="AF8" s="64"/>
      <c r="AG8" s="40" t="s">
        <v>1328</v>
      </c>
      <c r="AH8" s="64">
        <v>7</v>
      </c>
    </row>
    <row r="9" spans="1:34" ht="16.5" customHeight="1">
      <c r="A9" s="23" t="s">
        <v>368</v>
      </c>
      <c r="B9" s="30">
        <v>45844</v>
      </c>
      <c r="C9" s="60">
        <v>45845</v>
      </c>
      <c r="D9" s="60">
        <v>45846</v>
      </c>
      <c r="E9" s="60">
        <v>45847</v>
      </c>
      <c r="F9" s="60">
        <v>45848</v>
      </c>
      <c r="G9" s="60">
        <v>45849</v>
      </c>
      <c r="H9" s="30">
        <v>45850</v>
      </c>
      <c r="I9" s="30">
        <v>45851</v>
      </c>
      <c r="J9" s="60">
        <v>45852</v>
      </c>
      <c r="K9" s="60">
        <v>45853</v>
      </c>
      <c r="L9" s="60">
        <v>45854</v>
      </c>
      <c r="M9" s="60">
        <v>45855</v>
      </c>
      <c r="N9" s="60">
        <v>45856</v>
      </c>
      <c r="O9" s="30">
        <v>45857</v>
      </c>
      <c r="P9" s="30">
        <v>45858</v>
      </c>
      <c r="Q9" s="19"/>
      <c r="R9" s="19"/>
      <c r="T9" s="41"/>
      <c r="V9" s="40" t="s">
        <v>314</v>
      </c>
      <c r="W9" s="40">
        <v>1</v>
      </c>
      <c r="X9" s="40" t="s">
        <v>1129</v>
      </c>
      <c r="Y9" s="40">
        <v>1</v>
      </c>
      <c r="Z9" s="105">
        <v>2</v>
      </c>
      <c r="AB9" s="64"/>
      <c r="AC9" s="40" t="s">
        <v>516</v>
      </c>
      <c r="AD9" s="40">
        <v>8</v>
      </c>
      <c r="AE9" s="40">
        <v>1</v>
      </c>
    </row>
    <row r="10" spans="1:34" ht="16.5" customHeight="1">
      <c r="A10" s="36">
        <v>1</v>
      </c>
      <c r="B10" s="109" t="s">
        <v>312</v>
      </c>
      <c r="C10" s="19"/>
      <c r="D10" s="19"/>
      <c r="E10" s="19"/>
      <c r="F10" s="19"/>
      <c r="G10" s="19"/>
      <c r="H10" s="108" t="s">
        <v>774</v>
      </c>
      <c r="I10" s="109" t="s">
        <v>1129</v>
      </c>
      <c r="J10" s="19"/>
      <c r="K10" s="19"/>
      <c r="L10" s="19"/>
      <c r="M10" s="19"/>
      <c r="N10" s="19"/>
      <c r="O10" s="108" t="s">
        <v>864</v>
      </c>
      <c r="P10" s="19" t="s">
        <v>107</v>
      </c>
      <c r="Q10" s="19"/>
      <c r="R10" s="19"/>
      <c r="T10" s="41"/>
      <c r="X10" s="40" t="s">
        <v>1032</v>
      </c>
      <c r="Y10" s="40">
        <v>0</v>
      </c>
      <c r="Z10" s="105">
        <v>0</v>
      </c>
      <c r="AC10" s="40" t="s">
        <v>153</v>
      </c>
      <c r="AD10" s="40">
        <v>10</v>
      </c>
    </row>
    <row r="11" spans="1:34" ht="16.5" customHeight="1">
      <c r="A11" s="36">
        <v>2</v>
      </c>
      <c r="B11" s="19" t="s">
        <v>864</v>
      </c>
      <c r="C11" s="19"/>
      <c r="D11" s="19"/>
      <c r="E11" s="19"/>
      <c r="F11" s="19"/>
      <c r="G11" s="19"/>
      <c r="H11" s="19" t="s">
        <v>814</v>
      </c>
      <c r="I11" s="19" t="s">
        <v>7</v>
      </c>
      <c r="J11" s="19"/>
      <c r="K11" s="19"/>
      <c r="L11" s="19"/>
      <c r="M11" s="19"/>
      <c r="N11" s="19"/>
      <c r="O11" s="19" t="s">
        <v>153</v>
      </c>
      <c r="P11" s="19" t="s">
        <v>14</v>
      </c>
      <c r="Q11" s="19"/>
      <c r="R11" s="19"/>
      <c r="T11" s="41"/>
      <c r="Z11" s="105"/>
    </row>
    <row r="12" spans="1:34" ht="16.5" customHeight="1">
      <c r="A12" s="36">
        <v>3</v>
      </c>
      <c r="B12" s="19" t="s">
        <v>1186</v>
      </c>
      <c r="C12" s="19"/>
      <c r="D12" s="19"/>
      <c r="E12" s="19"/>
      <c r="F12" s="19"/>
      <c r="G12" s="35"/>
      <c r="H12" s="19" t="s">
        <v>1328</v>
      </c>
      <c r="I12" s="19" t="s">
        <v>1065</v>
      </c>
      <c r="J12" s="19"/>
      <c r="K12" s="19"/>
      <c r="L12" s="19"/>
      <c r="M12" s="19"/>
      <c r="N12" s="19"/>
      <c r="O12" s="19" t="s">
        <v>875</v>
      </c>
      <c r="P12" s="19" t="s">
        <v>37</v>
      </c>
      <c r="Q12" s="19"/>
      <c r="R12" s="19"/>
      <c r="T12" s="41"/>
    </row>
    <row r="13" spans="1:34" ht="16.5" customHeight="1">
      <c r="A13" s="36" t="s">
        <v>20</v>
      </c>
      <c r="B13" s="108" t="s">
        <v>774</v>
      </c>
      <c r="C13" s="109" t="s">
        <v>1032</v>
      </c>
      <c r="D13" s="109" t="s">
        <v>13</v>
      </c>
      <c r="E13" s="109" t="s">
        <v>13</v>
      </c>
      <c r="F13" s="109" t="s">
        <v>13</v>
      </c>
      <c r="G13" s="108" t="s">
        <v>864</v>
      </c>
      <c r="H13" s="108" t="s">
        <v>13</v>
      </c>
      <c r="I13" s="108" t="s">
        <v>13</v>
      </c>
      <c r="J13" s="109" t="s">
        <v>516</v>
      </c>
      <c r="K13" s="109" t="s">
        <v>13</v>
      </c>
      <c r="L13" s="109" t="s">
        <v>13</v>
      </c>
      <c r="M13" s="109" t="s">
        <v>13</v>
      </c>
      <c r="N13" s="108" t="s">
        <v>25</v>
      </c>
      <c r="O13" s="108" t="s">
        <v>13</v>
      </c>
      <c r="P13" s="108" t="s">
        <v>13</v>
      </c>
      <c r="Q13" s="19"/>
      <c r="R13" s="19"/>
      <c r="T13" s="41"/>
      <c r="V13" s="40" t="s">
        <v>841</v>
      </c>
      <c r="W13" s="40">
        <f>SUM(W1:W11)</f>
        <v>9</v>
      </c>
      <c r="Y13" s="40">
        <f>SUM(Y1:Y12)</f>
        <v>7</v>
      </c>
      <c r="Z13" s="40">
        <f>SUM(Z1:Z12)</f>
        <v>12</v>
      </c>
      <c r="AB13" s="40">
        <f>SUM(AB3:AB8)</f>
        <v>15</v>
      </c>
    </row>
    <row r="14" spans="1:34" ht="16.5" customHeight="1">
      <c r="A14" s="36" t="s">
        <v>0</v>
      </c>
      <c r="B14" s="19" t="s">
        <v>875</v>
      </c>
      <c r="C14" s="19" t="s">
        <v>356</v>
      </c>
      <c r="D14" s="19" t="s">
        <v>1266</v>
      </c>
      <c r="E14" s="19" t="s">
        <v>1266</v>
      </c>
      <c r="F14" s="19" t="s">
        <v>1266</v>
      </c>
      <c r="G14" s="19" t="s">
        <v>1266</v>
      </c>
      <c r="H14" s="19" t="s">
        <v>1266</v>
      </c>
      <c r="I14" s="19" t="s">
        <v>1266</v>
      </c>
      <c r="J14" s="19" t="s">
        <v>1157</v>
      </c>
      <c r="K14" s="19" t="s">
        <v>1266</v>
      </c>
      <c r="L14" s="19" t="s">
        <v>1266</v>
      </c>
      <c r="M14" s="19" t="s">
        <v>1266</v>
      </c>
      <c r="N14" s="19" t="s">
        <v>1266</v>
      </c>
      <c r="O14" s="19" t="s">
        <v>1266</v>
      </c>
      <c r="P14" s="19" t="s">
        <v>1266</v>
      </c>
      <c r="Q14" s="19"/>
      <c r="R14" s="19"/>
      <c r="T14" s="41"/>
    </row>
    <row r="15" spans="1:34" ht="16.5" customHeight="1">
      <c r="A15" s="36" t="s">
        <v>1</v>
      </c>
      <c r="B15" s="19"/>
      <c r="C15" s="29"/>
      <c r="D15" s="19"/>
      <c r="E15" s="19"/>
      <c r="F15" s="19"/>
      <c r="G15" s="19"/>
      <c r="H15" s="19"/>
      <c r="I15" s="19"/>
      <c r="J15" s="19"/>
      <c r="K15" s="19"/>
      <c r="L15" s="19"/>
      <c r="M15" s="19"/>
      <c r="N15" s="19"/>
      <c r="O15" s="19"/>
      <c r="P15" s="19"/>
      <c r="Q15" s="19"/>
      <c r="R15" s="19"/>
      <c r="T15" s="41"/>
      <c r="V15" s="40" t="s">
        <v>1324</v>
      </c>
      <c r="W15" s="40">
        <f>SUM(W13,Y13,Z13)</f>
        <v>28</v>
      </c>
    </row>
    <row r="16" spans="1:34" ht="16.5" customHeight="1">
      <c r="A16" s="42"/>
      <c r="B16" s="37"/>
      <c r="C16" s="37"/>
      <c r="D16" s="37"/>
      <c r="E16" s="37"/>
      <c r="F16" s="37"/>
      <c r="G16" s="37"/>
      <c r="H16" s="38"/>
      <c r="I16" s="38"/>
      <c r="J16" s="38"/>
      <c r="K16" s="38"/>
      <c r="L16" s="38"/>
      <c r="M16" s="38"/>
      <c r="N16" s="38"/>
      <c r="O16" s="38"/>
      <c r="P16" s="37"/>
      <c r="Q16" s="37"/>
      <c r="R16" s="39"/>
      <c r="T16" s="41"/>
    </row>
    <row r="17" spans="1:34" ht="16.5" customHeight="1">
      <c r="A17" s="23" t="s">
        <v>368</v>
      </c>
      <c r="B17" s="25">
        <v>45859</v>
      </c>
      <c r="C17" s="25">
        <v>45860</v>
      </c>
      <c r="D17" s="25">
        <v>45861</v>
      </c>
      <c r="E17" s="25">
        <v>45862</v>
      </c>
      <c r="F17" s="25">
        <v>45863</v>
      </c>
      <c r="G17" s="30">
        <v>45864</v>
      </c>
      <c r="H17" s="30">
        <v>45865</v>
      </c>
      <c r="I17" s="25">
        <v>45866</v>
      </c>
      <c r="J17" s="25">
        <v>45867</v>
      </c>
      <c r="K17" s="25">
        <v>45868</v>
      </c>
      <c r="L17" s="25">
        <v>45869</v>
      </c>
      <c r="M17" s="26" t="s">
        <v>216</v>
      </c>
      <c r="N17" s="116">
        <v>45870</v>
      </c>
      <c r="O17" s="31">
        <v>45871</v>
      </c>
      <c r="P17" s="31">
        <v>45872</v>
      </c>
      <c r="Q17" s="116">
        <v>45873</v>
      </c>
      <c r="R17" s="116">
        <v>45874</v>
      </c>
      <c r="T17" s="41"/>
    </row>
    <row r="18" spans="1:34" ht="16.5" customHeight="1">
      <c r="A18" s="36">
        <v>1</v>
      </c>
      <c r="B18" s="19"/>
      <c r="C18" s="19"/>
      <c r="D18" s="19"/>
      <c r="E18" s="19"/>
      <c r="F18" s="19"/>
      <c r="G18" s="19" t="s">
        <v>315</v>
      </c>
      <c r="H18" s="19" t="s">
        <v>2</v>
      </c>
      <c r="I18" s="19"/>
      <c r="J18" s="19"/>
      <c r="K18" s="19"/>
      <c r="L18" s="19"/>
      <c r="M18" s="28"/>
      <c r="N18" s="19"/>
      <c r="O18" s="108" t="s">
        <v>153</v>
      </c>
      <c r="P18" s="109" t="s">
        <v>516</v>
      </c>
      <c r="Q18" s="19"/>
      <c r="R18" s="19"/>
      <c r="T18" s="41"/>
      <c r="X18" s="40" t="s">
        <v>167</v>
      </c>
    </row>
    <row r="19" spans="1:34" ht="16.5" customHeight="1">
      <c r="A19" s="36">
        <v>2</v>
      </c>
      <c r="B19" s="19"/>
      <c r="C19" s="19"/>
      <c r="D19" s="19"/>
      <c r="F19" s="19"/>
      <c r="G19" s="19" t="s">
        <v>774</v>
      </c>
      <c r="H19" s="19" t="s">
        <v>93</v>
      </c>
      <c r="I19" s="19"/>
      <c r="J19" s="19"/>
      <c r="K19" s="19"/>
      <c r="L19" s="19"/>
      <c r="M19" s="28"/>
      <c r="N19" s="19"/>
      <c r="O19" s="108" t="s">
        <v>25</v>
      </c>
      <c r="P19" s="19" t="s">
        <v>107</v>
      </c>
      <c r="Q19" s="19"/>
      <c r="R19" s="19"/>
      <c r="T19" s="41"/>
      <c r="V19" s="40" t="s">
        <v>63</v>
      </c>
      <c r="W19" s="40" t="s">
        <v>1310</v>
      </c>
      <c r="X19" s="40" t="s">
        <v>64</v>
      </c>
      <c r="Y19" s="40" t="s">
        <v>1310</v>
      </c>
      <c r="Z19" s="105" t="s">
        <v>1309</v>
      </c>
      <c r="AA19" s="40" t="s">
        <v>65</v>
      </c>
      <c r="AC19" s="40" t="s">
        <v>169</v>
      </c>
      <c r="AD19" s="40" t="s">
        <v>1343</v>
      </c>
      <c r="AE19" s="40" t="s">
        <v>1344</v>
      </c>
      <c r="AG19" s="40" t="s">
        <v>874</v>
      </c>
    </row>
    <row r="20" spans="1:34" ht="16.5" customHeight="1">
      <c r="A20" s="36">
        <v>3</v>
      </c>
      <c r="B20" s="19"/>
      <c r="C20" s="19"/>
      <c r="D20" s="19"/>
      <c r="E20" s="19"/>
      <c r="F20" s="19"/>
      <c r="G20" s="19" t="s">
        <v>1065</v>
      </c>
      <c r="H20" s="19" t="s">
        <v>1349</v>
      </c>
      <c r="I20" s="19"/>
      <c r="J20" s="19"/>
      <c r="K20" s="19"/>
      <c r="L20" s="19"/>
      <c r="M20" s="28"/>
      <c r="N20" s="19"/>
      <c r="O20" s="19" t="s">
        <v>1328</v>
      </c>
      <c r="P20" s="19" t="s">
        <v>1157</v>
      </c>
      <c r="Q20" s="19"/>
      <c r="R20" s="19"/>
      <c r="T20" s="41"/>
      <c r="V20" s="40" t="s">
        <v>2</v>
      </c>
      <c r="W20" s="40">
        <v>2</v>
      </c>
      <c r="X20" s="40" t="s">
        <v>312</v>
      </c>
      <c r="Y20" s="40">
        <v>0</v>
      </c>
      <c r="Z20" s="105">
        <v>2</v>
      </c>
      <c r="AA20" s="40" t="s">
        <v>1159</v>
      </c>
      <c r="AB20" s="40">
        <v>2</v>
      </c>
      <c r="AC20" s="40" t="s">
        <v>25</v>
      </c>
      <c r="AD20" s="40">
        <v>16</v>
      </c>
      <c r="AE20" s="40" t="s">
        <v>895</v>
      </c>
      <c r="AG20" s="40" t="s">
        <v>37</v>
      </c>
      <c r="AH20" s="40" t="s">
        <v>1208</v>
      </c>
    </row>
    <row r="21" spans="1:34" ht="16.5" customHeight="1">
      <c r="A21" s="36" t="s">
        <v>20</v>
      </c>
      <c r="B21" s="109" t="s">
        <v>312</v>
      </c>
      <c r="C21" s="109" t="s">
        <v>13</v>
      </c>
      <c r="D21" s="109" t="s">
        <v>13</v>
      </c>
      <c r="E21" s="109" t="s">
        <v>13</v>
      </c>
      <c r="F21" s="108" t="s">
        <v>153</v>
      </c>
      <c r="G21" s="108" t="s">
        <v>13</v>
      </c>
      <c r="H21" s="108" t="s">
        <v>13</v>
      </c>
      <c r="I21" s="109" t="s">
        <v>774</v>
      </c>
      <c r="J21" s="109" t="s">
        <v>13</v>
      </c>
      <c r="K21" s="109" t="s">
        <v>13</v>
      </c>
      <c r="L21" s="109" t="s">
        <v>13</v>
      </c>
      <c r="M21" s="28"/>
      <c r="N21" s="108" t="s">
        <v>1129</v>
      </c>
      <c r="O21" s="108" t="s">
        <v>13</v>
      </c>
      <c r="P21" s="108" t="s">
        <v>13</v>
      </c>
      <c r="Q21" s="109" t="s">
        <v>864</v>
      </c>
      <c r="R21" s="109" t="s">
        <v>13</v>
      </c>
      <c r="T21" s="41"/>
      <c r="V21" s="40" t="s">
        <v>107</v>
      </c>
      <c r="W21" s="40">
        <v>3</v>
      </c>
      <c r="X21" s="40" t="s">
        <v>25</v>
      </c>
      <c r="Y21" s="40">
        <v>0</v>
      </c>
      <c r="Z21" s="105">
        <v>2</v>
      </c>
      <c r="AA21" s="40" t="s">
        <v>1065</v>
      </c>
      <c r="AB21" s="40">
        <v>3</v>
      </c>
      <c r="AC21" s="40" t="s">
        <v>26</v>
      </c>
      <c r="AD21" s="40" t="s">
        <v>963</v>
      </c>
      <c r="AG21" s="40" t="s">
        <v>875</v>
      </c>
      <c r="AH21" s="64" t="s">
        <v>895</v>
      </c>
    </row>
    <row r="22" spans="1:34" ht="16.5" customHeight="1">
      <c r="A22" s="36" t="s">
        <v>0</v>
      </c>
      <c r="B22" s="19" t="s">
        <v>356</v>
      </c>
      <c r="C22" s="19" t="s">
        <v>1266</v>
      </c>
      <c r="D22" s="19" t="s">
        <v>1266</v>
      </c>
      <c r="E22" s="19" t="s">
        <v>1266</v>
      </c>
      <c r="F22" s="19" t="s">
        <v>1266</v>
      </c>
      <c r="G22" s="19" t="s">
        <v>1266</v>
      </c>
      <c r="H22" s="19" t="s">
        <v>1266</v>
      </c>
      <c r="I22" s="19" t="s">
        <v>875</v>
      </c>
      <c r="J22" s="19" t="s">
        <v>1266</v>
      </c>
      <c r="K22" s="19" t="s">
        <v>1266</v>
      </c>
      <c r="L22" s="19" t="s">
        <v>1266</v>
      </c>
      <c r="M22" s="28"/>
      <c r="N22" s="19" t="s">
        <v>1266</v>
      </c>
      <c r="O22" s="19" t="s">
        <v>1266</v>
      </c>
      <c r="P22" s="19" t="s">
        <v>1266</v>
      </c>
      <c r="Q22" s="19" t="s">
        <v>356</v>
      </c>
      <c r="R22" s="19" t="s">
        <v>1266</v>
      </c>
      <c r="T22" s="41"/>
      <c r="V22" s="40" t="s">
        <v>1265</v>
      </c>
      <c r="W22" s="40">
        <v>2</v>
      </c>
      <c r="X22" s="40" t="s">
        <v>774</v>
      </c>
      <c r="Y22" s="40">
        <v>1</v>
      </c>
      <c r="Z22" s="105">
        <v>2</v>
      </c>
      <c r="AA22" s="40" t="s">
        <v>37</v>
      </c>
      <c r="AB22" s="40">
        <v>3</v>
      </c>
      <c r="AC22" s="40" t="s">
        <v>327</v>
      </c>
      <c r="AD22" s="64">
        <v>12</v>
      </c>
      <c r="AE22" s="40">
        <v>5</v>
      </c>
      <c r="AG22" s="40" t="s">
        <v>356</v>
      </c>
      <c r="AH22" s="40" t="s">
        <v>896</v>
      </c>
    </row>
    <row r="23" spans="1:34" ht="16.5" customHeight="1">
      <c r="A23" s="36" t="s">
        <v>1</v>
      </c>
      <c r="B23" s="19"/>
      <c r="C23" s="19"/>
      <c r="D23" s="19"/>
      <c r="E23" s="19"/>
      <c r="F23" s="19"/>
      <c r="G23" s="19"/>
      <c r="H23" s="19"/>
      <c r="I23" s="19"/>
      <c r="J23" s="19"/>
      <c r="K23" s="19"/>
      <c r="L23" s="19"/>
      <c r="M23" s="28"/>
      <c r="N23" s="19"/>
      <c r="O23" s="19"/>
      <c r="P23" s="19"/>
      <c r="Q23" s="19"/>
      <c r="R23" s="19"/>
      <c r="T23" s="41"/>
      <c r="V23" s="40" t="s">
        <v>7</v>
      </c>
      <c r="W23" s="40">
        <v>1</v>
      </c>
      <c r="X23" s="40" t="s">
        <v>153</v>
      </c>
      <c r="Y23" s="40">
        <v>1</v>
      </c>
      <c r="Z23" s="106">
        <v>2</v>
      </c>
      <c r="AA23" s="40" t="s">
        <v>875</v>
      </c>
      <c r="AB23" s="68">
        <v>2</v>
      </c>
      <c r="AC23" s="40" t="s">
        <v>1032</v>
      </c>
      <c r="AD23" s="64">
        <v>6</v>
      </c>
      <c r="AE23" s="40">
        <v>15</v>
      </c>
      <c r="AF23" s="68"/>
      <c r="AG23" s="40" t="s">
        <v>1159</v>
      </c>
      <c r="AH23" s="40">
        <v>5</v>
      </c>
    </row>
    <row r="24" spans="1:34" ht="16.5" customHeight="1">
      <c r="A24" s="26" t="s">
        <v>216</v>
      </c>
      <c r="B24" s="27">
        <v>45875</v>
      </c>
      <c r="C24" s="27">
        <v>45876</v>
      </c>
      <c r="D24" s="27">
        <v>45877</v>
      </c>
      <c r="E24" s="31">
        <v>45878</v>
      </c>
      <c r="F24" s="31">
        <v>45879</v>
      </c>
      <c r="G24" s="27">
        <v>45880</v>
      </c>
      <c r="H24" s="27">
        <v>45881</v>
      </c>
      <c r="I24" s="31">
        <v>45882</v>
      </c>
      <c r="J24" s="31">
        <v>45883</v>
      </c>
      <c r="K24" s="31">
        <v>45884</v>
      </c>
      <c r="L24" s="31">
        <v>45885</v>
      </c>
      <c r="M24" s="31">
        <v>45886</v>
      </c>
      <c r="N24" s="27">
        <v>45887</v>
      </c>
      <c r="O24" s="27">
        <v>45888</v>
      </c>
      <c r="P24" s="27">
        <v>45889</v>
      </c>
      <c r="Q24" s="27">
        <v>45890</v>
      </c>
      <c r="R24" s="27">
        <v>45891</v>
      </c>
      <c r="T24" s="41"/>
      <c r="V24" s="40" t="s">
        <v>93</v>
      </c>
      <c r="W24" s="40">
        <v>2</v>
      </c>
      <c r="X24" s="40" t="s">
        <v>516</v>
      </c>
      <c r="Y24" s="40">
        <v>0</v>
      </c>
      <c r="Z24" s="105">
        <v>2</v>
      </c>
      <c r="AA24" s="40" t="s">
        <v>1186</v>
      </c>
      <c r="AB24" s="40">
        <v>3</v>
      </c>
      <c r="AC24" s="40" t="s">
        <v>1114</v>
      </c>
      <c r="AD24" s="64">
        <v>4</v>
      </c>
      <c r="AE24" s="40">
        <v>13</v>
      </c>
      <c r="AG24" s="40" t="s">
        <v>1186</v>
      </c>
      <c r="AH24" s="40">
        <v>1</v>
      </c>
    </row>
    <row r="25" spans="1:34" ht="16.5" customHeight="1">
      <c r="A25" s="28">
        <v>1</v>
      </c>
      <c r="B25" s="19"/>
      <c r="C25" s="19"/>
      <c r="D25" s="19"/>
      <c r="E25" s="108" t="s">
        <v>1129</v>
      </c>
      <c r="F25" s="109" t="s">
        <v>774</v>
      </c>
      <c r="G25" s="19"/>
      <c r="H25" s="19"/>
      <c r="I25" s="44"/>
      <c r="J25" s="44"/>
      <c r="K25" s="44"/>
      <c r="L25" s="44"/>
      <c r="M25" s="44"/>
      <c r="N25" s="19"/>
      <c r="O25" s="19"/>
      <c r="P25" s="19"/>
      <c r="Q25" s="19"/>
      <c r="R25" s="19"/>
      <c r="T25" s="41"/>
      <c r="V25" s="40" t="s">
        <v>14</v>
      </c>
      <c r="W25" s="40">
        <v>2</v>
      </c>
      <c r="X25" s="40" t="s">
        <v>864</v>
      </c>
      <c r="Y25" s="40">
        <v>1</v>
      </c>
      <c r="Z25" s="107">
        <v>2</v>
      </c>
      <c r="AA25" s="40" t="s">
        <v>1328</v>
      </c>
      <c r="AB25" s="64">
        <v>3</v>
      </c>
      <c r="AC25" s="40" t="s">
        <v>864</v>
      </c>
      <c r="AD25" s="40">
        <v>14</v>
      </c>
      <c r="AE25" s="40">
        <v>7</v>
      </c>
      <c r="AF25" s="64"/>
      <c r="AG25" s="40" t="s">
        <v>1328</v>
      </c>
      <c r="AH25" s="64">
        <v>9</v>
      </c>
    </row>
    <row r="26" spans="1:34" ht="16.5" customHeight="1">
      <c r="A26" s="28">
        <v>2</v>
      </c>
      <c r="B26" s="19"/>
      <c r="C26" s="19"/>
      <c r="D26" s="19"/>
      <c r="E26" s="19" t="s">
        <v>814</v>
      </c>
      <c r="F26" s="109" t="s">
        <v>26</v>
      </c>
      <c r="G26" s="19"/>
      <c r="H26" s="19"/>
      <c r="I26" s="44"/>
      <c r="J26" s="44"/>
      <c r="K26" s="44"/>
      <c r="L26" s="44"/>
      <c r="M26" s="44"/>
      <c r="N26" s="19"/>
      <c r="O26" s="19"/>
      <c r="P26" s="19"/>
      <c r="Q26" s="19"/>
      <c r="R26" s="19"/>
      <c r="T26" s="41"/>
      <c r="V26" s="40" t="s">
        <v>314</v>
      </c>
      <c r="W26" s="40">
        <v>2</v>
      </c>
      <c r="X26" s="40" t="s">
        <v>1129</v>
      </c>
      <c r="Y26" s="40">
        <v>0</v>
      </c>
      <c r="Z26" s="105">
        <v>2</v>
      </c>
      <c r="AB26" s="64"/>
      <c r="AC26" s="40" t="s">
        <v>516</v>
      </c>
      <c r="AD26" s="40">
        <v>8</v>
      </c>
      <c r="AE26" s="40" t="s">
        <v>1371</v>
      </c>
    </row>
    <row r="27" spans="1:34" ht="16.5" customHeight="1">
      <c r="A27" s="28">
        <v>3</v>
      </c>
      <c r="B27" s="19"/>
      <c r="C27" s="19"/>
      <c r="D27" s="19"/>
      <c r="E27" s="19" t="s">
        <v>37</v>
      </c>
      <c r="F27" s="19" t="s">
        <v>1186</v>
      </c>
      <c r="G27" s="19"/>
      <c r="H27" s="19"/>
      <c r="I27" s="44"/>
      <c r="J27" s="44"/>
      <c r="K27" s="44"/>
      <c r="L27" s="44"/>
      <c r="M27" s="44"/>
      <c r="N27" s="19"/>
      <c r="O27" s="19"/>
      <c r="P27" s="19"/>
      <c r="Q27" s="19"/>
      <c r="R27" s="19"/>
      <c r="T27" s="41"/>
      <c r="X27" s="40" t="s">
        <v>1032</v>
      </c>
      <c r="Y27" s="40">
        <v>0</v>
      </c>
      <c r="Z27" s="105">
        <v>1</v>
      </c>
      <c r="AC27" s="40" t="s">
        <v>153</v>
      </c>
      <c r="AE27" s="40">
        <v>11</v>
      </c>
    </row>
    <row r="28" spans="1:34" ht="16.5" customHeight="1">
      <c r="A28" s="28" t="s">
        <v>20</v>
      </c>
      <c r="B28" s="109" t="s">
        <v>864</v>
      </c>
      <c r="C28" s="109" t="s">
        <v>13</v>
      </c>
      <c r="D28" s="19" t="s">
        <v>25</v>
      </c>
      <c r="E28" s="19" t="s">
        <v>13</v>
      </c>
      <c r="F28" s="19" t="s">
        <v>13</v>
      </c>
      <c r="G28" s="19" t="s">
        <v>13</v>
      </c>
      <c r="H28" s="19" t="s">
        <v>13</v>
      </c>
      <c r="I28" s="44"/>
      <c r="J28" s="44"/>
      <c r="K28" s="44"/>
      <c r="L28" s="44"/>
      <c r="M28" s="44"/>
      <c r="N28" s="19" t="s">
        <v>516</v>
      </c>
      <c r="O28" s="19" t="s">
        <v>13</v>
      </c>
      <c r="P28" s="19" t="s">
        <v>13</v>
      </c>
      <c r="Q28" s="19" t="s">
        <v>13</v>
      </c>
      <c r="R28" s="19" t="s">
        <v>13</v>
      </c>
      <c r="T28" s="41"/>
      <c r="Z28" s="105"/>
    </row>
    <row r="29" spans="1:34" ht="16.5" customHeight="1">
      <c r="A29" s="28" t="s">
        <v>0</v>
      </c>
      <c r="B29" s="19" t="s">
        <v>356</v>
      </c>
      <c r="C29" s="19" t="s">
        <v>1266</v>
      </c>
      <c r="D29" s="19" t="s">
        <v>1266</v>
      </c>
      <c r="E29" s="19" t="s">
        <v>1266</v>
      </c>
      <c r="F29" s="19" t="s">
        <v>1266</v>
      </c>
      <c r="G29" s="19" t="s">
        <v>1328</v>
      </c>
      <c r="H29" s="19" t="s">
        <v>1266</v>
      </c>
      <c r="I29" s="44"/>
      <c r="J29" s="44"/>
      <c r="K29" s="44"/>
      <c r="L29" s="44"/>
      <c r="M29" s="44"/>
      <c r="N29" s="19" t="s">
        <v>356</v>
      </c>
      <c r="O29" s="19" t="s">
        <v>1266</v>
      </c>
      <c r="P29" s="19" t="s">
        <v>1266</v>
      </c>
      <c r="Q29" s="19" t="s">
        <v>1266</v>
      </c>
      <c r="R29" s="19" t="s">
        <v>1266</v>
      </c>
      <c r="T29" s="41"/>
      <c r="V29" s="40" t="s">
        <v>1373</v>
      </c>
    </row>
    <row r="30" spans="1:34" ht="16.5" customHeight="1">
      <c r="A30" s="28" t="s">
        <v>1</v>
      </c>
      <c r="B30" s="19"/>
      <c r="C30" s="19"/>
      <c r="D30" s="19"/>
      <c r="E30" s="19"/>
      <c r="F30" s="19"/>
      <c r="G30" s="19"/>
      <c r="H30" s="19"/>
      <c r="I30" s="44"/>
      <c r="J30" s="44"/>
      <c r="K30" s="44"/>
      <c r="L30" s="44"/>
      <c r="M30" s="44"/>
      <c r="N30" s="19"/>
      <c r="O30" s="19"/>
      <c r="P30" s="19"/>
      <c r="Q30" s="19"/>
      <c r="R30" s="19"/>
      <c r="T30" s="41"/>
      <c r="V30" s="40">
        <v>16</v>
      </c>
      <c r="W30" s="40">
        <f>SUM(W18:W28)</f>
        <v>14</v>
      </c>
      <c r="Y30" s="40">
        <f>SUM(Y18:Y29)</f>
        <v>3</v>
      </c>
      <c r="Z30" s="40">
        <f>SUM(Z18:Z29)</f>
        <v>15</v>
      </c>
      <c r="AB30" s="40">
        <f>SUM(AB16:AB28)</f>
        <v>16</v>
      </c>
    </row>
    <row r="31" spans="1:34" ht="16.5" customHeight="1">
      <c r="A31" s="111" t="s">
        <v>1323</v>
      </c>
      <c r="B31" s="111"/>
      <c r="C31" s="111"/>
      <c r="D31" s="111"/>
      <c r="E31" s="111"/>
      <c r="F31" s="111"/>
      <c r="G31" s="111"/>
      <c r="H31" s="111"/>
      <c r="I31" s="111"/>
      <c r="J31" s="111"/>
      <c r="K31" s="111"/>
      <c r="L31" s="111"/>
      <c r="M31" s="111"/>
      <c r="N31" s="111"/>
      <c r="O31" s="111"/>
      <c r="P31" s="111"/>
      <c r="Q31" s="145" t="s">
        <v>82</v>
      </c>
      <c r="R31" s="145"/>
      <c r="T31" s="41"/>
    </row>
    <row r="32" spans="1:34" ht="16.5" customHeight="1">
      <c r="A32" s="111" t="s">
        <v>1322</v>
      </c>
      <c r="B32" s="111"/>
      <c r="C32" s="111"/>
      <c r="D32" s="111"/>
      <c r="E32" s="111"/>
      <c r="F32" s="111"/>
      <c r="G32" s="111"/>
      <c r="H32" s="111"/>
      <c r="I32" s="111"/>
      <c r="J32" s="111"/>
      <c r="K32" s="111"/>
      <c r="L32" s="111"/>
      <c r="M32" s="111"/>
      <c r="N32" s="111"/>
      <c r="O32" s="111"/>
      <c r="P32" s="111"/>
      <c r="Q32" s="85"/>
      <c r="R32" s="85"/>
      <c r="T32" s="41"/>
      <c r="V32" s="40" t="s">
        <v>1324</v>
      </c>
      <c r="W32" s="40">
        <f>SUM(W30,Y30,Z30)</f>
        <v>32</v>
      </c>
    </row>
    <row r="33" spans="1:25" ht="16.5" customHeight="1">
      <c r="T33" s="41"/>
    </row>
    <row r="34" spans="1:25" ht="16.5" customHeight="1">
      <c r="R34" s="43"/>
    </row>
    <row r="35" spans="1:25" ht="16.5" customHeight="1">
      <c r="R35" s="55"/>
    </row>
    <row r="36" spans="1:25" ht="12.75" customHeight="1">
      <c r="R36" s="55"/>
      <c r="T36" s="41"/>
    </row>
    <row r="37" spans="1:25">
      <c r="A37" s="40" t="s">
        <v>322</v>
      </c>
      <c r="B37" s="49"/>
      <c r="C37" s="49"/>
      <c r="D37" s="49"/>
      <c r="E37" s="49"/>
      <c r="F37" s="49"/>
      <c r="G37" s="49"/>
      <c r="H37" s="55"/>
      <c r="I37" s="49"/>
      <c r="J37" s="49"/>
      <c r="K37" s="49"/>
      <c r="L37" s="49"/>
      <c r="M37" s="49"/>
      <c r="N37" s="49"/>
      <c r="O37" s="49"/>
      <c r="R37" s="55"/>
      <c r="T37" s="41"/>
    </row>
    <row r="38" spans="1:25">
      <c r="A38" s="49" t="s">
        <v>1062</v>
      </c>
      <c r="B38" s="49" t="s">
        <v>1063</v>
      </c>
      <c r="C38" s="49"/>
      <c r="D38" s="49"/>
      <c r="E38" s="49"/>
      <c r="F38" s="49"/>
      <c r="G38" s="49" t="s">
        <v>1000</v>
      </c>
      <c r="H38" s="49"/>
      <c r="I38" s="55"/>
      <c r="J38" s="55"/>
      <c r="K38" s="55" t="s">
        <v>1108</v>
      </c>
      <c r="L38" s="55"/>
      <c r="M38" s="55"/>
      <c r="N38" s="55"/>
      <c r="O38" s="55"/>
      <c r="P38" s="43"/>
      <c r="Q38" s="43"/>
      <c r="R38" s="55"/>
      <c r="T38" s="41"/>
    </row>
    <row r="39" spans="1:25">
      <c r="A39" s="90"/>
      <c r="B39" s="50"/>
      <c r="C39" s="49"/>
      <c r="D39" s="49"/>
      <c r="E39" s="49"/>
      <c r="F39" s="49"/>
      <c r="G39" s="95"/>
      <c r="H39" s="49"/>
      <c r="I39" s="55"/>
      <c r="J39" s="55"/>
      <c r="K39" s="55" t="s">
        <v>1352</v>
      </c>
      <c r="L39" s="55"/>
      <c r="M39" s="55"/>
      <c r="N39" s="55"/>
      <c r="O39" s="55"/>
      <c r="P39" s="55"/>
      <c r="Q39" s="55"/>
      <c r="R39" s="55"/>
      <c r="S39" s="49"/>
      <c r="T39" s="72"/>
      <c r="U39" s="71"/>
      <c r="V39" s="71"/>
      <c r="W39" s="71"/>
      <c r="X39" s="71"/>
      <c r="Y39" s="71"/>
    </row>
    <row r="40" spans="1:25">
      <c r="A40" s="84" t="s">
        <v>1102</v>
      </c>
      <c r="B40" s="50"/>
      <c r="C40" s="76"/>
      <c r="D40" s="49"/>
      <c r="E40" s="49"/>
      <c r="F40" s="49"/>
      <c r="G40" s="98" t="s">
        <v>1102</v>
      </c>
      <c r="H40" s="49"/>
      <c r="I40" s="55"/>
      <c r="J40" s="55"/>
      <c r="K40" s="55" t="s">
        <v>1130</v>
      </c>
      <c r="L40" s="55"/>
      <c r="M40" s="55"/>
      <c r="N40" s="55"/>
      <c r="O40" s="55"/>
      <c r="P40" s="55"/>
      <c r="Q40" s="55"/>
      <c r="R40" s="55"/>
      <c r="S40" s="49"/>
      <c r="T40" s="72"/>
      <c r="U40" s="71"/>
      <c r="V40" s="71"/>
      <c r="W40" s="71"/>
      <c r="X40" s="71"/>
      <c r="Y40" s="71"/>
    </row>
    <row r="41" spans="1:25">
      <c r="A41" s="83" t="s">
        <v>1359</v>
      </c>
      <c r="B41" s="49"/>
      <c r="C41" s="49"/>
      <c r="D41" s="49"/>
      <c r="E41" s="49"/>
      <c r="F41" s="76"/>
      <c r="G41" s="83" t="s">
        <v>1364</v>
      </c>
      <c r="H41" s="49"/>
      <c r="I41" s="55"/>
      <c r="J41" s="55"/>
      <c r="K41" s="77" t="s">
        <v>1261</v>
      </c>
      <c r="L41" s="55"/>
      <c r="M41" s="55"/>
      <c r="N41" s="55"/>
      <c r="O41" s="55"/>
      <c r="P41" s="55"/>
      <c r="Q41" s="55"/>
      <c r="R41" s="55"/>
      <c r="S41" s="49"/>
      <c r="T41" s="71"/>
      <c r="U41" s="71"/>
      <c r="V41" s="71"/>
      <c r="W41" s="71"/>
      <c r="X41" s="71"/>
      <c r="Y41" s="71"/>
    </row>
    <row r="42" spans="1:25">
      <c r="A42" s="84" t="s">
        <v>1140</v>
      </c>
      <c r="B42" s="49"/>
      <c r="C42" s="49"/>
      <c r="D42" s="49"/>
      <c r="E42" s="49"/>
      <c r="F42" s="77"/>
      <c r="G42" s="98" t="s">
        <v>1140</v>
      </c>
      <c r="H42" s="49"/>
      <c r="I42" s="55"/>
      <c r="J42" s="55"/>
      <c r="K42" s="55" t="s">
        <v>1177</v>
      </c>
      <c r="L42" s="55"/>
      <c r="M42" s="55"/>
      <c r="N42" s="55"/>
      <c r="O42" s="55"/>
      <c r="P42" s="55"/>
      <c r="Q42" s="55"/>
      <c r="R42" s="55"/>
      <c r="S42" s="49"/>
      <c r="T42" s="71"/>
      <c r="U42" s="71"/>
      <c r="V42" s="71"/>
      <c r="W42" s="71"/>
      <c r="X42" s="71"/>
      <c r="Y42" s="71"/>
    </row>
    <row r="43" spans="1:25">
      <c r="A43" s="117">
        <v>45850</v>
      </c>
      <c r="B43" s="49"/>
      <c r="C43" s="49"/>
      <c r="D43" s="49"/>
      <c r="E43" s="49"/>
      <c r="F43" s="77"/>
      <c r="G43" s="117">
        <v>45849</v>
      </c>
      <c r="H43" s="49"/>
      <c r="I43" s="55"/>
      <c r="J43" s="55"/>
      <c r="K43" s="55"/>
      <c r="L43" s="55"/>
      <c r="M43" s="55"/>
      <c r="N43" s="55"/>
      <c r="O43" s="55"/>
      <c r="P43" s="55"/>
      <c r="Q43" s="55"/>
      <c r="R43" s="55"/>
      <c r="S43" s="49"/>
      <c r="T43" s="72"/>
      <c r="U43" s="71"/>
      <c r="V43" s="71"/>
      <c r="W43" s="71"/>
      <c r="X43" s="71"/>
      <c r="Y43" s="71"/>
    </row>
    <row r="44" spans="1:25">
      <c r="A44" s="84" t="s">
        <v>1049</v>
      </c>
      <c r="B44" s="49"/>
      <c r="C44" s="49"/>
      <c r="D44" s="49"/>
      <c r="E44" s="49"/>
      <c r="F44" s="77"/>
      <c r="G44" s="93" t="s">
        <v>1049</v>
      </c>
      <c r="H44" s="49"/>
      <c r="I44" s="55"/>
      <c r="J44" s="55"/>
      <c r="K44" s="55"/>
      <c r="L44" s="55"/>
      <c r="M44" s="55"/>
      <c r="N44" s="55"/>
      <c r="O44" s="55"/>
      <c r="P44" s="55"/>
      <c r="Q44" s="55"/>
      <c r="R44" s="55"/>
      <c r="S44" s="49"/>
      <c r="T44" s="72"/>
      <c r="U44" s="71"/>
      <c r="V44" s="71"/>
      <c r="W44" s="71"/>
      <c r="X44" s="71"/>
      <c r="Y44" s="71"/>
    </row>
    <row r="45" spans="1:25">
      <c r="A45" s="90" t="s">
        <v>1368</v>
      </c>
      <c r="B45" s="49"/>
      <c r="C45" s="49"/>
      <c r="D45" s="49"/>
      <c r="E45" s="49"/>
      <c r="F45" s="77"/>
      <c r="G45" s="83" t="s">
        <v>1365</v>
      </c>
      <c r="H45" s="49"/>
      <c r="I45" s="55"/>
      <c r="J45" s="55"/>
      <c r="K45" s="55"/>
      <c r="L45" s="55"/>
      <c r="M45" s="55"/>
      <c r="N45" s="55"/>
      <c r="O45" s="55"/>
      <c r="P45" s="55"/>
      <c r="Q45" s="55"/>
      <c r="R45" s="55"/>
      <c r="S45" s="49"/>
      <c r="T45" s="72"/>
      <c r="U45" s="71"/>
      <c r="V45" s="71"/>
      <c r="W45" s="71"/>
      <c r="X45" s="71"/>
      <c r="Y45" s="71"/>
    </row>
    <row r="46" spans="1:25">
      <c r="A46" s="84" t="s">
        <v>1048</v>
      </c>
      <c r="B46" s="49"/>
      <c r="C46" s="76"/>
      <c r="D46" s="49"/>
      <c r="E46" s="49"/>
      <c r="F46" s="49"/>
      <c r="G46" s="103" t="s">
        <v>1244</v>
      </c>
      <c r="H46" s="49"/>
      <c r="I46" s="55"/>
      <c r="J46" s="55"/>
      <c r="K46" s="55"/>
      <c r="L46" s="55"/>
      <c r="M46" s="55"/>
      <c r="N46" s="55"/>
      <c r="O46" s="55"/>
      <c r="P46" s="55"/>
      <c r="Q46" s="55"/>
      <c r="R46" s="55"/>
      <c r="S46" s="49"/>
      <c r="T46" s="71"/>
      <c r="U46" s="71"/>
      <c r="V46" s="71"/>
      <c r="W46" s="71"/>
      <c r="X46" s="71"/>
      <c r="Y46" s="71"/>
    </row>
    <row r="47" spans="1:25">
      <c r="A47" s="90" t="s">
        <v>1360</v>
      </c>
      <c r="B47" s="49"/>
      <c r="C47" s="49"/>
      <c r="D47" s="49"/>
      <c r="E47" s="49"/>
      <c r="F47" s="77"/>
      <c r="G47" s="118">
        <v>45852</v>
      </c>
      <c r="H47" s="49"/>
      <c r="I47" s="55"/>
      <c r="J47" s="55"/>
      <c r="K47" s="55"/>
      <c r="L47" s="55"/>
      <c r="M47" s="55"/>
      <c r="N47" s="55"/>
      <c r="O47" s="55"/>
      <c r="P47" s="55"/>
      <c r="Q47" s="55"/>
      <c r="R47" s="55"/>
      <c r="S47" s="49"/>
      <c r="T47" s="72"/>
      <c r="U47" s="71"/>
      <c r="V47" s="71"/>
      <c r="W47" s="71"/>
      <c r="X47" s="71"/>
      <c r="Y47" s="71"/>
    </row>
    <row r="48" spans="1:25">
      <c r="A48" s="84" t="s">
        <v>1240</v>
      </c>
      <c r="B48" s="49"/>
      <c r="C48" s="49"/>
      <c r="D48" s="49"/>
      <c r="E48" s="49"/>
      <c r="F48" s="77"/>
      <c r="G48" s="115" t="s">
        <v>1052</v>
      </c>
      <c r="H48" s="49"/>
      <c r="I48" s="55"/>
      <c r="J48" s="55"/>
      <c r="K48" s="55"/>
      <c r="L48" s="55"/>
      <c r="M48" s="55"/>
      <c r="N48" s="55"/>
      <c r="O48" s="55"/>
      <c r="P48" s="55"/>
      <c r="Q48" s="55"/>
      <c r="R48" s="55"/>
      <c r="S48" s="49"/>
      <c r="T48" s="72"/>
      <c r="U48" s="71"/>
      <c r="V48" s="71"/>
      <c r="W48" s="71"/>
      <c r="X48" s="71"/>
      <c r="Y48" s="71"/>
    </row>
    <row r="49" spans="1:25">
      <c r="A49" s="95" t="s">
        <v>1359</v>
      </c>
      <c r="B49" s="49"/>
      <c r="C49" s="49"/>
      <c r="D49" s="49"/>
      <c r="E49" s="49"/>
      <c r="F49" s="77"/>
      <c r="G49" s="83" t="s">
        <v>1366</v>
      </c>
      <c r="H49" s="49"/>
      <c r="I49" s="55"/>
      <c r="J49" s="55"/>
      <c r="K49" s="55"/>
      <c r="L49" s="55"/>
      <c r="M49" s="55"/>
      <c r="N49" s="55"/>
      <c r="O49" s="55"/>
      <c r="P49" s="55"/>
      <c r="Q49" s="55"/>
      <c r="R49" s="49"/>
      <c r="S49" s="49"/>
      <c r="T49" s="72"/>
      <c r="U49" s="71"/>
      <c r="V49" s="71"/>
      <c r="W49" s="71"/>
      <c r="X49" s="71"/>
      <c r="Y49" s="71"/>
    </row>
    <row r="50" spans="1:25">
      <c r="A50" s="104" t="s">
        <v>1141</v>
      </c>
      <c r="B50" s="49"/>
      <c r="C50" s="49"/>
      <c r="D50" s="49"/>
      <c r="E50" s="49"/>
      <c r="F50" s="49"/>
      <c r="G50" s="50" t="s">
        <v>1375</v>
      </c>
      <c r="H50" s="49"/>
      <c r="I50" s="55"/>
      <c r="J50" s="55"/>
      <c r="K50" s="55"/>
      <c r="L50" s="55"/>
      <c r="M50" s="55"/>
      <c r="N50" s="55"/>
      <c r="O50" s="55"/>
      <c r="P50" s="55"/>
      <c r="Q50" s="55"/>
      <c r="R50" s="49"/>
      <c r="S50" s="49"/>
      <c r="T50" s="71"/>
      <c r="U50" s="71"/>
      <c r="V50" s="71"/>
      <c r="W50" s="71"/>
      <c r="X50" s="71"/>
      <c r="Y50" s="71"/>
    </row>
    <row r="51" spans="1:25">
      <c r="A51" s="95" t="s">
        <v>1369</v>
      </c>
      <c r="B51" s="49"/>
      <c r="C51" s="49"/>
      <c r="D51" s="49"/>
      <c r="E51" s="49"/>
      <c r="F51" s="77"/>
      <c r="G51" s="118">
        <v>45852</v>
      </c>
      <c r="H51" s="49"/>
      <c r="I51" s="55"/>
      <c r="J51" s="55"/>
      <c r="K51" s="55"/>
      <c r="L51" s="55"/>
      <c r="M51" s="55"/>
      <c r="N51" s="55"/>
      <c r="O51" s="55"/>
      <c r="P51" s="55"/>
      <c r="Q51" s="55"/>
      <c r="R51" s="49"/>
      <c r="S51" s="49"/>
      <c r="T51" s="71"/>
      <c r="U51" s="71"/>
      <c r="V51" s="71"/>
      <c r="W51" s="71"/>
      <c r="X51" s="71"/>
      <c r="Y51" s="71"/>
    </row>
    <row r="52" spans="1:25">
      <c r="A52" s="104" t="s">
        <v>1338</v>
      </c>
      <c r="B52" s="49"/>
      <c r="C52" s="49"/>
      <c r="D52" s="49"/>
      <c r="E52" s="49"/>
      <c r="F52" s="49"/>
      <c r="G52" s="87"/>
      <c r="H52" s="49"/>
      <c r="I52" s="55"/>
      <c r="J52" s="55"/>
      <c r="K52" s="55"/>
      <c r="L52" s="55"/>
      <c r="M52" s="55"/>
      <c r="N52" s="55"/>
      <c r="O52" s="55"/>
      <c r="P52" s="55"/>
      <c r="Q52" s="55"/>
      <c r="R52" s="49"/>
      <c r="S52" s="49"/>
      <c r="T52" s="71"/>
      <c r="U52" s="71"/>
      <c r="V52" s="71"/>
      <c r="W52" s="71"/>
      <c r="X52" s="71"/>
      <c r="Y52" s="71"/>
    </row>
    <row r="53" spans="1:25">
      <c r="A53" s="90" t="s">
        <v>1361</v>
      </c>
      <c r="B53" s="49"/>
      <c r="C53" s="49"/>
      <c r="D53" s="49"/>
      <c r="E53" s="49"/>
      <c r="F53" s="49"/>
      <c r="G53" s="88"/>
      <c r="H53" s="49"/>
      <c r="I53" s="49"/>
      <c r="J53" s="49"/>
      <c r="K53" s="49"/>
      <c r="L53" s="49"/>
      <c r="M53" s="49"/>
      <c r="N53" s="49"/>
      <c r="O53" s="49"/>
      <c r="P53" s="49"/>
      <c r="Q53" s="49"/>
      <c r="R53" s="49"/>
      <c r="S53" s="49"/>
      <c r="T53" s="71"/>
      <c r="U53" s="71"/>
      <c r="V53" s="71"/>
      <c r="W53" s="71"/>
      <c r="X53" s="71"/>
      <c r="Y53" s="71"/>
    </row>
    <row r="54" spans="1:25">
      <c r="A54" s="91" t="s">
        <v>1050</v>
      </c>
      <c r="B54" s="49"/>
      <c r="C54" s="49"/>
      <c r="D54" s="49"/>
      <c r="E54" s="49"/>
      <c r="F54" s="49"/>
      <c r="G54" s="87"/>
      <c r="H54" s="49"/>
      <c r="I54" s="49"/>
      <c r="J54" s="49"/>
      <c r="K54" s="49"/>
      <c r="L54" s="49"/>
      <c r="M54" s="49"/>
      <c r="N54" s="49"/>
      <c r="O54" s="49"/>
      <c r="P54" s="49"/>
      <c r="Q54" s="49"/>
      <c r="R54" s="49"/>
      <c r="S54" s="49"/>
      <c r="T54" s="71"/>
      <c r="U54" s="71"/>
      <c r="V54" s="71"/>
      <c r="W54" s="71"/>
      <c r="X54" s="71"/>
      <c r="Y54" s="71"/>
    </row>
    <row r="55" spans="1:25">
      <c r="A55" s="95" t="s">
        <v>1372</v>
      </c>
      <c r="B55" s="73"/>
      <c r="C55" s="49"/>
      <c r="D55" s="49"/>
      <c r="E55" s="49"/>
      <c r="F55" s="76"/>
      <c r="G55" s="49"/>
      <c r="H55" s="49"/>
      <c r="I55" s="49"/>
      <c r="J55" s="49"/>
      <c r="K55" s="49"/>
      <c r="L55" s="49"/>
      <c r="M55" s="49"/>
      <c r="N55" s="49"/>
      <c r="O55" s="49"/>
      <c r="P55" s="49"/>
      <c r="Q55" s="49"/>
      <c r="R55" s="49"/>
      <c r="S55" s="49"/>
      <c r="T55" s="71"/>
      <c r="U55" s="71"/>
      <c r="V55" s="71"/>
      <c r="W55" s="71"/>
      <c r="X55" s="71"/>
      <c r="Y55" s="71"/>
    </row>
    <row r="56" spans="1:25">
      <c r="A56" s="91" t="s">
        <v>1233</v>
      </c>
      <c r="B56" s="49"/>
      <c r="C56" s="49"/>
      <c r="D56" s="49"/>
      <c r="E56" s="49"/>
      <c r="F56" s="49"/>
      <c r="G56" s="49"/>
      <c r="H56" s="49"/>
      <c r="I56" s="49"/>
      <c r="J56" s="49"/>
      <c r="K56" s="49"/>
      <c r="L56" s="49"/>
      <c r="M56" s="49"/>
      <c r="N56" s="49"/>
      <c r="O56" s="49"/>
      <c r="P56" s="49"/>
      <c r="Q56" s="49"/>
      <c r="R56" s="49"/>
      <c r="S56" s="49"/>
      <c r="T56" s="71"/>
      <c r="U56" s="71"/>
      <c r="V56" s="71"/>
      <c r="W56" s="71"/>
      <c r="X56" s="71"/>
      <c r="Y56" s="71"/>
    </row>
    <row r="57" spans="1:25">
      <c r="A57" s="118" t="s">
        <v>1376</v>
      </c>
      <c r="B57" s="49"/>
      <c r="C57" s="49"/>
      <c r="D57" s="49"/>
      <c r="E57" s="49"/>
      <c r="F57" s="49"/>
      <c r="G57" s="49"/>
      <c r="H57" s="49"/>
      <c r="I57" s="49"/>
      <c r="J57" s="49"/>
      <c r="K57" s="49"/>
      <c r="L57" s="49"/>
      <c r="M57" s="49"/>
      <c r="N57" s="49"/>
      <c r="O57" s="49"/>
      <c r="P57" s="49"/>
      <c r="Q57" s="49"/>
      <c r="R57" s="49"/>
      <c r="S57" s="49"/>
      <c r="T57" s="71"/>
      <c r="U57" s="71"/>
      <c r="V57" s="71"/>
      <c r="W57" s="71"/>
      <c r="X57" s="71"/>
      <c r="Y57" s="71"/>
    </row>
    <row r="58" spans="1:25">
      <c r="A58" s="100" t="s">
        <v>1081</v>
      </c>
      <c r="B58" s="49"/>
      <c r="C58" s="49"/>
      <c r="D58" s="49"/>
      <c r="E58" s="49"/>
      <c r="F58" s="49"/>
      <c r="G58" s="49"/>
      <c r="H58" s="49"/>
      <c r="I58" s="49"/>
      <c r="J58" s="49"/>
      <c r="K58" s="49"/>
      <c r="L58" s="49"/>
      <c r="M58" s="49"/>
      <c r="N58" s="49"/>
      <c r="O58" s="49"/>
      <c r="P58" s="49"/>
      <c r="Q58" s="49"/>
      <c r="R58" s="49"/>
      <c r="S58" s="49"/>
      <c r="T58" s="71"/>
      <c r="U58" s="71"/>
      <c r="V58" s="71"/>
      <c r="W58" s="71"/>
      <c r="X58" s="71"/>
      <c r="Y58" s="71"/>
    </row>
    <row r="59" spans="1:25">
      <c r="A59" s="50" t="s">
        <v>1362</v>
      </c>
      <c r="B59" s="49"/>
      <c r="C59" s="49"/>
      <c r="D59" s="49"/>
      <c r="E59" s="49"/>
      <c r="F59" s="49"/>
      <c r="G59" s="49"/>
      <c r="H59" s="49"/>
      <c r="I59" s="49"/>
      <c r="J59" s="49"/>
      <c r="K59" s="49"/>
      <c r="L59" s="49"/>
      <c r="M59" s="49"/>
      <c r="N59" s="49"/>
      <c r="O59" s="49"/>
      <c r="P59" s="49"/>
      <c r="Q59" s="49"/>
      <c r="R59" s="49"/>
      <c r="S59" s="49"/>
      <c r="T59" s="71"/>
      <c r="U59" s="71"/>
      <c r="V59" s="71"/>
      <c r="W59" s="71"/>
      <c r="X59" s="71"/>
      <c r="Y59" s="71"/>
    </row>
    <row r="60" spans="1:25">
      <c r="A60" s="91" t="s">
        <v>1052</v>
      </c>
      <c r="B60" s="49"/>
      <c r="C60" s="49"/>
      <c r="D60" s="49"/>
      <c r="E60" s="49"/>
      <c r="F60" s="49"/>
      <c r="G60" s="49"/>
      <c r="H60" s="49"/>
      <c r="I60" s="49"/>
      <c r="J60" s="49"/>
      <c r="K60" s="49"/>
      <c r="L60" s="49"/>
      <c r="M60" s="49"/>
      <c r="N60" s="49"/>
      <c r="O60" s="49"/>
      <c r="P60" s="49"/>
      <c r="Q60" s="49"/>
      <c r="R60" s="49"/>
      <c r="S60" s="49"/>
      <c r="T60" s="71"/>
      <c r="U60" s="71"/>
      <c r="V60" s="71"/>
      <c r="W60" s="71"/>
      <c r="X60" s="71"/>
      <c r="Y60" s="71"/>
    </row>
    <row r="61" spans="1:25">
      <c r="A61" s="79" t="s">
        <v>1363</v>
      </c>
      <c r="B61" s="73"/>
      <c r="C61" s="73"/>
      <c r="D61" s="73"/>
      <c r="E61" s="73"/>
      <c r="F61" s="73"/>
      <c r="G61" s="73"/>
      <c r="H61" s="73"/>
      <c r="I61" s="73"/>
      <c r="J61" s="73"/>
      <c r="K61" s="73"/>
      <c r="L61" s="73"/>
      <c r="M61" s="73"/>
      <c r="N61" s="73"/>
      <c r="O61" s="73"/>
      <c r="P61" s="73"/>
      <c r="Q61" s="73"/>
      <c r="R61" s="73"/>
      <c r="S61" s="49"/>
      <c r="T61" s="71"/>
      <c r="U61" s="71"/>
      <c r="V61" s="71"/>
      <c r="W61" s="71"/>
      <c r="X61" s="71"/>
      <c r="Y61" s="71"/>
    </row>
    <row r="62" spans="1:25">
      <c r="A62" s="50" t="s">
        <v>14</v>
      </c>
      <c r="B62" s="73"/>
      <c r="C62" s="73"/>
      <c r="D62" s="73"/>
      <c r="E62" s="73"/>
      <c r="F62" s="73"/>
      <c r="G62" s="73"/>
      <c r="H62" s="73"/>
      <c r="I62" s="73"/>
      <c r="J62" s="73"/>
      <c r="K62" s="73"/>
      <c r="L62" s="73"/>
      <c r="M62" s="73"/>
      <c r="N62" s="73"/>
      <c r="O62" s="73"/>
      <c r="P62" s="73"/>
      <c r="Q62" s="73"/>
      <c r="R62" s="73"/>
      <c r="S62" s="49"/>
      <c r="T62" s="71"/>
      <c r="U62" s="71"/>
      <c r="V62" s="71"/>
      <c r="W62" s="71"/>
      <c r="X62" s="71"/>
      <c r="Y62" s="71"/>
    </row>
    <row r="63" spans="1:25">
      <c r="A63" s="119" t="s">
        <v>1370</v>
      </c>
      <c r="B63" s="73"/>
      <c r="C63" s="73"/>
      <c r="D63" s="73"/>
      <c r="E63" s="73"/>
      <c r="F63" s="73"/>
      <c r="G63" s="73"/>
      <c r="H63" s="73"/>
      <c r="I63" s="73"/>
      <c r="J63" s="73"/>
      <c r="K63" s="73"/>
      <c r="L63" s="73"/>
      <c r="M63" s="73"/>
      <c r="N63" s="73"/>
      <c r="O63" s="73"/>
      <c r="P63" s="73"/>
      <c r="Q63" s="73"/>
      <c r="R63" s="73"/>
      <c r="S63" s="49"/>
      <c r="T63" s="71"/>
      <c r="U63" s="71"/>
      <c r="V63" s="71"/>
      <c r="W63" s="71"/>
      <c r="X63" s="71"/>
      <c r="Y63" s="71"/>
    </row>
    <row r="64" spans="1:25">
      <c r="A64" s="50" t="s">
        <v>1375</v>
      </c>
      <c r="B64" s="73"/>
      <c r="C64" s="73"/>
      <c r="D64" s="73"/>
      <c r="E64" s="73"/>
      <c r="F64" s="73"/>
      <c r="G64" s="73"/>
      <c r="H64" s="73"/>
      <c r="I64" s="73"/>
      <c r="J64" s="73"/>
      <c r="K64" s="73"/>
      <c r="L64" s="73"/>
      <c r="M64" s="73"/>
      <c r="N64" s="73"/>
      <c r="O64" s="73"/>
      <c r="P64" s="73"/>
      <c r="Q64" s="73"/>
      <c r="R64" s="73"/>
      <c r="S64" s="49"/>
      <c r="T64" s="71"/>
      <c r="U64" s="71"/>
      <c r="V64" s="71"/>
      <c r="W64" s="71"/>
      <c r="X64" s="71"/>
      <c r="Y64" s="71"/>
    </row>
    <row r="65" spans="1:19">
      <c r="A65" s="119" t="s">
        <v>1374</v>
      </c>
      <c r="B65" s="73"/>
      <c r="C65" s="73"/>
      <c r="D65" s="73"/>
      <c r="E65" s="73"/>
      <c r="F65" s="73"/>
      <c r="G65" s="73"/>
      <c r="H65" s="73"/>
      <c r="I65" s="73"/>
      <c r="J65" s="73"/>
      <c r="K65" s="73"/>
      <c r="L65" s="73"/>
      <c r="M65" s="73"/>
      <c r="N65" s="73"/>
      <c r="O65" s="73"/>
      <c r="P65" s="73"/>
      <c r="Q65" s="73"/>
      <c r="R65" s="73"/>
      <c r="S65" s="73"/>
    </row>
    <row r="66" spans="1:19">
      <c r="A66" s="73"/>
      <c r="B66" s="73"/>
      <c r="C66" s="73"/>
      <c r="D66" s="73"/>
      <c r="E66" s="73"/>
      <c r="F66" s="73"/>
      <c r="G66" s="73"/>
      <c r="H66" s="73"/>
      <c r="I66" s="73"/>
      <c r="J66" s="73"/>
      <c r="K66" s="73"/>
      <c r="L66" s="73"/>
      <c r="M66" s="73"/>
      <c r="N66" s="73"/>
      <c r="O66" s="73"/>
      <c r="P66" s="73"/>
      <c r="Q66" s="73"/>
      <c r="R66" s="73"/>
      <c r="S66" s="73"/>
    </row>
    <row r="67" spans="1:19">
      <c r="A67" s="73"/>
      <c r="B67" s="73"/>
      <c r="C67" s="73"/>
      <c r="D67" s="73"/>
      <c r="E67" s="73"/>
      <c r="F67" s="73"/>
      <c r="G67" s="73"/>
      <c r="H67" s="73"/>
      <c r="I67" s="73"/>
      <c r="J67" s="73"/>
      <c r="K67" s="73"/>
      <c r="L67" s="73"/>
      <c r="M67" s="73"/>
      <c r="N67" s="73"/>
      <c r="O67" s="73"/>
      <c r="P67" s="73"/>
      <c r="Q67" s="73"/>
      <c r="R67" s="73"/>
      <c r="S67" s="73"/>
    </row>
    <row r="68" spans="1:19">
      <c r="A68" s="73"/>
      <c r="B68" s="73"/>
      <c r="C68" s="73"/>
      <c r="D68" s="73"/>
      <c r="E68" s="73"/>
      <c r="F68" s="73"/>
      <c r="G68" s="73"/>
      <c r="H68" s="73"/>
      <c r="I68" s="73"/>
      <c r="J68" s="73"/>
      <c r="K68" s="73"/>
      <c r="L68" s="73"/>
      <c r="M68" s="73"/>
      <c r="N68" s="73"/>
      <c r="O68" s="73"/>
      <c r="P68" s="73"/>
      <c r="Q68" s="73"/>
      <c r="R68" s="73"/>
      <c r="S68" s="73"/>
    </row>
    <row r="69" spans="1:19">
      <c r="A69" s="73"/>
      <c r="B69" s="73"/>
      <c r="C69" s="73"/>
      <c r="D69" s="73"/>
      <c r="E69" s="73"/>
      <c r="F69" s="73"/>
      <c r="G69" s="73"/>
      <c r="H69" s="73"/>
      <c r="I69" s="73"/>
      <c r="J69" s="73"/>
      <c r="K69" s="73"/>
      <c r="L69" s="73"/>
      <c r="M69" s="73"/>
      <c r="N69" s="73"/>
      <c r="O69" s="73"/>
      <c r="P69" s="73"/>
      <c r="Q69" s="73"/>
      <c r="R69" s="73"/>
      <c r="S69" s="73"/>
    </row>
    <row r="70" spans="1:19">
      <c r="A70" s="73"/>
      <c r="B70" s="73"/>
      <c r="C70" s="73"/>
      <c r="D70" s="73"/>
      <c r="E70" s="73"/>
      <c r="F70" s="73"/>
      <c r="G70" s="73"/>
      <c r="H70" s="73"/>
      <c r="I70" s="73"/>
      <c r="J70" s="73"/>
      <c r="K70" s="73"/>
      <c r="L70" s="73"/>
      <c r="M70" s="73"/>
      <c r="N70" s="73"/>
      <c r="O70" s="73"/>
      <c r="P70" s="73"/>
      <c r="Q70" s="73"/>
      <c r="R70" s="73"/>
      <c r="S70" s="73"/>
    </row>
    <row r="71" spans="1:19">
      <c r="S71" s="73"/>
    </row>
    <row r="72" spans="1:19">
      <c r="S72" s="73"/>
    </row>
    <row r="73" spans="1:19">
      <c r="S73" s="73"/>
    </row>
    <row r="74" spans="1:19">
      <c r="S74" s="73"/>
    </row>
  </sheetData>
  <mergeCells count="2">
    <mergeCell ref="A1:R1"/>
    <mergeCell ref="Q31:R31"/>
  </mergeCells>
  <phoneticPr fontId="2"/>
  <pageMargins left="0.23622047244094491" right="0.23622047244094491" top="0" bottom="0" header="0.31496062992125984" footer="0.31496062992125984"/>
  <pageSetup paperSize="9" orientation="landscape"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DD2F0-1BB0-4841-92D3-15D01CDCAAF2}">
  <dimension ref="A1:AH74"/>
  <sheetViews>
    <sheetView topLeftCell="A10" zoomScaleNormal="100" workbookViewId="0">
      <selection activeCell="A32" sqref="A32"/>
    </sheetView>
  </sheetViews>
  <sheetFormatPr defaultColWidth="9" defaultRowHeight="18.75"/>
  <cols>
    <col min="1" max="18" width="6.625" style="40" customWidth="1"/>
    <col min="19" max="19" width="3.625" style="40" customWidth="1"/>
    <col min="20" max="20" width="6.625" style="40" customWidth="1"/>
    <col min="21" max="21" width="3.625" style="40" customWidth="1"/>
    <col min="22" max="39" width="6.625" style="40" customWidth="1"/>
    <col min="40" max="40" width="3.625" style="40" customWidth="1"/>
    <col min="41" max="16384" width="9" style="40"/>
  </cols>
  <sheetData>
    <row r="1" spans="1:34">
      <c r="A1" s="147" t="s">
        <v>1350</v>
      </c>
      <c r="B1" s="147"/>
      <c r="C1" s="147"/>
      <c r="D1" s="147"/>
      <c r="E1" s="147"/>
      <c r="F1" s="147"/>
      <c r="G1" s="147"/>
      <c r="H1" s="147"/>
      <c r="I1" s="147"/>
      <c r="J1" s="147"/>
      <c r="K1" s="147"/>
      <c r="L1" s="147"/>
      <c r="M1" s="147"/>
      <c r="N1" s="147"/>
      <c r="O1" s="147"/>
      <c r="P1" s="147"/>
      <c r="Q1" s="147"/>
      <c r="R1" s="147"/>
      <c r="X1" s="40" t="s">
        <v>779</v>
      </c>
    </row>
    <row r="2" spans="1:34" ht="16.5" customHeight="1">
      <c r="A2" s="26" t="s">
        <v>325</v>
      </c>
      <c r="B2" s="27">
        <v>45768</v>
      </c>
      <c r="C2" s="27">
        <v>45769</v>
      </c>
      <c r="D2" s="27">
        <v>45770</v>
      </c>
      <c r="E2" s="27">
        <v>45771</v>
      </c>
      <c r="F2" s="27">
        <v>45772</v>
      </c>
      <c r="G2" s="31">
        <v>45773</v>
      </c>
      <c r="H2" s="31">
        <v>45774</v>
      </c>
      <c r="I2" s="27">
        <v>45775</v>
      </c>
      <c r="J2" s="27">
        <v>45776</v>
      </c>
      <c r="K2" s="27">
        <v>45777</v>
      </c>
      <c r="L2" s="27"/>
      <c r="M2" s="23" t="s">
        <v>354</v>
      </c>
      <c r="N2" s="30">
        <v>45778</v>
      </c>
      <c r="O2" s="30">
        <v>45779</v>
      </c>
      <c r="P2" s="30">
        <v>45780</v>
      </c>
      <c r="Q2" s="30">
        <v>45781</v>
      </c>
      <c r="R2" s="30">
        <v>45782</v>
      </c>
      <c r="V2" s="40" t="s">
        <v>63</v>
      </c>
      <c r="W2" s="40" t="s">
        <v>1310</v>
      </c>
      <c r="X2" s="40" t="s">
        <v>64</v>
      </c>
      <c r="Y2" s="40" t="s">
        <v>1310</v>
      </c>
      <c r="Z2" s="105" t="s">
        <v>1309</v>
      </c>
      <c r="AA2" s="40" t="s">
        <v>65</v>
      </c>
      <c r="AC2" s="40" t="s">
        <v>169</v>
      </c>
      <c r="AG2" s="40" t="s">
        <v>874</v>
      </c>
    </row>
    <row r="3" spans="1:34" ht="16.5" customHeight="1">
      <c r="A3" s="28">
        <v>1</v>
      </c>
      <c r="B3" s="19"/>
      <c r="C3" s="19"/>
      <c r="D3" s="19"/>
      <c r="E3" s="19"/>
      <c r="F3" s="19"/>
      <c r="G3" s="19" t="s">
        <v>7</v>
      </c>
      <c r="H3" s="109" t="s">
        <v>516</v>
      </c>
      <c r="I3" s="19"/>
      <c r="J3" s="19"/>
      <c r="K3" s="19"/>
      <c r="L3" s="19"/>
      <c r="M3" s="36"/>
      <c r="N3" s="81"/>
      <c r="O3" s="113"/>
      <c r="P3" s="81"/>
      <c r="Q3" s="81"/>
      <c r="R3" s="81"/>
      <c r="V3" s="40" t="s">
        <v>2</v>
      </c>
      <c r="W3" s="40">
        <v>2</v>
      </c>
      <c r="X3" s="40" t="s">
        <v>312</v>
      </c>
      <c r="Y3" s="40">
        <v>2</v>
      </c>
      <c r="Z3" s="105">
        <v>1</v>
      </c>
      <c r="AA3" s="40" t="s">
        <v>1159</v>
      </c>
      <c r="AB3" s="40">
        <v>5</v>
      </c>
      <c r="AC3" s="40" t="s">
        <v>153</v>
      </c>
      <c r="AD3" s="40" t="s">
        <v>1317</v>
      </c>
      <c r="AG3" s="40" t="s">
        <v>37</v>
      </c>
      <c r="AH3" s="40">
        <v>6</v>
      </c>
    </row>
    <row r="4" spans="1:34" ht="16.5" customHeight="1">
      <c r="A4" s="28">
        <v>2</v>
      </c>
      <c r="B4" s="19"/>
      <c r="C4" s="19"/>
      <c r="D4" s="19"/>
      <c r="E4" s="19"/>
      <c r="F4" s="19"/>
      <c r="G4" s="19" t="s">
        <v>1129</v>
      </c>
      <c r="H4" s="19" t="s">
        <v>93</v>
      </c>
      <c r="I4" s="19"/>
      <c r="J4" s="19"/>
      <c r="K4" s="19"/>
      <c r="L4" s="19"/>
      <c r="M4" s="36"/>
      <c r="N4" s="81"/>
      <c r="O4" s="81"/>
      <c r="P4" s="81"/>
      <c r="Q4" s="81"/>
      <c r="R4" s="81"/>
      <c r="T4" s="41"/>
      <c r="U4" s="41"/>
      <c r="V4" s="40" t="s">
        <v>107</v>
      </c>
      <c r="W4" s="40">
        <v>2</v>
      </c>
      <c r="X4" s="40" t="s">
        <v>25</v>
      </c>
      <c r="Y4" s="40">
        <v>1</v>
      </c>
      <c r="Z4" s="105">
        <v>2</v>
      </c>
      <c r="AA4" s="40" t="s">
        <v>1065</v>
      </c>
      <c r="AB4" s="40">
        <v>4</v>
      </c>
      <c r="AC4" s="40" t="s">
        <v>26</v>
      </c>
      <c r="AD4" s="40" t="s">
        <v>973</v>
      </c>
      <c r="AG4" s="40" t="s">
        <v>875</v>
      </c>
      <c r="AH4" s="40">
        <v>8</v>
      </c>
    </row>
    <row r="5" spans="1:34" ht="16.5" customHeight="1">
      <c r="A5" s="28">
        <v>3</v>
      </c>
      <c r="B5" s="19"/>
      <c r="C5" s="19"/>
      <c r="D5" s="19"/>
      <c r="E5" s="19"/>
      <c r="F5" s="19"/>
      <c r="G5" s="19" t="s">
        <v>875</v>
      </c>
      <c r="H5" s="19" t="s">
        <v>37</v>
      </c>
      <c r="I5" s="19"/>
      <c r="J5" s="19"/>
      <c r="K5" s="19"/>
      <c r="L5" s="19"/>
      <c r="M5" s="36"/>
      <c r="N5" s="81"/>
      <c r="O5" s="81"/>
      <c r="P5" s="81"/>
      <c r="Q5" s="81"/>
      <c r="R5" s="81"/>
      <c r="T5" s="41"/>
      <c r="U5" s="41"/>
      <c r="V5" s="40" t="s">
        <v>1265</v>
      </c>
      <c r="W5" s="40">
        <v>2</v>
      </c>
      <c r="X5" s="40" t="s">
        <v>769</v>
      </c>
      <c r="Y5" s="40">
        <v>1</v>
      </c>
      <c r="Z5" s="105">
        <v>1</v>
      </c>
      <c r="AA5" s="40" t="s">
        <v>37</v>
      </c>
      <c r="AB5" s="40">
        <v>4</v>
      </c>
      <c r="AC5" s="40" t="s">
        <v>1032</v>
      </c>
      <c r="AD5" s="40" t="s">
        <v>1315</v>
      </c>
      <c r="AG5" s="40" t="s">
        <v>356</v>
      </c>
      <c r="AH5" s="40" t="s">
        <v>1320</v>
      </c>
    </row>
    <row r="6" spans="1:34" ht="16.5" customHeight="1">
      <c r="A6" s="28" t="s">
        <v>20</v>
      </c>
      <c r="B6" s="109" t="s">
        <v>312</v>
      </c>
      <c r="C6" s="109" t="s">
        <v>13</v>
      </c>
      <c r="D6" s="109" t="s">
        <v>13</v>
      </c>
      <c r="E6" s="109" t="s">
        <v>13</v>
      </c>
      <c r="F6" s="108" t="s">
        <v>25</v>
      </c>
      <c r="G6" s="108" t="s">
        <v>13</v>
      </c>
      <c r="H6" s="108" t="s">
        <v>13</v>
      </c>
      <c r="I6" s="19" t="s">
        <v>774</v>
      </c>
      <c r="J6" s="19" t="s">
        <v>13</v>
      </c>
      <c r="K6" s="19" t="s">
        <v>13</v>
      </c>
      <c r="L6" s="19"/>
      <c r="M6" s="36"/>
      <c r="N6" s="81"/>
      <c r="O6" s="81"/>
      <c r="P6" s="81"/>
      <c r="Q6" s="81"/>
      <c r="R6" s="81"/>
      <c r="T6" s="41"/>
      <c r="U6" s="41"/>
      <c r="V6" s="40" t="s">
        <v>7</v>
      </c>
      <c r="W6" s="40">
        <v>1</v>
      </c>
      <c r="X6" s="40" t="s">
        <v>774</v>
      </c>
      <c r="Y6" s="40">
        <v>1</v>
      </c>
      <c r="Z6" s="106">
        <v>2</v>
      </c>
      <c r="AA6" s="40" t="s">
        <v>875</v>
      </c>
      <c r="AB6" s="68">
        <v>3</v>
      </c>
      <c r="AC6" s="40" t="s">
        <v>23</v>
      </c>
      <c r="AD6" s="68">
        <v>9</v>
      </c>
      <c r="AE6" s="68"/>
      <c r="AF6" s="68"/>
      <c r="AG6" s="40" t="s">
        <v>1159</v>
      </c>
      <c r="AH6" s="40">
        <v>4</v>
      </c>
    </row>
    <row r="7" spans="1:34" ht="16.5" customHeight="1">
      <c r="A7" s="28" t="s">
        <v>0</v>
      </c>
      <c r="B7" s="19" t="s">
        <v>1157</v>
      </c>
      <c r="C7" s="19" t="s">
        <v>13</v>
      </c>
      <c r="D7" s="19" t="s">
        <v>13</v>
      </c>
      <c r="E7" s="19" t="s">
        <v>13</v>
      </c>
      <c r="F7" s="19" t="s">
        <v>13</v>
      </c>
      <c r="G7" s="19" t="s">
        <v>13</v>
      </c>
      <c r="H7" s="19" t="s">
        <v>13</v>
      </c>
      <c r="I7" s="19" t="s">
        <v>356</v>
      </c>
      <c r="J7" s="19" t="s">
        <v>13</v>
      </c>
      <c r="K7" s="19" t="s">
        <v>13</v>
      </c>
      <c r="L7" s="19"/>
      <c r="M7" s="36"/>
      <c r="N7" s="81"/>
      <c r="O7" s="81"/>
      <c r="P7" s="81"/>
      <c r="Q7" s="81"/>
      <c r="R7" s="81"/>
      <c r="T7" s="41"/>
      <c r="U7" s="41"/>
      <c r="V7" s="40" t="s">
        <v>93</v>
      </c>
      <c r="W7" s="40">
        <v>1</v>
      </c>
      <c r="X7" s="40" t="s">
        <v>153</v>
      </c>
      <c r="Y7" s="40">
        <v>2</v>
      </c>
      <c r="Z7" s="105">
        <v>1</v>
      </c>
      <c r="AA7" s="40" t="s">
        <v>1186</v>
      </c>
      <c r="AB7" s="40">
        <v>2</v>
      </c>
      <c r="AC7" s="40" t="s">
        <v>25</v>
      </c>
      <c r="AD7" s="40" t="s">
        <v>1311</v>
      </c>
      <c r="AG7" s="40" t="s">
        <v>1186</v>
      </c>
      <c r="AH7" s="40">
        <v>2</v>
      </c>
    </row>
    <row r="8" spans="1:34" ht="16.5" customHeight="1">
      <c r="A8" s="28" t="s">
        <v>1</v>
      </c>
      <c r="B8" s="29"/>
      <c r="C8" s="19"/>
      <c r="D8" s="19"/>
      <c r="E8" s="19"/>
      <c r="F8" s="19"/>
      <c r="G8" s="19"/>
      <c r="H8" s="19"/>
      <c r="I8" s="19"/>
      <c r="J8" s="19"/>
      <c r="K8" s="19"/>
      <c r="L8" s="19"/>
      <c r="M8" s="36"/>
      <c r="N8" s="81"/>
      <c r="O8" s="81"/>
      <c r="P8" s="81"/>
      <c r="Q8" s="81"/>
      <c r="R8" s="81"/>
      <c r="T8" s="41"/>
      <c r="V8" s="40" t="s">
        <v>14</v>
      </c>
      <c r="W8" s="40">
        <v>2</v>
      </c>
      <c r="X8" s="40" t="s">
        <v>516</v>
      </c>
      <c r="Y8" s="40">
        <v>1</v>
      </c>
      <c r="Z8" s="107">
        <v>1</v>
      </c>
      <c r="AA8" s="40" t="s">
        <v>843</v>
      </c>
      <c r="AB8" s="64" t="s">
        <v>1321</v>
      </c>
      <c r="AC8" s="40" t="s">
        <v>327</v>
      </c>
      <c r="AD8" s="64" t="s">
        <v>1313</v>
      </c>
      <c r="AE8" s="64"/>
      <c r="AF8" s="64"/>
      <c r="AG8" s="40" t="s">
        <v>1328</v>
      </c>
      <c r="AH8" s="64" t="s">
        <v>1331</v>
      </c>
    </row>
    <row r="9" spans="1:34" ht="16.5" customHeight="1">
      <c r="A9" s="23" t="s">
        <v>354</v>
      </c>
      <c r="B9" s="30">
        <v>45783</v>
      </c>
      <c r="C9" s="25">
        <v>45784</v>
      </c>
      <c r="D9" s="25">
        <v>45785</v>
      </c>
      <c r="E9" s="25">
        <v>45786</v>
      </c>
      <c r="F9" s="30">
        <v>45787</v>
      </c>
      <c r="G9" s="30">
        <v>45788</v>
      </c>
      <c r="H9" s="25">
        <v>45789</v>
      </c>
      <c r="I9" s="25">
        <v>45790</v>
      </c>
      <c r="J9" s="25">
        <v>45791</v>
      </c>
      <c r="K9" s="25">
        <v>45792</v>
      </c>
      <c r="L9" s="25">
        <v>45793</v>
      </c>
      <c r="M9" s="30">
        <v>45794</v>
      </c>
      <c r="N9" s="30">
        <v>45795</v>
      </c>
      <c r="O9" s="25">
        <v>45796</v>
      </c>
      <c r="P9" s="25">
        <v>45797</v>
      </c>
      <c r="Q9" s="19"/>
      <c r="R9" s="19"/>
      <c r="T9" s="41"/>
      <c r="V9" s="40" t="s">
        <v>314</v>
      </c>
      <c r="W9" s="40">
        <v>2</v>
      </c>
      <c r="X9" s="40" t="s">
        <v>864</v>
      </c>
      <c r="Y9" s="40">
        <v>0</v>
      </c>
      <c r="Z9" s="105">
        <v>2</v>
      </c>
      <c r="AA9" s="40" t="s">
        <v>1328</v>
      </c>
      <c r="AB9" s="64" t="s">
        <v>1330</v>
      </c>
      <c r="AC9" s="40" t="s">
        <v>516</v>
      </c>
      <c r="AD9" s="40" t="s">
        <v>1316</v>
      </c>
    </row>
    <row r="10" spans="1:34" ht="16.5" customHeight="1">
      <c r="A10" s="36">
        <v>1</v>
      </c>
      <c r="B10" s="81"/>
      <c r="C10" s="19"/>
      <c r="D10" s="19"/>
      <c r="E10" s="19"/>
      <c r="F10" s="108" t="s">
        <v>25</v>
      </c>
      <c r="G10" s="109" t="s">
        <v>312</v>
      </c>
      <c r="H10" s="19"/>
      <c r="I10" s="19"/>
      <c r="J10" s="19"/>
      <c r="K10" s="19"/>
      <c r="L10" s="19"/>
      <c r="M10" s="19" t="s">
        <v>315</v>
      </c>
      <c r="N10" s="19" t="s">
        <v>774</v>
      </c>
      <c r="O10" s="19"/>
      <c r="P10" s="19"/>
      <c r="Q10" s="19"/>
      <c r="R10" s="19"/>
      <c r="T10" s="41"/>
      <c r="X10" s="40" t="s">
        <v>1129</v>
      </c>
      <c r="Y10" s="40">
        <v>1</v>
      </c>
      <c r="Z10" s="105">
        <v>2</v>
      </c>
      <c r="AC10" s="40" t="s">
        <v>864</v>
      </c>
      <c r="AD10" s="40" t="s">
        <v>1314</v>
      </c>
    </row>
    <row r="11" spans="1:34" ht="16.5" customHeight="1">
      <c r="A11" s="36">
        <v>2</v>
      </c>
      <c r="B11" s="81"/>
      <c r="C11" s="19"/>
      <c r="D11" s="19"/>
      <c r="E11" s="19"/>
      <c r="F11" s="19" t="s">
        <v>864</v>
      </c>
      <c r="G11" s="108" t="s">
        <v>153</v>
      </c>
      <c r="H11" s="19"/>
      <c r="I11" s="19"/>
      <c r="J11" s="19"/>
      <c r="K11" s="19"/>
      <c r="L11" s="19"/>
      <c r="M11" s="19" t="s">
        <v>516</v>
      </c>
      <c r="N11" s="19" t="s">
        <v>814</v>
      </c>
      <c r="O11" s="19"/>
      <c r="P11" s="19"/>
      <c r="Q11" s="19"/>
      <c r="R11" s="19"/>
      <c r="T11" s="41"/>
      <c r="X11" s="40" t="s">
        <v>1032</v>
      </c>
      <c r="Y11" s="40">
        <v>1</v>
      </c>
      <c r="Z11" s="105">
        <v>2</v>
      </c>
      <c r="AC11" s="40" t="s">
        <v>1114</v>
      </c>
      <c r="AD11" s="40" t="s">
        <v>1312</v>
      </c>
    </row>
    <row r="12" spans="1:34" ht="16.5" customHeight="1">
      <c r="A12" s="36">
        <v>3</v>
      </c>
      <c r="B12" s="81"/>
      <c r="C12" s="19"/>
      <c r="D12" s="19"/>
      <c r="E12" s="19"/>
      <c r="F12" s="112" t="s">
        <v>1351</v>
      </c>
      <c r="G12" s="35" t="s">
        <v>1157</v>
      </c>
      <c r="H12" s="19"/>
      <c r="I12" s="19"/>
      <c r="J12" s="19"/>
      <c r="K12" s="19"/>
      <c r="L12" s="19"/>
      <c r="M12" s="19" t="s">
        <v>875</v>
      </c>
      <c r="N12" s="19" t="s">
        <v>1065</v>
      </c>
      <c r="O12" s="19"/>
      <c r="P12" s="19"/>
      <c r="Q12" s="19"/>
      <c r="R12" s="19"/>
      <c r="T12" s="41"/>
    </row>
    <row r="13" spans="1:34" ht="16.5" customHeight="1">
      <c r="A13" s="36" t="s">
        <v>20</v>
      </c>
      <c r="B13" s="81"/>
      <c r="C13" s="19" t="s">
        <v>1032</v>
      </c>
      <c r="D13" s="19" t="s">
        <v>13</v>
      </c>
      <c r="E13" s="19" t="s">
        <v>13</v>
      </c>
      <c r="F13" s="19" t="s">
        <v>13</v>
      </c>
      <c r="G13" s="19" t="s">
        <v>13</v>
      </c>
      <c r="H13" s="109" t="s">
        <v>1129</v>
      </c>
      <c r="I13" s="109" t="s">
        <v>13</v>
      </c>
      <c r="J13" s="109" t="s">
        <v>13</v>
      </c>
      <c r="K13" s="109" t="s">
        <v>13</v>
      </c>
      <c r="L13" s="108" t="s">
        <v>864</v>
      </c>
      <c r="M13" s="108" t="s">
        <v>13</v>
      </c>
      <c r="N13" s="108" t="s">
        <v>13</v>
      </c>
      <c r="O13" s="109" t="s">
        <v>516</v>
      </c>
      <c r="P13" s="109" t="s">
        <v>13</v>
      </c>
      <c r="Q13" s="19"/>
      <c r="R13" s="19"/>
      <c r="T13" s="41"/>
      <c r="V13" s="40" t="s">
        <v>567</v>
      </c>
      <c r="W13" s="40">
        <f>SUM(W1:W11)</f>
        <v>12</v>
      </c>
      <c r="Y13" s="40">
        <f>SUM(Y1:Y12)</f>
        <v>10</v>
      </c>
      <c r="Z13" s="40">
        <f>SUM(Z1:Z12)</f>
        <v>14</v>
      </c>
      <c r="AB13" s="40" t="e">
        <f>SUM(#REF!)</f>
        <v>#REF!</v>
      </c>
    </row>
    <row r="14" spans="1:34" ht="16.5" customHeight="1">
      <c r="A14" s="36" t="s">
        <v>0</v>
      </c>
      <c r="B14" s="81"/>
      <c r="C14" s="19" t="s">
        <v>1186</v>
      </c>
      <c r="D14" s="19" t="s">
        <v>13</v>
      </c>
      <c r="E14" s="19" t="s">
        <v>13</v>
      </c>
      <c r="F14" s="19" t="s">
        <v>13</v>
      </c>
      <c r="G14" s="19" t="s">
        <v>13</v>
      </c>
      <c r="H14" s="19" t="s">
        <v>356</v>
      </c>
      <c r="I14" s="19" t="s">
        <v>13</v>
      </c>
      <c r="J14" s="19" t="s">
        <v>13</v>
      </c>
      <c r="K14" s="19" t="s">
        <v>13</v>
      </c>
      <c r="L14" s="19" t="s">
        <v>13</v>
      </c>
      <c r="M14" s="19" t="s">
        <v>13</v>
      </c>
      <c r="N14" s="19" t="s">
        <v>13</v>
      </c>
      <c r="O14" s="19" t="s">
        <v>934</v>
      </c>
      <c r="P14" s="19" t="s">
        <v>13</v>
      </c>
      <c r="Q14" s="19"/>
      <c r="R14" s="19"/>
      <c r="T14" s="41"/>
    </row>
    <row r="15" spans="1:34" ht="16.5" customHeight="1">
      <c r="A15" s="36" t="s">
        <v>1</v>
      </c>
      <c r="B15" s="81"/>
      <c r="C15" s="29"/>
      <c r="D15" s="19"/>
      <c r="E15" s="19"/>
      <c r="F15" s="19"/>
      <c r="G15" s="19"/>
      <c r="H15" s="19"/>
      <c r="I15" s="19"/>
      <c r="J15" s="19"/>
      <c r="K15" s="19"/>
      <c r="L15" s="19"/>
      <c r="M15" s="19"/>
      <c r="N15" s="19"/>
      <c r="O15" s="19"/>
      <c r="P15" s="19"/>
      <c r="Q15" s="19"/>
      <c r="R15" s="19"/>
      <c r="T15" s="41"/>
      <c r="V15" s="40" t="s">
        <v>1324</v>
      </c>
      <c r="W15" s="40">
        <f>SUM(W13,Y13,Z13)</f>
        <v>36</v>
      </c>
    </row>
    <row r="16" spans="1:34" ht="16.5" customHeight="1">
      <c r="A16" s="42"/>
      <c r="B16" s="37"/>
      <c r="C16" s="37"/>
      <c r="D16" s="37"/>
      <c r="E16" s="37"/>
      <c r="F16" s="37"/>
      <c r="G16" s="37"/>
      <c r="H16" s="38"/>
      <c r="I16" s="38"/>
      <c r="J16" s="38"/>
      <c r="K16" s="38"/>
      <c r="L16" s="38"/>
      <c r="M16" s="38"/>
      <c r="N16" s="38"/>
      <c r="O16" s="38"/>
      <c r="P16" s="37"/>
      <c r="Q16" s="37"/>
      <c r="R16" s="39"/>
      <c r="T16" s="41"/>
    </row>
    <row r="17" spans="1:34" ht="16.5" customHeight="1">
      <c r="A17" s="23" t="s">
        <v>354</v>
      </c>
      <c r="B17" s="25">
        <v>45798</v>
      </c>
      <c r="C17" s="25">
        <v>45799</v>
      </c>
      <c r="D17" s="25">
        <v>45800</v>
      </c>
      <c r="E17" s="30">
        <v>45801</v>
      </c>
      <c r="F17" s="30">
        <v>45802</v>
      </c>
      <c r="G17" s="25">
        <v>45803</v>
      </c>
      <c r="H17" s="25">
        <v>45804</v>
      </c>
      <c r="I17" s="25">
        <v>45805</v>
      </c>
      <c r="J17" s="25">
        <v>45806</v>
      </c>
      <c r="K17" s="25">
        <v>45807</v>
      </c>
      <c r="L17" s="30">
        <v>45808</v>
      </c>
      <c r="M17" s="26" t="s">
        <v>355</v>
      </c>
      <c r="N17" s="31">
        <v>45809</v>
      </c>
      <c r="O17" s="27">
        <v>45810</v>
      </c>
      <c r="P17" s="27">
        <v>45811</v>
      </c>
      <c r="Q17" s="27">
        <v>45812</v>
      </c>
      <c r="R17" s="27">
        <v>45813</v>
      </c>
      <c r="T17" s="41"/>
    </row>
    <row r="18" spans="1:34" ht="16.5" customHeight="1">
      <c r="A18" s="36">
        <v>1</v>
      </c>
      <c r="B18" s="19"/>
      <c r="C18" s="19"/>
      <c r="D18" s="19"/>
      <c r="E18" s="108" t="s">
        <v>864</v>
      </c>
      <c r="F18" s="109" t="s">
        <v>1129</v>
      </c>
      <c r="G18" s="19"/>
      <c r="H18" s="19"/>
      <c r="I18" s="19"/>
      <c r="J18" s="19"/>
      <c r="K18" s="19"/>
      <c r="L18" s="19" t="s">
        <v>93</v>
      </c>
      <c r="M18" s="28"/>
      <c r="N18" s="19" t="s">
        <v>107</v>
      </c>
      <c r="O18" s="19"/>
      <c r="P18" s="19"/>
      <c r="Q18" s="19"/>
      <c r="R18" s="19"/>
      <c r="T18" s="41"/>
      <c r="X18" s="40" t="s">
        <v>116</v>
      </c>
    </row>
    <row r="19" spans="1:34" ht="16.5" customHeight="1">
      <c r="A19" s="36">
        <v>2</v>
      </c>
      <c r="B19" s="19"/>
      <c r="C19" s="19"/>
      <c r="D19" s="19"/>
      <c r="E19" s="40" t="s">
        <v>25</v>
      </c>
      <c r="F19" s="19" t="s">
        <v>312</v>
      </c>
      <c r="G19" s="19"/>
      <c r="H19" s="19"/>
      <c r="I19" s="19"/>
      <c r="J19" s="19"/>
      <c r="K19" s="19"/>
      <c r="L19" s="19" t="s">
        <v>2</v>
      </c>
      <c r="M19" s="28"/>
      <c r="N19" s="19" t="s">
        <v>14</v>
      </c>
      <c r="O19" s="19"/>
      <c r="P19" s="19"/>
      <c r="Q19" s="19"/>
      <c r="R19" s="19"/>
      <c r="T19" s="41"/>
      <c r="V19" s="40" t="s">
        <v>63</v>
      </c>
      <c r="W19" s="40" t="s">
        <v>1310</v>
      </c>
      <c r="X19" s="40" t="s">
        <v>64</v>
      </c>
      <c r="Y19" s="40" t="s">
        <v>1310</v>
      </c>
      <c r="Z19" s="105" t="s">
        <v>1309</v>
      </c>
      <c r="AA19" s="40" t="s">
        <v>65</v>
      </c>
      <c r="AC19" s="40" t="s">
        <v>169</v>
      </c>
      <c r="AD19" s="40" t="s">
        <v>1343</v>
      </c>
      <c r="AE19" s="40" t="s">
        <v>1344</v>
      </c>
      <c r="AG19" s="40" t="s">
        <v>874</v>
      </c>
    </row>
    <row r="20" spans="1:34" ht="16.5" customHeight="1">
      <c r="A20" s="36">
        <v>3</v>
      </c>
      <c r="B20" s="19"/>
      <c r="C20" s="19"/>
      <c r="D20" s="19"/>
      <c r="E20" s="19" t="s">
        <v>1157</v>
      </c>
      <c r="F20" s="19" t="s">
        <v>1328</v>
      </c>
      <c r="G20" s="19"/>
      <c r="H20" s="19"/>
      <c r="I20" s="19"/>
      <c r="J20" s="19"/>
      <c r="K20" s="19"/>
      <c r="L20" s="19" t="s">
        <v>1065</v>
      </c>
      <c r="M20" s="28"/>
      <c r="N20" s="19" t="s">
        <v>1349</v>
      </c>
      <c r="O20" s="19"/>
      <c r="P20" s="19"/>
      <c r="Q20" s="19"/>
      <c r="R20" s="19"/>
      <c r="T20" s="41"/>
      <c r="V20" s="40" t="s">
        <v>2</v>
      </c>
      <c r="W20" s="40">
        <v>1</v>
      </c>
      <c r="X20" s="40" t="s">
        <v>312</v>
      </c>
      <c r="Y20" s="40">
        <v>1</v>
      </c>
      <c r="Z20" s="105">
        <v>2</v>
      </c>
      <c r="AA20" s="40" t="s">
        <v>1159</v>
      </c>
      <c r="AB20" s="40">
        <v>3</v>
      </c>
      <c r="AC20" s="40" t="s">
        <v>25</v>
      </c>
      <c r="AD20" s="40">
        <v>1</v>
      </c>
      <c r="AE20" s="40">
        <v>10</v>
      </c>
      <c r="AG20" s="40" t="s">
        <v>37</v>
      </c>
      <c r="AH20" s="40">
        <v>4</v>
      </c>
    </row>
    <row r="21" spans="1:34" ht="16.5" customHeight="1">
      <c r="A21" s="36" t="s">
        <v>20</v>
      </c>
      <c r="B21" s="109" t="s">
        <v>516</v>
      </c>
      <c r="C21" s="109" t="s">
        <v>13</v>
      </c>
      <c r="D21" s="108" t="s">
        <v>153</v>
      </c>
      <c r="E21" s="108" t="s">
        <v>13</v>
      </c>
      <c r="F21" s="108" t="s">
        <v>13</v>
      </c>
      <c r="G21" s="109" t="s">
        <v>312</v>
      </c>
      <c r="H21" s="109" t="s">
        <v>13</v>
      </c>
      <c r="I21" s="109" t="s">
        <v>13</v>
      </c>
      <c r="J21" s="109" t="s">
        <v>13</v>
      </c>
      <c r="K21" s="108" t="s">
        <v>25</v>
      </c>
      <c r="L21" s="108" t="s">
        <v>1266</v>
      </c>
      <c r="M21" s="28"/>
      <c r="N21" s="108" t="s">
        <v>1266</v>
      </c>
      <c r="O21" s="109" t="s">
        <v>774</v>
      </c>
      <c r="P21" s="109" t="s">
        <v>1266</v>
      </c>
      <c r="Q21" s="109" t="s">
        <v>1266</v>
      </c>
      <c r="R21" s="109" t="s">
        <v>1266</v>
      </c>
      <c r="T21" s="41"/>
      <c r="V21" s="40" t="s">
        <v>107</v>
      </c>
      <c r="W21" s="40">
        <v>1</v>
      </c>
      <c r="X21" s="40" t="s">
        <v>25</v>
      </c>
      <c r="Y21" s="40">
        <v>1</v>
      </c>
      <c r="Z21" s="105">
        <v>2</v>
      </c>
      <c r="AA21" s="40" t="s">
        <v>1065</v>
      </c>
      <c r="AB21" s="40">
        <v>4</v>
      </c>
      <c r="AC21" s="40" t="s">
        <v>26</v>
      </c>
      <c r="AD21" s="40">
        <v>9</v>
      </c>
      <c r="AE21" s="40">
        <v>2</v>
      </c>
      <c r="AG21" s="40" t="s">
        <v>875</v>
      </c>
      <c r="AH21" s="64" t="s">
        <v>1354</v>
      </c>
    </row>
    <row r="22" spans="1:34" ht="16.5" customHeight="1">
      <c r="A22" s="36" t="s">
        <v>0</v>
      </c>
      <c r="B22" s="19" t="s">
        <v>934</v>
      </c>
      <c r="C22" s="19" t="s">
        <v>13</v>
      </c>
      <c r="D22" s="19" t="s">
        <v>13</v>
      </c>
      <c r="E22" s="19" t="s">
        <v>13</v>
      </c>
      <c r="F22" s="19" t="s">
        <v>13</v>
      </c>
      <c r="G22" s="19" t="s">
        <v>356</v>
      </c>
      <c r="H22" s="19" t="s">
        <v>13</v>
      </c>
      <c r="I22" s="19" t="s">
        <v>13</v>
      </c>
      <c r="J22" s="19" t="s">
        <v>13</v>
      </c>
      <c r="K22" s="19" t="s">
        <v>13</v>
      </c>
      <c r="L22" s="19" t="s">
        <v>13</v>
      </c>
      <c r="M22" s="28"/>
      <c r="N22" s="19" t="s">
        <v>13</v>
      </c>
      <c r="O22" s="112" t="s">
        <v>1328</v>
      </c>
      <c r="P22" s="112" t="s">
        <v>13</v>
      </c>
      <c r="Q22" s="112" t="s">
        <v>13</v>
      </c>
      <c r="R22" s="112" t="s">
        <v>13</v>
      </c>
      <c r="T22" s="41"/>
      <c r="V22" s="40" t="s">
        <v>1265</v>
      </c>
      <c r="W22" s="40">
        <v>1</v>
      </c>
      <c r="X22" s="40" t="s">
        <v>774</v>
      </c>
      <c r="Y22" s="40">
        <v>1</v>
      </c>
      <c r="Z22" s="105">
        <v>1</v>
      </c>
      <c r="AA22" s="40" t="s">
        <v>37</v>
      </c>
      <c r="AB22" s="40">
        <v>2</v>
      </c>
      <c r="AC22" s="40" t="s">
        <v>327</v>
      </c>
      <c r="AD22" s="64" t="s">
        <v>1347</v>
      </c>
      <c r="AG22" s="40" t="s">
        <v>356</v>
      </c>
      <c r="AH22" s="40" t="s">
        <v>982</v>
      </c>
    </row>
    <row r="23" spans="1:34" ht="16.5" customHeight="1">
      <c r="A23" s="36" t="s">
        <v>1</v>
      </c>
      <c r="B23" s="19"/>
      <c r="C23" s="19"/>
      <c r="D23" s="19"/>
      <c r="E23" s="19"/>
      <c r="F23" s="19"/>
      <c r="G23" s="19"/>
      <c r="H23" s="19"/>
      <c r="I23" s="19"/>
      <c r="J23" s="19"/>
      <c r="K23" s="19"/>
      <c r="L23" s="19"/>
      <c r="M23" s="28"/>
      <c r="N23" s="19"/>
      <c r="O23" s="114" t="s">
        <v>1355</v>
      </c>
      <c r="P23" s="114" t="s">
        <v>1266</v>
      </c>
      <c r="Q23" s="114" t="s">
        <v>1266</v>
      </c>
      <c r="R23" s="114" t="s">
        <v>1266</v>
      </c>
      <c r="T23" s="41"/>
      <c r="V23" s="40" t="s">
        <v>7</v>
      </c>
      <c r="W23" s="40">
        <v>2</v>
      </c>
      <c r="X23" s="40" t="s">
        <v>153</v>
      </c>
      <c r="Y23" s="40">
        <v>1</v>
      </c>
      <c r="Z23" s="106">
        <v>2</v>
      </c>
      <c r="AA23" s="40" t="s">
        <v>875</v>
      </c>
      <c r="AB23" s="68">
        <v>2</v>
      </c>
      <c r="AC23" s="40" t="s">
        <v>1032</v>
      </c>
      <c r="AD23" s="64" t="s">
        <v>1346</v>
      </c>
      <c r="AE23" s="40">
        <v>14</v>
      </c>
      <c r="AF23" s="68"/>
      <c r="AG23" s="40" t="s">
        <v>1159</v>
      </c>
      <c r="AH23" s="40">
        <v>1</v>
      </c>
    </row>
    <row r="24" spans="1:34" ht="16.5" customHeight="1">
      <c r="A24" s="26" t="s">
        <v>355</v>
      </c>
      <c r="B24" s="27">
        <v>45814</v>
      </c>
      <c r="C24" s="31">
        <v>45815</v>
      </c>
      <c r="D24" s="31">
        <v>45816</v>
      </c>
      <c r="E24" s="27">
        <v>45817</v>
      </c>
      <c r="F24" s="27">
        <v>45818</v>
      </c>
      <c r="G24" s="27">
        <v>45819</v>
      </c>
      <c r="H24" s="27">
        <v>45820</v>
      </c>
      <c r="I24" s="27">
        <v>45821</v>
      </c>
      <c r="J24" s="31">
        <v>45822</v>
      </c>
      <c r="K24" s="31">
        <v>45823</v>
      </c>
      <c r="L24" s="27">
        <v>45824</v>
      </c>
      <c r="M24" s="27">
        <v>45825</v>
      </c>
      <c r="N24" s="27">
        <v>45826</v>
      </c>
      <c r="O24" s="27">
        <v>45827</v>
      </c>
      <c r="P24" s="27">
        <v>45828</v>
      </c>
      <c r="Q24" s="31">
        <v>45829</v>
      </c>
      <c r="R24" s="31">
        <v>45830</v>
      </c>
      <c r="T24" s="41"/>
      <c r="V24" s="40" t="s">
        <v>93</v>
      </c>
      <c r="W24" s="40">
        <v>2</v>
      </c>
      <c r="X24" s="40" t="s">
        <v>516</v>
      </c>
      <c r="Y24" s="40">
        <v>1</v>
      </c>
      <c r="Z24" s="105">
        <v>2</v>
      </c>
      <c r="AA24" s="40" t="s">
        <v>1186</v>
      </c>
      <c r="AB24" s="40">
        <v>1</v>
      </c>
      <c r="AC24" s="40" t="s">
        <v>1114</v>
      </c>
      <c r="AD24" s="64">
        <v>5</v>
      </c>
      <c r="AE24" s="40">
        <v>12</v>
      </c>
      <c r="AG24" s="40" t="s">
        <v>1186</v>
      </c>
      <c r="AH24" s="40">
        <v>3.9</v>
      </c>
    </row>
    <row r="25" spans="1:34" ht="16.5" customHeight="1">
      <c r="A25" s="28">
        <v>1</v>
      </c>
      <c r="B25" s="19"/>
      <c r="C25" s="108" t="s">
        <v>25</v>
      </c>
      <c r="D25" s="109" t="s">
        <v>312</v>
      </c>
      <c r="F25" s="19"/>
      <c r="G25" s="19"/>
      <c r="H25" s="19"/>
      <c r="I25" s="19"/>
      <c r="J25" s="108" t="s">
        <v>1129</v>
      </c>
      <c r="K25" s="109" t="s">
        <v>774</v>
      </c>
      <c r="L25" s="19"/>
      <c r="M25" s="19"/>
      <c r="N25" s="19"/>
      <c r="O25" s="19"/>
      <c r="P25" s="19"/>
      <c r="Q25" s="19" t="s">
        <v>1348</v>
      </c>
      <c r="R25" s="19" t="s">
        <v>1345</v>
      </c>
      <c r="T25" s="41"/>
      <c r="V25" s="40" t="s">
        <v>14</v>
      </c>
      <c r="W25" s="40">
        <v>1</v>
      </c>
      <c r="X25" s="40" t="s">
        <v>864</v>
      </c>
      <c r="Y25" s="40">
        <v>1</v>
      </c>
      <c r="Z25" s="107">
        <v>1</v>
      </c>
      <c r="AA25" s="40" t="s">
        <v>1328</v>
      </c>
      <c r="AB25" s="64">
        <v>3</v>
      </c>
      <c r="AC25" s="40" t="s">
        <v>864</v>
      </c>
      <c r="AD25" s="40">
        <v>13</v>
      </c>
      <c r="AE25" s="40">
        <v>6</v>
      </c>
      <c r="AF25" s="64"/>
      <c r="AG25" s="40" t="s">
        <v>1328</v>
      </c>
      <c r="AH25" s="64">
        <v>7</v>
      </c>
    </row>
    <row r="26" spans="1:34" ht="16.5" customHeight="1">
      <c r="A26" s="28">
        <v>2</v>
      </c>
      <c r="B26" s="19"/>
      <c r="C26" s="19" t="s">
        <v>7</v>
      </c>
      <c r="D26" s="108" t="s">
        <v>153</v>
      </c>
      <c r="E26" s="19"/>
      <c r="F26" s="19"/>
      <c r="G26" s="19"/>
      <c r="H26" s="19"/>
      <c r="I26" s="19"/>
      <c r="J26" s="19" t="s">
        <v>153</v>
      </c>
      <c r="K26" s="109" t="s">
        <v>516</v>
      </c>
      <c r="L26" s="19"/>
      <c r="M26" s="19"/>
      <c r="N26" s="19"/>
      <c r="O26" s="19"/>
      <c r="P26" s="19"/>
      <c r="Q26" s="19"/>
      <c r="R26" s="19"/>
      <c r="T26" s="41"/>
      <c r="V26" s="40" t="s">
        <v>314</v>
      </c>
      <c r="W26" s="40">
        <v>1</v>
      </c>
      <c r="X26" s="40" t="s">
        <v>1129</v>
      </c>
      <c r="Y26" s="40">
        <v>1</v>
      </c>
      <c r="Z26" s="105">
        <v>2</v>
      </c>
      <c r="AB26" s="64"/>
      <c r="AC26" s="40" t="s">
        <v>516</v>
      </c>
      <c r="AD26" s="40">
        <v>7</v>
      </c>
      <c r="AE26" s="40">
        <v>16</v>
      </c>
    </row>
    <row r="27" spans="1:34" ht="16.5" customHeight="1">
      <c r="A27" s="28">
        <v>3</v>
      </c>
      <c r="B27" s="19"/>
      <c r="C27" s="19" t="s">
        <v>1157</v>
      </c>
      <c r="D27" s="19" t="s">
        <v>1065</v>
      </c>
      <c r="E27" s="19"/>
      <c r="F27" s="19"/>
      <c r="G27" s="19"/>
      <c r="H27" s="19"/>
      <c r="I27" s="19"/>
      <c r="J27" s="19" t="s">
        <v>37</v>
      </c>
      <c r="K27" s="19" t="s">
        <v>1328</v>
      </c>
      <c r="L27" s="19"/>
      <c r="M27" s="19"/>
      <c r="N27" s="19"/>
      <c r="O27" s="19"/>
      <c r="P27" s="19"/>
      <c r="Q27" s="19"/>
      <c r="R27" s="19"/>
      <c r="T27" s="41"/>
      <c r="X27" s="40" t="s">
        <v>1032</v>
      </c>
      <c r="Y27" s="40">
        <v>0</v>
      </c>
      <c r="Z27" s="105">
        <v>0</v>
      </c>
      <c r="AC27" s="40" t="s">
        <v>153</v>
      </c>
      <c r="AD27" s="40">
        <v>15</v>
      </c>
      <c r="AE27" s="40">
        <v>8</v>
      </c>
    </row>
    <row r="28" spans="1:34" ht="16.5" customHeight="1">
      <c r="A28" s="28" t="s">
        <v>20</v>
      </c>
      <c r="B28" s="108" t="s">
        <v>1129</v>
      </c>
      <c r="C28" s="108" t="s">
        <v>1266</v>
      </c>
      <c r="D28" s="108" t="s">
        <v>1266</v>
      </c>
      <c r="E28" s="109" t="s">
        <v>864</v>
      </c>
      <c r="F28" s="109" t="s">
        <v>13</v>
      </c>
      <c r="G28" s="109" t="s">
        <v>13</v>
      </c>
      <c r="H28" s="109" t="s">
        <v>13</v>
      </c>
      <c r="I28" s="108" t="s">
        <v>1032</v>
      </c>
      <c r="J28" s="108" t="s">
        <v>1266</v>
      </c>
      <c r="K28" s="108" t="s">
        <v>1266</v>
      </c>
      <c r="L28" s="109" t="s">
        <v>153</v>
      </c>
      <c r="M28" s="109" t="s">
        <v>13</v>
      </c>
      <c r="N28" s="109" t="s">
        <v>13</v>
      </c>
      <c r="O28" s="109" t="s">
        <v>13</v>
      </c>
      <c r="P28" s="108" t="s">
        <v>516</v>
      </c>
      <c r="Q28" s="108" t="s">
        <v>1266</v>
      </c>
      <c r="R28" s="108" t="s">
        <v>1266</v>
      </c>
      <c r="T28" s="41"/>
      <c r="Z28" s="105"/>
    </row>
    <row r="29" spans="1:34" ht="16.5" customHeight="1">
      <c r="A29" s="28" t="s">
        <v>0</v>
      </c>
      <c r="B29" s="112" t="s">
        <v>1328</v>
      </c>
      <c r="C29" s="112" t="s">
        <v>13</v>
      </c>
      <c r="D29" s="112" t="s">
        <v>13</v>
      </c>
      <c r="E29" s="19" t="s">
        <v>356</v>
      </c>
      <c r="F29" s="19" t="s">
        <v>13</v>
      </c>
      <c r="G29" s="19" t="s">
        <v>13</v>
      </c>
      <c r="H29" s="19" t="s">
        <v>13</v>
      </c>
      <c r="I29" s="19" t="s">
        <v>13</v>
      </c>
      <c r="J29" s="19" t="s">
        <v>13</v>
      </c>
      <c r="K29" s="19" t="s">
        <v>13</v>
      </c>
      <c r="L29" s="19" t="s">
        <v>1186</v>
      </c>
      <c r="M29" s="19" t="s">
        <v>13</v>
      </c>
      <c r="N29" s="19" t="s">
        <v>13</v>
      </c>
      <c r="O29" s="19" t="s">
        <v>13</v>
      </c>
      <c r="P29" s="19" t="s">
        <v>13</v>
      </c>
      <c r="Q29" s="19" t="s">
        <v>13</v>
      </c>
      <c r="R29" s="19" t="s">
        <v>13</v>
      </c>
      <c r="T29" s="41"/>
    </row>
    <row r="30" spans="1:34" ht="16.5" customHeight="1">
      <c r="A30" s="28" t="s">
        <v>1</v>
      </c>
      <c r="B30" s="114" t="s">
        <v>1355</v>
      </c>
      <c r="C30" s="114" t="s">
        <v>1266</v>
      </c>
      <c r="D30" s="114" t="s">
        <v>1266</v>
      </c>
      <c r="E30" s="19"/>
      <c r="F30" s="19"/>
      <c r="G30" s="19"/>
      <c r="H30" s="19"/>
      <c r="I30" s="19"/>
      <c r="J30" s="19"/>
      <c r="K30" s="19"/>
      <c r="L30" s="19"/>
      <c r="M30" s="19"/>
      <c r="N30" s="19"/>
      <c r="O30" s="19"/>
      <c r="P30" s="19"/>
      <c r="Q30" s="19"/>
      <c r="R30" s="19"/>
      <c r="T30" s="41"/>
      <c r="V30" s="40" t="s">
        <v>841</v>
      </c>
      <c r="W30" s="40">
        <f>SUM(W18:W28)</f>
        <v>9</v>
      </c>
      <c r="Y30" s="40">
        <f>SUM(Y18:Y29)</f>
        <v>7</v>
      </c>
      <c r="Z30" s="40">
        <f>SUM(Z18:Z29)</f>
        <v>12</v>
      </c>
      <c r="AB30" s="40">
        <f>SUM(AB16:AB28)</f>
        <v>15</v>
      </c>
    </row>
    <row r="31" spans="1:34" ht="16.5" customHeight="1">
      <c r="A31" s="111" t="s">
        <v>1323</v>
      </c>
      <c r="B31" s="111"/>
      <c r="C31" s="111"/>
      <c r="D31" s="111"/>
      <c r="E31" s="111"/>
      <c r="F31" s="111"/>
      <c r="G31" s="111"/>
      <c r="H31" s="111"/>
      <c r="I31" s="111"/>
      <c r="J31" s="111"/>
      <c r="K31" s="111"/>
      <c r="L31" s="111"/>
      <c r="M31" s="111"/>
      <c r="N31" s="111"/>
      <c r="O31" s="111"/>
      <c r="P31" s="111"/>
      <c r="Q31" s="145" t="s">
        <v>82</v>
      </c>
      <c r="R31" s="145"/>
      <c r="T31" s="41"/>
    </row>
    <row r="32" spans="1:34" ht="16.5" customHeight="1">
      <c r="A32" s="111" t="s">
        <v>1322</v>
      </c>
      <c r="B32" s="111"/>
      <c r="C32" s="111"/>
      <c r="D32" s="111"/>
      <c r="E32" s="111"/>
      <c r="F32" s="111"/>
      <c r="G32" s="111"/>
      <c r="H32" s="111"/>
      <c r="I32" s="111"/>
      <c r="J32" s="111"/>
      <c r="K32" s="111"/>
      <c r="L32" s="111"/>
      <c r="M32" s="111"/>
      <c r="N32" s="111"/>
      <c r="O32" s="111"/>
      <c r="P32" s="111"/>
      <c r="Q32" s="85"/>
      <c r="R32" s="85"/>
      <c r="T32" s="41"/>
      <c r="V32" s="40" t="s">
        <v>1324</v>
      </c>
      <c r="W32" s="40">
        <f>SUM(W30,Y30,Z30)</f>
        <v>28</v>
      </c>
    </row>
    <row r="33" spans="1:25" ht="16.5" customHeight="1">
      <c r="T33" s="41"/>
    </row>
    <row r="34" spans="1:25" ht="16.5" customHeight="1">
      <c r="R34" s="43"/>
    </row>
    <row r="35" spans="1:25" ht="16.5" customHeight="1">
      <c r="R35" s="55"/>
    </row>
    <row r="36" spans="1:25" ht="12.75" customHeight="1">
      <c r="R36" s="55"/>
      <c r="T36" s="41"/>
    </row>
    <row r="37" spans="1:25">
      <c r="A37" s="40" t="s">
        <v>322</v>
      </c>
      <c r="B37" s="49"/>
      <c r="C37" s="49"/>
      <c r="D37" s="49"/>
      <c r="E37" s="49"/>
      <c r="F37" s="49"/>
      <c r="G37" s="49"/>
      <c r="H37" s="55"/>
      <c r="I37" s="49"/>
      <c r="J37" s="49"/>
      <c r="K37" s="49"/>
      <c r="L37" s="49"/>
      <c r="M37" s="49"/>
      <c r="N37" s="49"/>
      <c r="O37" s="49"/>
      <c r="R37" s="55"/>
      <c r="T37" s="41"/>
    </row>
    <row r="38" spans="1:25">
      <c r="A38" s="49" t="s">
        <v>1062</v>
      </c>
      <c r="B38" s="49" t="s">
        <v>1063</v>
      </c>
      <c r="C38" s="49"/>
      <c r="D38" s="49"/>
      <c r="E38" s="49"/>
      <c r="F38" s="49"/>
      <c r="G38" s="49" t="s">
        <v>1000</v>
      </c>
      <c r="H38" s="49"/>
      <c r="I38" s="55"/>
      <c r="J38" s="55"/>
      <c r="K38" s="55" t="s">
        <v>1108</v>
      </c>
      <c r="L38" s="55"/>
      <c r="M38" s="55"/>
      <c r="N38" s="55"/>
      <c r="O38" s="55"/>
      <c r="P38" s="43"/>
      <c r="Q38" s="43"/>
      <c r="R38" s="55"/>
      <c r="T38" s="41"/>
    </row>
    <row r="39" spans="1:25">
      <c r="A39" s="90" t="s">
        <v>1140</v>
      </c>
      <c r="B39" s="50"/>
      <c r="C39" s="49"/>
      <c r="D39" s="49"/>
      <c r="E39" s="49"/>
      <c r="F39" s="49"/>
      <c r="G39" s="95" t="s">
        <v>1140</v>
      </c>
      <c r="H39" s="49"/>
      <c r="I39" s="55"/>
      <c r="J39" s="55"/>
      <c r="K39" s="55" t="s">
        <v>1352</v>
      </c>
      <c r="L39" s="55"/>
      <c r="M39" s="55"/>
      <c r="N39" s="55"/>
      <c r="O39" s="55"/>
      <c r="P39" s="55"/>
      <c r="Q39" s="55"/>
      <c r="R39" s="55"/>
      <c r="S39" s="49"/>
      <c r="T39" s="72"/>
      <c r="U39" s="71"/>
      <c r="V39" s="71"/>
      <c r="W39" s="71"/>
      <c r="X39" s="71"/>
      <c r="Y39" s="71"/>
    </row>
    <row r="40" spans="1:25">
      <c r="A40" s="84" t="s">
        <v>1332</v>
      </c>
      <c r="B40" s="50"/>
      <c r="C40" s="76"/>
      <c r="D40" s="49"/>
      <c r="E40" s="49"/>
      <c r="F40" s="49"/>
      <c r="G40" s="98" t="s">
        <v>1340</v>
      </c>
      <c r="H40" s="49"/>
      <c r="I40" s="55"/>
      <c r="J40" s="55"/>
      <c r="K40" s="55" t="s">
        <v>1130</v>
      </c>
      <c r="L40" s="55"/>
      <c r="M40" s="55"/>
      <c r="N40" s="55"/>
      <c r="O40" s="55"/>
      <c r="P40" s="55"/>
      <c r="Q40" s="55"/>
      <c r="R40" s="55"/>
      <c r="S40" s="49"/>
      <c r="T40" s="72"/>
      <c r="U40" s="71"/>
      <c r="V40" s="71"/>
      <c r="W40" s="71"/>
      <c r="X40" s="71"/>
      <c r="Y40" s="71"/>
    </row>
    <row r="41" spans="1:25">
      <c r="A41" s="83" t="s">
        <v>1233</v>
      </c>
      <c r="B41" s="49"/>
      <c r="C41" s="49"/>
      <c r="D41" s="49"/>
      <c r="E41" s="49"/>
      <c r="F41" s="76"/>
      <c r="G41" s="83" t="s">
        <v>1048</v>
      </c>
      <c r="H41" s="49"/>
      <c r="I41" s="55"/>
      <c r="J41" s="55"/>
      <c r="K41" s="77" t="s">
        <v>1261</v>
      </c>
      <c r="L41" s="55"/>
      <c r="M41" s="55"/>
      <c r="N41" s="55"/>
      <c r="O41" s="55"/>
      <c r="P41" s="55"/>
      <c r="Q41" s="55"/>
      <c r="R41" s="55"/>
      <c r="S41" s="49"/>
      <c r="T41" s="71"/>
      <c r="U41" s="71"/>
      <c r="V41" s="71"/>
      <c r="W41" s="71"/>
      <c r="X41" s="71"/>
      <c r="Y41" s="71"/>
    </row>
    <row r="42" spans="1:25">
      <c r="A42" s="84" t="s">
        <v>1333</v>
      </c>
      <c r="B42" s="49"/>
      <c r="C42" s="49"/>
      <c r="D42" s="49"/>
      <c r="E42" s="49"/>
      <c r="F42" s="77"/>
      <c r="G42" s="98">
        <v>45814</v>
      </c>
      <c r="H42" s="49"/>
      <c r="I42" s="55"/>
      <c r="J42" s="55"/>
      <c r="K42" s="55" t="s">
        <v>1177</v>
      </c>
      <c r="L42" s="55"/>
      <c r="M42" s="55"/>
      <c r="N42" s="55"/>
      <c r="O42" s="55"/>
      <c r="P42" s="55"/>
      <c r="Q42" s="55"/>
      <c r="R42" s="55"/>
      <c r="S42" s="49"/>
      <c r="T42" s="71"/>
      <c r="U42" s="71"/>
      <c r="V42" s="71"/>
      <c r="W42" s="71"/>
      <c r="X42" s="71"/>
      <c r="Y42" s="71"/>
    </row>
    <row r="43" spans="1:25">
      <c r="A43" s="90" t="s">
        <v>1048</v>
      </c>
      <c r="B43" s="49"/>
      <c r="C43" s="49"/>
      <c r="D43" s="49"/>
      <c r="E43" s="49"/>
      <c r="F43" s="77"/>
      <c r="G43" s="90" t="s">
        <v>1142</v>
      </c>
      <c r="H43" s="49"/>
      <c r="I43" s="55"/>
      <c r="J43" s="55"/>
      <c r="K43" s="55"/>
      <c r="L43" s="55"/>
      <c r="M43" s="55"/>
      <c r="N43" s="55"/>
      <c r="O43" s="55"/>
      <c r="P43" s="55"/>
      <c r="Q43" s="55"/>
      <c r="R43" s="55"/>
      <c r="S43" s="49"/>
      <c r="T43" s="72"/>
      <c r="U43" s="71"/>
      <c r="V43" s="71"/>
      <c r="W43" s="71"/>
      <c r="X43" s="71"/>
      <c r="Y43" s="71"/>
    </row>
    <row r="44" spans="1:25">
      <c r="A44" s="84" t="s">
        <v>1334</v>
      </c>
      <c r="B44" s="49"/>
      <c r="C44" s="49"/>
      <c r="D44" s="49"/>
      <c r="E44" s="49"/>
      <c r="F44" s="77"/>
      <c r="G44" s="93" t="s">
        <v>1341</v>
      </c>
      <c r="H44" s="49"/>
      <c r="I44" s="55"/>
      <c r="J44" s="55"/>
      <c r="K44" s="55"/>
      <c r="L44" s="55"/>
      <c r="M44" s="55"/>
      <c r="N44" s="55"/>
      <c r="O44" s="55"/>
      <c r="P44" s="55"/>
      <c r="Q44" s="55"/>
      <c r="R44" s="55"/>
      <c r="S44" s="49"/>
      <c r="T44" s="72"/>
      <c r="U44" s="71"/>
      <c r="V44" s="71"/>
      <c r="W44" s="71"/>
      <c r="X44" s="71"/>
      <c r="Y44" s="71"/>
    </row>
    <row r="45" spans="1:25">
      <c r="A45" s="90" t="s">
        <v>1141</v>
      </c>
      <c r="B45" s="49"/>
      <c r="C45" s="49"/>
      <c r="D45" s="49"/>
      <c r="E45" s="49"/>
      <c r="F45" s="77"/>
      <c r="G45" s="83" t="s">
        <v>1052</v>
      </c>
      <c r="H45" s="49"/>
      <c r="I45" s="55"/>
      <c r="J45" s="55"/>
      <c r="K45" s="55"/>
      <c r="L45" s="55"/>
      <c r="M45" s="55"/>
      <c r="N45" s="55"/>
      <c r="O45" s="55"/>
      <c r="P45" s="55"/>
      <c r="Q45" s="55"/>
      <c r="R45" s="55"/>
      <c r="S45" s="49"/>
      <c r="T45" s="72"/>
      <c r="U45" s="71"/>
      <c r="V45" s="71"/>
      <c r="W45" s="71"/>
      <c r="X45" s="71"/>
      <c r="Y45" s="71"/>
    </row>
    <row r="46" spans="1:25">
      <c r="A46" s="84" t="s">
        <v>1335</v>
      </c>
      <c r="B46" s="49"/>
      <c r="C46" s="76"/>
      <c r="D46" s="49"/>
      <c r="E46" s="49"/>
      <c r="F46" s="49"/>
      <c r="G46" s="103" t="s">
        <v>1342</v>
      </c>
      <c r="H46" s="49"/>
      <c r="I46" s="55"/>
      <c r="J46" s="55"/>
      <c r="K46" s="55"/>
      <c r="L46" s="55"/>
      <c r="M46" s="55"/>
      <c r="N46" s="55"/>
      <c r="O46" s="55"/>
      <c r="P46" s="55"/>
      <c r="Q46" s="55"/>
      <c r="R46" s="55"/>
      <c r="S46" s="49"/>
      <c r="T46" s="71"/>
      <c r="U46" s="71"/>
      <c r="V46" s="71"/>
      <c r="W46" s="71"/>
      <c r="X46" s="71"/>
      <c r="Y46" s="71"/>
    </row>
    <row r="47" spans="1:25">
      <c r="A47" s="90" t="s">
        <v>1142</v>
      </c>
      <c r="B47" s="49"/>
      <c r="C47" s="49"/>
      <c r="D47" s="49"/>
      <c r="E47" s="49"/>
      <c r="F47" s="77"/>
      <c r="G47" s="95"/>
      <c r="H47" s="49"/>
      <c r="I47" s="55"/>
      <c r="J47" s="55"/>
      <c r="K47" s="55"/>
      <c r="L47" s="55"/>
      <c r="M47" s="55"/>
      <c r="N47" s="55"/>
      <c r="O47" s="55"/>
      <c r="P47" s="55"/>
      <c r="Q47" s="55"/>
      <c r="R47" s="55"/>
      <c r="S47" s="49"/>
      <c r="T47" s="72"/>
      <c r="U47" s="71"/>
      <c r="V47" s="71"/>
      <c r="W47" s="71"/>
      <c r="X47" s="71"/>
      <c r="Y47" s="71"/>
    </row>
    <row r="48" spans="1:25">
      <c r="A48" s="84" t="s">
        <v>1336</v>
      </c>
      <c r="B48" s="49"/>
      <c r="C48" s="49"/>
      <c r="D48" s="49"/>
      <c r="E48" s="49"/>
      <c r="F48" s="77"/>
      <c r="G48" s="115"/>
      <c r="H48" s="49"/>
      <c r="I48" s="55"/>
      <c r="J48" s="55"/>
      <c r="K48" s="55"/>
      <c r="L48" s="55"/>
      <c r="M48" s="55"/>
      <c r="N48" s="55"/>
      <c r="O48" s="55"/>
      <c r="P48" s="55"/>
      <c r="Q48" s="55"/>
      <c r="R48" s="55"/>
      <c r="S48" s="49"/>
      <c r="T48" s="72"/>
      <c r="U48" s="71"/>
      <c r="V48" s="71"/>
      <c r="W48" s="71"/>
      <c r="X48" s="71"/>
      <c r="Y48" s="71"/>
    </row>
    <row r="49" spans="1:25">
      <c r="A49" s="95" t="s">
        <v>1052</v>
      </c>
      <c r="B49" s="49"/>
      <c r="C49" s="49"/>
      <c r="D49" s="49"/>
      <c r="E49" s="49"/>
      <c r="F49" s="77"/>
      <c r="G49" s="83"/>
      <c r="H49" s="49"/>
      <c r="I49" s="55"/>
      <c r="J49" s="55"/>
      <c r="K49" s="55"/>
      <c r="L49" s="55"/>
      <c r="M49" s="55"/>
      <c r="N49" s="55"/>
      <c r="O49" s="55"/>
      <c r="P49" s="55"/>
      <c r="Q49" s="55"/>
      <c r="R49" s="49"/>
      <c r="S49" s="49"/>
      <c r="T49" s="72"/>
      <c r="U49" s="71"/>
      <c r="V49" s="71"/>
      <c r="W49" s="71"/>
      <c r="X49" s="71"/>
      <c r="Y49" s="71"/>
    </row>
    <row r="50" spans="1:25">
      <c r="A50" s="104" t="s">
        <v>1337</v>
      </c>
      <c r="B50" s="49"/>
      <c r="C50" s="49"/>
      <c r="D50" s="49"/>
      <c r="E50" s="49"/>
      <c r="F50" s="49"/>
      <c r="G50" s="91"/>
      <c r="H50" s="49"/>
      <c r="I50" s="55"/>
      <c r="J50" s="55"/>
      <c r="K50" s="55"/>
      <c r="L50" s="55"/>
      <c r="M50" s="55"/>
      <c r="N50" s="55"/>
      <c r="O50" s="55"/>
      <c r="P50" s="55"/>
      <c r="Q50" s="55"/>
      <c r="R50" s="49"/>
      <c r="S50" s="49"/>
      <c r="T50" s="71"/>
      <c r="U50" s="71"/>
      <c r="V50" s="71"/>
      <c r="W50" s="71"/>
      <c r="X50" s="71"/>
      <c r="Y50" s="71"/>
    </row>
    <row r="51" spans="1:25">
      <c r="A51" s="95" t="s">
        <v>1338</v>
      </c>
      <c r="B51" s="49"/>
      <c r="C51" s="49"/>
      <c r="D51" s="49"/>
      <c r="E51" s="49"/>
      <c r="F51" s="77"/>
      <c r="G51" s="88"/>
      <c r="H51" s="49"/>
      <c r="I51" s="55"/>
      <c r="J51" s="55"/>
      <c r="K51" s="55"/>
      <c r="L51" s="55"/>
      <c r="M51" s="55"/>
      <c r="N51" s="55"/>
      <c r="O51" s="55"/>
      <c r="P51" s="55"/>
      <c r="Q51" s="55"/>
      <c r="R51" s="49"/>
      <c r="S51" s="49"/>
      <c r="T51" s="71"/>
      <c r="U51" s="71"/>
      <c r="V51" s="71"/>
      <c r="W51" s="71"/>
      <c r="X51" s="71"/>
      <c r="Y51" s="71"/>
    </row>
    <row r="52" spans="1:25">
      <c r="A52" s="104" t="s">
        <v>1339</v>
      </c>
      <c r="B52" s="49"/>
      <c r="C52" s="49"/>
      <c r="D52" s="49"/>
      <c r="E52" s="49"/>
      <c r="F52" s="49"/>
      <c r="G52" s="87"/>
      <c r="H52" s="49"/>
      <c r="I52" s="55"/>
      <c r="J52" s="55"/>
      <c r="K52" s="55"/>
      <c r="L52" s="55"/>
      <c r="M52" s="55"/>
      <c r="N52" s="55"/>
      <c r="O52" s="55"/>
      <c r="P52" s="55"/>
      <c r="Q52" s="55"/>
      <c r="R52" s="49"/>
      <c r="S52" s="49"/>
      <c r="T52" s="71"/>
      <c r="U52" s="71"/>
      <c r="V52" s="71"/>
      <c r="W52" s="71"/>
      <c r="X52" s="71"/>
      <c r="Y52" s="71"/>
    </row>
    <row r="53" spans="1:25">
      <c r="A53" s="90" t="s">
        <v>1357</v>
      </c>
      <c r="B53" s="49"/>
      <c r="C53" s="49"/>
      <c r="D53" s="49"/>
      <c r="E53" s="49"/>
      <c r="F53" s="49"/>
      <c r="G53" s="88"/>
      <c r="H53" s="49"/>
      <c r="I53" s="49"/>
      <c r="J53" s="49"/>
      <c r="K53" s="49"/>
      <c r="L53" s="49"/>
      <c r="M53" s="49"/>
      <c r="N53" s="49"/>
      <c r="O53" s="49"/>
      <c r="P53" s="49"/>
      <c r="Q53" s="49"/>
      <c r="R53" s="49"/>
      <c r="S53" s="49"/>
      <c r="T53" s="71"/>
      <c r="U53" s="71"/>
      <c r="V53" s="71"/>
      <c r="W53" s="71"/>
      <c r="X53" s="71"/>
      <c r="Y53" s="71"/>
    </row>
    <row r="54" spans="1:25">
      <c r="A54" s="91" t="s">
        <v>1358</v>
      </c>
      <c r="B54" s="49"/>
      <c r="C54" s="49"/>
      <c r="D54" s="49"/>
      <c r="E54" s="49"/>
      <c r="F54" s="49"/>
      <c r="G54" s="87"/>
      <c r="H54" s="49"/>
      <c r="I54" s="49"/>
      <c r="J54" s="49"/>
      <c r="K54" s="49"/>
      <c r="L54" s="49"/>
      <c r="M54" s="49"/>
      <c r="N54" s="49"/>
      <c r="O54" s="49"/>
      <c r="P54" s="49"/>
      <c r="Q54" s="49"/>
      <c r="R54" s="49"/>
      <c r="S54" s="49"/>
      <c r="T54" s="71"/>
      <c r="U54" s="71"/>
      <c r="V54" s="71"/>
      <c r="W54" s="71"/>
      <c r="X54" s="71"/>
      <c r="Y54" s="71"/>
    </row>
    <row r="55" spans="1:25">
      <c r="A55" s="95" t="s">
        <v>1356</v>
      </c>
      <c r="B55" s="73"/>
      <c r="C55" s="49"/>
      <c r="D55" s="49"/>
      <c r="E55" s="49"/>
      <c r="F55" s="76"/>
      <c r="G55" s="49"/>
      <c r="H55" s="49"/>
      <c r="I55" s="49"/>
      <c r="J55" s="49"/>
      <c r="K55" s="49"/>
      <c r="L55" s="49"/>
      <c r="M55" s="49"/>
      <c r="N55" s="49"/>
      <c r="O55" s="49"/>
      <c r="P55" s="49"/>
      <c r="Q55" s="49"/>
      <c r="R55" s="49"/>
      <c r="S55" s="49"/>
      <c r="T55" s="71"/>
      <c r="U55" s="71"/>
      <c r="V55" s="71"/>
      <c r="W55" s="71"/>
      <c r="X55" s="71"/>
      <c r="Y55" s="71"/>
    </row>
    <row r="56" spans="1:25">
      <c r="A56" s="91" t="s">
        <v>1353</v>
      </c>
      <c r="B56" s="49"/>
      <c r="C56" s="49"/>
      <c r="D56" s="49"/>
      <c r="E56" s="49"/>
      <c r="F56" s="49"/>
      <c r="G56" s="49"/>
      <c r="H56" s="49"/>
      <c r="I56" s="49"/>
      <c r="J56" s="49"/>
      <c r="K56" s="49"/>
      <c r="L56" s="49"/>
      <c r="M56" s="49"/>
      <c r="N56" s="49"/>
      <c r="O56" s="49"/>
      <c r="P56" s="49"/>
      <c r="Q56" s="49"/>
      <c r="R56" s="49"/>
      <c r="S56" s="49"/>
      <c r="T56" s="71"/>
      <c r="U56" s="71"/>
      <c r="V56" s="71"/>
      <c r="W56" s="71"/>
      <c r="X56" s="71"/>
      <c r="Y56" s="71"/>
    </row>
    <row r="57" spans="1:25">
      <c r="A57" s="101"/>
      <c r="B57" s="49"/>
      <c r="C57" s="49"/>
      <c r="D57" s="49"/>
      <c r="E57" s="49"/>
      <c r="F57" s="49"/>
      <c r="G57" s="49"/>
      <c r="H57" s="49"/>
      <c r="I57" s="49"/>
      <c r="J57" s="49"/>
      <c r="K57" s="49"/>
      <c r="L57" s="49"/>
      <c r="M57" s="49"/>
      <c r="N57" s="49"/>
      <c r="O57" s="49"/>
      <c r="P57" s="49"/>
      <c r="Q57" s="49"/>
      <c r="R57" s="49"/>
      <c r="S57" s="49"/>
      <c r="T57" s="71"/>
      <c r="U57" s="71"/>
      <c r="V57" s="71"/>
      <c r="W57" s="71"/>
      <c r="X57" s="71"/>
      <c r="Y57" s="71"/>
    </row>
    <row r="58" spans="1:25">
      <c r="A58" s="102"/>
      <c r="B58" s="49"/>
      <c r="C58" s="49"/>
      <c r="D58" s="49"/>
      <c r="E58" s="49"/>
      <c r="F58" s="49"/>
      <c r="G58" s="49"/>
      <c r="H58" s="49"/>
      <c r="I58" s="49"/>
      <c r="J58" s="49"/>
      <c r="K58" s="49"/>
      <c r="L58" s="49"/>
      <c r="M58" s="49"/>
      <c r="N58" s="49"/>
      <c r="O58" s="49"/>
      <c r="P58" s="49"/>
      <c r="Q58" s="49"/>
      <c r="R58" s="49"/>
      <c r="S58" s="49"/>
      <c r="T58" s="71"/>
      <c r="U58" s="71"/>
      <c r="V58" s="71"/>
      <c r="W58" s="71"/>
      <c r="X58" s="71"/>
      <c r="Y58" s="71"/>
    </row>
    <row r="59" spans="1:25">
      <c r="A59" s="49"/>
      <c r="B59" s="49"/>
      <c r="C59" s="49"/>
      <c r="D59" s="49"/>
      <c r="E59" s="49"/>
      <c r="F59" s="49"/>
      <c r="G59" s="49"/>
      <c r="H59" s="49"/>
      <c r="I59" s="49"/>
      <c r="J59" s="49"/>
      <c r="K59" s="49"/>
      <c r="L59" s="49"/>
      <c r="M59" s="49"/>
      <c r="N59" s="49"/>
      <c r="O59" s="49"/>
      <c r="P59" s="49"/>
      <c r="Q59" s="49"/>
      <c r="R59" s="49"/>
      <c r="S59" s="49"/>
      <c r="T59" s="71"/>
      <c r="U59" s="71"/>
      <c r="V59" s="71"/>
      <c r="W59" s="71"/>
      <c r="X59" s="71"/>
      <c r="Y59" s="71"/>
    </row>
    <row r="60" spans="1:25">
      <c r="A60" s="96"/>
      <c r="B60" s="49"/>
      <c r="C60" s="49"/>
      <c r="D60" s="49"/>
      <c r="E60" s="49"/>
      <c r="F60" s="49"/>
      <c r="G60" s="49"/>
      <c r="H60" s="49"/>
      <c r="I60" s="49"/>
      <c r="J60" s="49"/>
      <c r="K60" s="49"/>
      <c r="L60" s="49"/>
      <c r="M60" s="49"/>
      <c r="N60" s="49"/>
      <c r="O60" s="49"/>
      <c r="P60" s="49"/>
      <c r="Q60" s="49"/>
      <c r="R60" s="49"/>
      <c r="S60" s="49"/>
      <c r="T60" s="71"/>
      <c r="U60" s="71"/>
      <c r="V60" s="71"/>
      <c r="W60" s="71"/>
      <c r="X60" s="71"/>
      <c r="Y60" s="71"/>
    </row>
    <row r="61" spans="1:25">
      <c r="A61" s="76"/>
      <c r="B61" s="73"/>
      <c r="C61" s="73"/>
      <c r="D61" s="73"/>
      <c r="E61" s="73"/>
      <c r="F61" s="73"/>
      <c r="G61" s="73"/>
      <c r="H61" s="73"/>
      <c r="I61" s="73"/>
      <c r="J61" s="73"/>
      <c r="K61" s="73"/>
      <c r="L61" s="73"/>
      <c r="M61" s="73"/>
      <c r="N61" s="73"/>
      <c r="O61" s="73"/>
      <c r="P61" s="73"/>
      <c r="Q61" s="73"/>
      <c r="R61" s="73"/>
      <c r="S61" s="49"/>
      <c r="T61" s="71"/>
      <c r="U61" s="71"/>
      <c r="V61" s="71"/>
      <c r="W61" s="71"/>
      <c r="X61" s="71"/>
      <c r="Y61" s="71"/>
    </row>
    <row r="62" spans="1:25">
      <c r="A62" s="49"/>
      <c r="B62" s="73"/>
      <c r="C62" s="73"/>
      <c r="D62" s="73"/>
      <c r="E62" s="73"/>
      <c r="F62" s="73"/>
      <c r="G62" s="73"/>
      <c r="H62" s="73"/>
      <c r="I62" s="73"/>
      <c r="J62" s="73"/>
      <c r="K62" s="73"/>
      <c r="L62" s="73"/>
      <c r="M62" s="73"/>
      <c r="N62" s="73"/>
      <c r="O62" s="73"/>
      <c r="P62" s="73"/>
      <c r="Q62" s="73"/>
      <c r="R62" s="73"/>
      <c r="S62" s="49"/>
      <c r="T62" s="71"/>
      <c r="U62" s="71"/>
      <c r="V62" s="71"/>
      <c r="W62" s="71"/>
      <c r="X62" s="71"/>
      <c r="Y62" s="71"/>
    </row>
    <row r="63" spans="1:25">
      <c r="A63" s="73"/>
      <c r="B63" s="73"/>
      <c r="C63" s="73"/>
      <c r="D63" s="73"/>
      <c r="E63" s="73"/>
      <c r="F63" s="73"/>
      <c r="G63" s="73"/>
      <c r="H63" s="73"/>
      <c r="I63" s="73"/>
      <c r="J63" s="73"/>
      <c r="K63" s="73"/>
      <c r="L63" s="73"/>
      <c r="M63" s="73"/>
      <c r="N63" s="73"/>
      <c r="O63" s="73"/>
      <c r="P63" s="73"/>
      <c r="Q63" s="73"/>
      <c r="R63" s="73"/>
      <c r="S63" s="49"/>
      <c r="T63" s="71"/>
      <c r="U63" s="71"/>
      <c r="V63" s="71"/>
      <c r="W63" s="71"/>
      <c r="X63" s="71"/>
      <c r="Y63" s="71"/>
    </row>
    <row r="64" spans="1:25">
      <c r="A64" s="49"/>
      <c r="B64" s="73"/>
      <c r="C64" s="73"/>
      <c r="D64" s="73"/>
      <c r="E64" s="73"/>
      <c r="F64" s="73"/>
      <c r="G64" s="73"/>
      <c r="H64" s="73"/>
      <c r="I64" s="73"/>
      <c r="J64" s="73"/>
      <c r="K64" s="73"/>
      <c r="L64" s="73"/>
      <c r="M64" s="73"/>
      <c r="N64" s="73"/>
      <c r="O64" s="73"/>
      <c r="P64" s="73"/>
      <c r="Q64" s="73"/>
      <c r="R64" s="73"/>
      <c r="S64" s="49"/>
      <c r="T64" s="71"/>
      <c r="U64" s="71"/>
      <c r="V64" s="71"/>
      <c r="W64" s="71"/>
      <c r="X64" s="71"/>
      <c r="Y64" s="71"/>
    </row>
    <row r="65" spans="1:19">
      <c r="A65" s="73"/>
      <c r="B65" s="73"/>
      <c r="C65" s="73"/>
      <c r="D65" s="73"/>
      <c r="E65" s="73"/>
      <c r="F65" s="73"/>
      <c r="G65" s="73"/>
      <c r="H65" s="73"/>
      <c r="I65" s="73"/>
      <c r="J65" s="73"/>
      <c r="K65" s="73"/>
      <c r="L65" s="73"/>
      <c r="M65" s="73"/>
      <c r="N65" s="73"/>
      <c r="O65" s="73"/>
      <c r="P65" s="73"/>
      <c r="Q65" s="73"/>
      <c r="R65" s="73"/>
      <c r="S65" s="73"/>
    </row>
    <row r="66" spans="1:19">
      <c r="A66" s="73"/>
      <c r="B66" s="73"/>
      <c r="C66" s="73"/>
      <c r="D66" s="73"/>
      <c r="E66" s="73"/>
      <c r="F66" s="73"/>
      <c r="G66" s="73"/>
      <c r="H66" s="73"/>
      <c r="I66" s="73"/>
      <c r="J66" s="73"/>
      <c r="K66" s="73"/>
      <c r="L66" s="73"/>
      <c r="M66" s="73"/>
      <c r="N66" s="73"/>
      <c r="O66" s="73"/>
      <c r="P66" s="73"/>
      <c r="Q66" s="73"/>
      <c r="R66" s="73"/>
      <c r="S66" s="73"/>
    </row>
    <row r="67" spans="1:19">
      <c r="A67" s="73"/>
      <c r="B67" s="73"/>
      <c r="C67" s="73"/>
      <c r="D67" s="73"/>
      <c r="E67" s="73"/>
      <c r="F67" s="73"/>
      <c r="G67" s="73"/>
      <c r="H67" s="73"/>
      <c r="I67" s="73"/>
      <c r="J67" s="73"/>
      <c r="K67" s="73"/>
      <c r="L67" s="73"/>
      <c r="M67" s="73"/>
      <c r="N67" s="73"/>
      <c r="O67" s="73"/>
      <c r="P67" s="73"/>
      <c r="Q67" s="73"/>
      <c r="R67" s="73"/>
      <c r="S67" s="73"/>
    </row>
    <row r="68" spans="1:19">
      <c r="A68" s="73"/>
      <c r="B68" s="73"/>
      <c r="C68" s="73"/>
      <c r="D68" s="73"/>
      <c r="E68" s="73"/>
      <c r="F68" s="73"/>
      <c r="G68" s="73"/>
      <c r="H68" s="73"/>
      <c r="I68" s="73"/>
      <c r="J68" s="73"/>
      <c r="K68" s="73"/>
      <c r="L68" s="73"/>
      <c r="M68" s="73"/>
      <c r="N68" s="73"/>
      <c r="O68" s="73"/>
      <c r="P68" s="73"/>
      <c r="Q68" s="73"/>
      <c r="R68" s="73"/>
      <c r="S68" s="73"/>
    </row>
    <row r="69" spans="1:19">
      <c r="A69" s="73"/>
      <c r="B69" s="73"/>
      <c r="C69" s="73"/>
      <c r="D69" s="73"/>
      <c r="E69" s="73"/>
      <c r="F69" s="73"/>
      <c r="G69" s="73"/>
      <c r="H69" s="73"/>
      <c r="I69" s="73"/>
      <c r="J69" s="73"/>
      <c r="K69" s="73"/>
      <c r="L69" s="73"/>
      <c r="M69" s="73"/>
      <c r="N69" s="73"/>
      <c r="O69" s="73"/>
      <c r="P69" s="73"/>
      <c r="Q69" s="73"/>
      <c r="R69" s="73"/>
      <c r="S69" s="73"/>
    </row>
    <row r="70" spans="1:19">
      <c r="A70" s="73"/>
      <c r="B70" s="73"/>
      <c r="C70" s="73"/>
      <c r="D70" s="73"/>
      <c r="E70" s="73"/>
      <c r="F70" s="73"/>
      <c r="G70" s="73"/>
      <c r="H70" s="73"/>
      <c r="I70" s="73"/>
      <c r="J70" s="73"/>
      <c r="K70" s="73"/>
      <c r="L70" s="73"/>
      <c r="M70" s="73"/>
      <c r="N70" s="73"/>
      <c r="O70" s="73"/>
      <c r="P70" s="73"/>
      <c r="Q70" s="73"/>
      <c r="R70" s="73"/>
      <c r="S70" s="73"/>
    </row>
    <row r="71" spans="1:19">
      <c r="S71" s="73"/>
    </row>
    <row r="72" spans="1:19">
      <c r="S72" s="73"/>
    </row>
    <row r="73" spans="1:19">
      <c r="S73" s="73"/>
    </row>
    <row r="74" spans="1:19">
      <c r="S74" s="73"/>
    </row>
  </sheetData>
  <mergeCells count="2">
    <mergeCell ref="A1:R1"/>
    <mergeCell ref="Q31:R31"/>
  </mergeCells>
  <phoneticPr fontId="2"/>
  <pageMargins left="0.23622047244094491" right="0.23622047244094491" top="0" bottom="0" header="0.31496062992125984" footer="0.31496062992125984"/>
  <pageSetup paperSize="9" orientation="landscape"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2CFA0-DBD8-48FC-988B-E55EADE75399}">
  <dimension ref="A1:AF74"/>
  <sheetViews>
    <sheetView topLeftCell="A7" zoomScale="80" zoomScaleNormal="80" workbookViewId="0">
      <selection activeCell="D34" sqref="D34"/>
    </sheetView>
  </sheetViews>
  <sheetFormatPr defaultColWidth="9" defaultRowHeight="18.75"/>
  <cols>
    <col min="1" max="18" width="6.625" style="40" customWidth="1"/>
    <col min="19" max="19" width="3.625" style="40" customWidth="1"/>
    <col min="20" max="20" width="6.625" style="40" customWidth="1"/>
    <col min="21" max="21" width="3.625" style="40" customWidth="1"/>
    <col min="22" max="37" width="6.625" style="40" customWidth="1"/>
    <col min="38" max="38" width="3.625" style="40" customWidth="1"/>
    <col min="39" max="16384" width="9" style="40"/>
  </cols>
  <sheetData>
    <row r="1" spans="1:31">
      <c r="A1" s="147" t="s">
        <v>1318</v>
      </c>
      <c r="B1" s="147"/>
      <c r="C1" s="147"/>
      <c r="D1" s="147"/>
      <c r="E1" s="147"/>
      <c r="F1" s="147"/>
      <c r="G1" s="147"/>
      <c r="H1" s="147"/>
      <c r="I1" s="147"/>
      <c r="J1" s="147"/>
      <c r="K1" s="147"/>
      <c r="L1" s="147"/>
      <c r="M1" s="147"/>
      <c r="N1" s="147"/>
      <c r="O1" s="147"/>
      <c r="P1" s="147"/>
      <c r="Q1" s="147"/>
      <c r="R1" s="147"/>
      <c r="X1" s="40" t="s">
        <v>495</v>
      </c>
    </row>
    <row r="2" spans="1:31" ht="16.5" customHeight="1">
      <c r="A2" s="26" t="s">
        <v>279</v>
      </c>
      <c r="B2" s="27">
        <v>45709</v>
      </c>
      <c r="C2" s="31">
        <v>45710</v>
      </c>
      <c r="D2" s="31">
        <v>45711</v>
      </c>
      <c r="E2" s="110">
        <v>45712</v>
      </c>
      <c r="F2" s="27">
        <v>45713</v>
      </c>
      <c r="G2" s="27">
        <v>45714</v>
      </c>
      <c r="H2" s="27">
        <v>45715</v>
      </c>
      <c r="I2" s="27">
        <v>45716</v>
      </c>
      <c r="J2" s="27"/>
      <c r="K2" s="27"/>
      <c r="L2" s="27"/>
      <c r="M2" s="23" t="s">
        <v>324</v>
      </c>
      <c r="N2" s="30">
        <v>45717</v>
      </c>
      <c r="O2" s="30">
        <v>45718</v>
      </c>
      <c r="P2" s="25">
        <v>45719</v>
      </c>
      <c r="Q2" s="25">
        <v>45720</v>
      </c>
      <c r="R2" s="25">
        <v>45721</v>
      </c>
      <c r="V2" s="40" t="s">
        <v>63</v>
      </c>
      <c r="X2" s="40" t="s">
        <v>64</v>
      </c>
      <c r="Z2" s="40" t="s">
        <v>65</v>
      </c>
      <c r="AB2" s="40" t="s">
        <v>169</v>
      </c>
      <c r="AD2" s="40" t="s">
        <v>874</v>
      </c>
    </row>
    <row r="3" spans="1:31" ht="16.5" customHeight="1">
      <c r="A3" s="28">
        <v>1</v>
      </c>
      <c r="B3" s="19"/>
      <c r="C3" s="19" t="s">
        <v>769</v>
      </c>
      <c r="D3" s="19" t="s">
        <v>1265</v>
      </c>
      <c r="E3" s="57"/>
      <c r="F3" s="19"/>
      <c r="G3" s="19"/>
      <c r="H3" s="19"/>
      <c r="I3" s="19"/>
      <c r="J3" s="19"/>
      <c r="K3" s="19"/>
      <c r="L3" s="19"/>
      <c r="M3" s="36"/>
      <c r="N3" s="19" t="s">
        <v>516</v>
      </c>
      <c r="O3" s="35" t="s">
        <v>2</v>
      </c>
      <c r="P3" s="19"/>
      <c r="Q3" s="19"/>
      <c r="R3" s="19"/>
      <c r="V3" s="40" t="s">
        <v>25</v>
      </c>
      <c r="W3" s="40">
        <v>2</v>
      </c>
      <c r="X3" s="40" t="s">
        <v>93</v>
      </c>
      <c r="Y3" s="40">
        <v>1</v>
      </c>
      <c r="Z3" s="40" t="s">
        <v>1159</v>
      </c>
      <c r="AA3" s="40">
        <v>2</v>
      </c>
      <c r="AB3" s="40" t="s">
        <v>153</v>
      </c>
      <c r="AC3" s="40">
        <v>7</v>
      </c>
      <c r="AD3" s="40" t="s">
        <v>37</v>
      </c>
      <c r="AE3" s="40">
        <v>2</v>
      </c>
    </row>
    <row r="4" spans="1:31" ht="16.5" customHeight="1">
      <c r="A4" s="28">
        <v>2</v>
      </c>
      <c r="B4" s="19"/>
      <c r="C4" s="19" t="s">
        <v>1129</v>
      </c>
      <c r="D4" s="19" t="s">
        <v>153</v>
      </c>
      <c r="E4" s="57"/>
      <c r="F4" s="19"/>
      <c r="G4" s="61"/>
      <c r="H4" s="19"/>
      <c r="I4" s="19"/>
      <c r="J4" s="19"/>
      <c r="K4" s="19"/>
      <c r="L4" s="19"/>
      <c r="M4" s="36"/>
      <c r="N4" s="19" t="s">
        <v>93</v>
      </c>
      <c r="O4" s="19" t="s">
        <v>314</v>
      </c>
      <c r="P4" s="19"/>
      <c r="Q4" s="19"/>
      <c r="R4" s="19"/>
      <c r="T4" s="41"/>
      <c r="U4" s="41"/>
      <c r="V4" s="40" t="s">
        <v>2</v>
      </c>
      <c r="W4" s="40">
        <v>2</v>
      </c>
      <c r="X4" s="40" t="s">
        <v>14</v>
      </c>
      <c r="Y4" s="40">
        <v>2</v>
      </c>
      <c r="Z4" s="40" t="s">
        <v>1065</v>
      </c>
      <c r="AA4" s="40">
        <v>3</v>
      </c>
      <c r="AB4" s="40" t="s">
        <v>26</v>
      </c>
      <c r="AC4" s="40">
        <v>9</v>
      </c>
      <c r="AD4" s="40" t="s">
        <v>875</v>
      </c>
      <c r="AE4" s="40" t="s">
        <v>897</v>
      </c>
    </row>
    <row r="5" spans="1:31" ht="16.5" customHeight="1">
      <c r="A5" s="28">
        <v>3</v>
      </c>
      <c r="B5" s="19"/>
      <c r="C5" s="19" t="s">
        <v>1157</v>
      </c>
      <c r="D5" s="19" t="s">
        <v>37</v>
      </c>
      <c r="E5" s="57"/>
      <c r="F5" s="19"/>
      <c r="G5" s="19"/>
      <c r="H5" s="19"/>
      <c r="I5" s="19"/>
      <c r="J5" s="19"/>
      <c r="K5" s="19"/>
      <c r="L5" s="19"/>
      <c r="M5" s="36"/>
      <c r="N5" s="19" t="s">
        <v>875</v>
      </c>
      <c r="O5" s="19" t="s">
        <v>1065</v>
      </c>
      <c r="P5" s="19"/>
      <c r="Q5" s="19"/>
      <c r="R5" s="19"/>
      <c r="T5" s="41"/>
      <c r="U5" s="41"/>
      <c r="V5" s="40" t="s">
        <v>516</v>
      </c>
      <c r="W5" s="40">
        <v>3</v>
      </c>
      <c r="X5" s="40" t="s">
        <v>23</v>
      </c>
      <c r="Y5" s="40">
        <v>1</v>
      </c>
      <c r="Z5" s="40" t="s">
        <v>37</v>
      </c>
      <c r="AA5" s="40">
        <v>3</v>
      </c>
      <c r="AB5" s="40" t="s">
        <v>1032</v>
      </c>
      <c r="AC5" s="40">
        <v>5</v>
      </c>
      <c r="AD5" s="40" t="s">
        <v>356</v>
      </c>
      <c r="AE5" s="40" t="s">
        <v>1292</v>
      </c>
    </row>
    <row r="6" spans="1:31" ht="16.5" customHeight="1">
      <c r="A6" s="28" t="s">
        <v>20</v>
      </c>
      <c r="B6" s="19" t="s">
        <v>312</v>
      </c>
      <c r="C6" s="19" t="s">
        <v>13</v>
      </c>
      <c r="D6" s="19" t="s">
        <v>13</v>
      </c>
      <c r="E6" s="57" t="s">
        <v>25</v>
      </c>
      <c r="F6" s="109" t="s">
        <v>1266</v>
      </c>
      <c r="G6" s="109" t="s">
        <v>1266</v>
      </c>
      <c r="H6" s="109" t="s">
        <v>1266</v>
      </c>
      <c r="I6" s="108" t="s">
        <v>1129</v>
      </c>
      <c r="J6" s="19"/>
      <c r="K6" s="19"/>
      <c r="L6" s="19"/>
      <c r="M6" s="36"/>
      <c r="N6" s="108" t="s">
        <v>1129</v>
      </c>
      <c r="O6" s="108" t="s">
        <v>1266</v>
      </c>
      <c r="P6" s="109" t="s">
        <v>774</v>
      </c>
      <c r="Q6" s="109" t="s">
        <v>1266</v>
      </c>
      <c r="R6" s="109" t="s">
        <v>1266</v>
      </c>
      <c r="T6" s="41"/>
      <c r="U6" s="41"/>
      <c r="V6" s="40" t="s">
        <v>7</v>
      </c>
      <c r="W6" s="40">
        <v>0</v>
      </c>
      <c r="X6" s="40" t="s">
        <v>153</v>
      </c>
      <c r="Y6" s="40">
        <v>1</v>
      </c>
      <c r="Z6" s="40" t="s">
        <v>875</v>
      </c>
      <c r="AA6" s="68">
        <v>2</v>
      </c>
      <c r="AB6" s="40" t="s">
        <v>23</v>
      </c>
      <c r="AC6" s="68">
        <v>8</v>
      </c>
      <c r="AD6" s="40" t="s">
        <v>1159</v>
      </c>
      <c r="AE6" s="40">
        <v>6</v>
      </c>
    </row>
    <row r="7" spans="1:31" ht="16.5" customHeight="1">
      <c r="A7" s="28" t="s">
        <v>0</v>
      </c>
      <c r="B7" s="19" t="s">
        <v>356</v>
      </c>
      <c r="C7" s="19" t="s">
        <v>1266</v>
      </c>
      <c r="D7" s="19" t="s">
        <v>1266</v>
      </c>
      <c r="E7" s="57" t="s">
        <v>1159</v>
      </c>
      <c r="F7" s="19" t="s">
        <v>13</v>
      </c>
      <c r="G7" s="19" t="s">
        <v>13</v>
      </c>
      <c r="H7" s="19" t="s">
        <v>13</v>
      </c>
      <c r="I7" s="19" t="s">
        <v>13</v>
      </c>
      <c r="J7" s="19"/>
      <c r="K7" s="19"/>
      <c r="L7" s="19"/>
      <c r="M7" s="36"/>
      <c r="N7" s="19" t="s">
        <v>1157</v>
      </c>
      <c r="O7" s="19" t="s">
        <v>1266</v>
      </c>
      <c r="P7" s="19" t="s">
        <v>356</v>
      </c>
      <c r="Q7" s="19" t="s">
        <v>1266</v>
      </c>
      <c r="R7" s="19" t="s">
        <v>1266</v>
      </c>
      <c r="T7" s="41"/>
      <c r="U7" s="41"/>
      <c r="V7" s="40" t="s">
        <v>21</v>
      </c>
      <c r="W7" s="40">
        <v>1</v>
      </c>
      <c r="X7" s="40" t="s">
        <v>516</v>
      </c>
      <c r="Y7" s="40">
        <v>0</v>
      </c>
      <c r="Z7" s="40" t="s">
        <v>1186</v>
      </c>
      <c r="AA7" s="40">
        <v>2</v>
      </c>
      <c r="AB7" s="40" t="s">
        <v>25</v>
      </c>
      <c r="AC7" s="40">
        <v>1</v>
      </c>
      <c r="AD7" s="40" t="s">
        <v>1186</v>
      </c>
      <c r="AE7" s="40">
        <v>4</v>
      </c>
    </row>
    <row r="8" spans="1:31" ht="16.5" customHeight="1">
      <c r="A8" s="28" t="s">
        <v>1</v>
      </c>
      <c r="B8" s="19"/>
      <c r="C8" s="19"/>
      <c r="D8" s="19"/>
      <c r="E8" s="57"/>
      <c r="F8" s="19"/>
      <c r="G8" s="19"/>
      <c r="H8" s="19"/>
      <c r="I8" s="19"/>
      <c r="J8" s="19"/>
      <c r="K8" s="19"/>
      <c r="L8" s="19"/>
      <c r="M8" s="36"/>
      <c r="N8" s="19"/>
      <c r="O8" s="19"/>
      <c r="P8" s="19"/>
      <c r="Q8" s="19"/>
      <c r="R8" s="19"/>
      <c r="T8" s="41"/>
      <c r="V8" s="40" t="s">
        <v>26</v>
      </c>
      <c r="W8" s="40">
        <v>2</v>
      </c>
      <c r="X8" s="40" t="s">
        <v>152</v>
      </c>
      <c r="Y8" s="40">
        <v>2</v>
      </c>
      <c r="Z8" s="40" t="s">
        <v>843</v>
      </c>
      <c r="AA8" s="64" t="s">
        <v>1208</v>
      </c>
      <c r="AB8" s="40" t="s">
        <v>327</v>
      </c>
      <c r="AC8" s="64">
        <v>3</v>
      </c>
    </row>
    <row r="9" spans="1:31" ht="16.5" customHeight="1">
      <c r="A9" s="23" t="s">
        <v>324</v>
      </c>
      <c r="B9" s="25">
        <v>45722</v>
      </c>
      <c r="C9" s="25">
        <v>45723</v>
      </c>
      <c r="D9" s="30">
        <v>45724</v>
      </c>
      <c r="E9" s="30">
        <v>45725</v>
      </c>
      <c r="F9" s="25">
        <v>45726</v>
      </c>
      <c r="G9" s="25">
        <v>45727</v>
      </c>
      <c r="H9" s="25">
        <v>45728</v>
      </c>
      <c r="I9" s="25">
        <v>45729</v>
      </c>
      <c r="J9" s="25">
        <v>45730</v>
      </c>
      <c r="K9" s="30">
        <v>45731</v>
      </c>
      <c r="L9" s="30">
        <v>45732</v>
      </c>
      <c r="M9" s="25">
        <v>45733</v>
      </c>
      <c r="N9" s="25">
        <v>45734</v>
      </c>
      <c r="O9" s="25">
        <v>45735</v>
      </c>
      <c r="P9" s="25">
        <v>45736</v>
      </c>
      <c r="Q9" s="19"/>
      <c r="R9" s="19"/>
      <c r="T9" s="41"/>
      <c r="V9" s="40" t="s">
        <v>27</v>
      </c>
      <c r="W9" s="40">
        <v>1</v>
      </c>
      <c r="X9" s="40" t="s">
        <v>864</v>
      </c>
      <c r="Y9" s="40">
        <v>2</v>
      </c>
      <c r="AB9" s="40" t="s">
        <v>516</v>
      </c>
      <c r="AC9" s="40">
        <v>6</v>
      </c>
    </row>
    <row r="10" spans="1:31" ht="16.5" customHeight="1">
      <c r="A10" s="36">
        <v>1</v>
      </c>
      <c r="B10" s="19"/>
      <c r="C10" s="19"/>
      <c r="D10" s="108" t="s">
        <v>1129</v>
      </c>
      <c r="E10" s="109" t="s">
        <v>25</v>
      </c>
      <c r="F10" s="19"/>
      <c r="G10" s="19"/>
      <c r="H10" s="19"/>
      <c r="I10" s="19"/>
      <c r="J10" s="19"/>
      <c r="K10" s="109" t="s">
        <v>774</v>
      </c>
      <c r="L10" s="108" t="s">
        <v>516</v>
      </c>
      <c r="N10" s="19"/>
      <c r="O10" s="19"/>
      <c r="P10" s="19"/>
      <c r="Q10" s="19"/>
      <c r="R10" s="19"/>
      <c r="T10" s="41"/>
      <c r="V10" s="40" t="s">
        <v>774</v>
      </c>
      <c r="W10" s="40">
        <v>2</v>
      </c>
      <c r="X10" s="40" t="s">
        <v>1032</v>
      </c>
      <c r="Y10" s="40">
        <v>2</v>
      </c>
      <c r="AB10" s="40" t="s">
        <v>864</v>
      </c>
      <c r="AC10" s="40">
        <v>4</v>
      </c>
    </row>
    <row r="11" spans="1:31" ht="16.5" customHeight="1">
      <c r="A11" s="36">
        <v>2</v>
      </c>
      <c r="B11" s="19"/>
      <c r="C11" s="19"/>
      <c r="D11" s="19" t="s">
        <v>107</v>
      </c>
      <c r="E11" s="19" t="s">
        <v>14</v>
      </c>
      <c r="F11" s="19"/>
      <c r="G11" s="19"/>
      <c r="H11" s="19"/>
      <c r="I11" s="19"/>
      <c r="J11" s="19"/>
      <c r="K11" s="19" t="s">
        <v>312</v>
      </c>
      <c r="L11" s="19" t="s">
        <v>7</v>
      </c>
      <c r="M11" s="19"/>
      <c r="N11" s="19"/>
      <c r="O11" s="19"/>
      <c r="P11" s="19"/>
      <c r="Q11" s="19"/>
      <c r="R11" s="19"/>
      <c r="T11" s="41"/>
      <c r="V11" s="40" t="s">
        <v>769</v>
      </c>
      <c r="W11" s="40">
        <v>1</v>
      </c>
      <c r="X11" s="40" t="s">
        <v>1114</v>
      </c>
      <c r="Y11" s="40">
        <v>1</v>
      </c>
      <c r="AB11" s="40" t="s">
        <v>1114</v>
      </c>
      <c r="AC11" s="40">
        <v>2</v>
      </c>
    </row>
    <row r="12" spans="1:31" ht="16.5" customHeight="1">
      <c r="A12" s="36">
        <v>3</v>
      </c>
      <c r="B12" s="19"/>
      <c r="C12" s="19"/>
      <c r="D12" s="19" t="s">
        <v>1065</v>
      </c>
      <c r="E12" s="19" t="s">
        <v>37</v>
      </c>
      <c r="F12" s="19"/>
      <c r="G12" s="19"/>
      <c r="H12" s="19"/>
      <c r="I12" s="19"/>
      <c r="J12" s="19"/>
      <c r="K12" s="19" t="s">
        <v>1327</v>
      </c>
      <c r="L12" s="19" t="s">
        <v>875</v>
      </c>
      <c r="M12" s="19"/>
      <c r="N12" s="19"/>
      <c r="O12" s="19"/>
      <c r="P12" s="19"/>
      <c r="Q12" s="19"/>
      <c r="R12" s="19"/>
      <c r="T12" s="41"/>
      <c r="V12" s="40" t="s">
        <v>864</v>
      </c>
      <c r="W12" s="40">
        <v>0</v>
      </c>
      <c r="X12" s="40" t="s">
        <v>2</v>
      </c>
      <c r="Y12" s="40">
        <v>0</v>
      </c>
    </row>
    <row r="13" spans="1:31" ht="16.5" customHeight="1">
      <c r="A13" s="36" t="s">
        <v>20</v>
      </c>
      <c r="B13" s="109" t="s">
        <v>774</v>
      </c>
      <c r="C13" s="108" t="s">
        <v>516</v>
      </c>
      <c r="D13" s="108" t="s">
        <v>1266</v>
      </c>
      <c r="E13" s="108" t="s">
        <v>1266</v>
      </c>
      <c r="F13" s="109" t="s">
        <v>1032</v>
      </c>
      <c r="G13" s="109" t="s">
        <v>1266</v>
      </c>
      <c r="H13" s="109" t="s">
        <v>1266</v>
      </c>
      <c r="I13" s="109" t="s">
        <v>1266</v>
      </c>
      <c r="J13" s="108" t="s">
        <v>864</v>
      </c>
      <c r="K13" s="108" t="s">
        <v>1266</v>
      </c>
      <c r="L13" s="108" t="s">
        <v>1266</v>
      </c>
      <c r="M13" s="109" t="s">
        <v>153</v>
      </c>
      <c r="N13" s="109" t="s">
        <v>1266</v>
      </c>
      <c r="O13" s="109" t="s">
        <v>1266</v>
      </c>
      <c r="P13" s="109" t="s">
        <v>1266</v>
      </c>
      <c r="Q13" s="19"/>
      <c r="R13" s="19"/>
      <c r="T13" s="41"/>
      <c r="X13" s="40" t="s">
        <v>7</v>
      </c>
      <c r="Y13" s="40">
        <v>2</v>
      </c>
    </row>
    <row r="14" spans="1:31" ht="16.5" customHeight="1">
      <c r="A14" s="36" t="s">
        <v>0</v>
      </c>
      <c r="B14" s="19" t="s">
        <v>356</v>
      </c>
      <c r="C14" s="19" t="s">
        <v>1266</v>
      </c>
      <c r="D14" s="19" t="s">
        <v>1266</v>
      </c>
      <c r="E14" s="19" t="s">
        <v>1266</v>
      </c>
      <c r="F14" s="19" t="s">
        <v>1186</v>
      </c>
      <c r="G14" s="19" t="s">
        <v>1266</v>
      </c>
      <c r="H14" s="19" t="s">
        <v>1266</v>
      </c>
      <c r="I14" s="19" t="s">
        <v>1266</v>
      </c>
      <c r="J14" s="19" t="s">
        <v>1266</v>
      </c>
      <c r="K14" s="19" t="s">
        <v>1266</v>
      </c>
      <c r="L14" s="19" t="s">
        <v>1266</v>
      </c>
      <c r="M14" s="19" t="s">
        <v>356</v>
      </c>
      <c r="N14" s="19" t="s">
        <v>1266</v>
      </c>
      <c r="O14" s="19" t="s">
        <v>1266</v>
      </c>
      <c r="P14" s="19" t="s">
        <v>1266</v>
      </c>
      <c r="Q14" s="19"/>
      <c r="R14" s="19"/>
      <c r="T14" s="41"/>
    </row>
    <row r="15" spans="1:31" ht="16.5" customHeight="1">
      <c r="A15" s="36" t="s">
        <v>1</v>
      </c>
      <c r="B15" s="19"/>
      <c r="C15" s="19"/>
      <c r="D15" s="19"/>
      <c r="E15" s="19"/>
      <c r="F15" s="19"/>
      <c r="G15" s="19"/>
      <c r="H15" s="19"/>
      <c r="I15" s="19"/>
      <c r="J15" s="19"/>
      <c r="K15" s="19"/>
      <c r="L15" s="19"/>
      <c r="M15" s="19"/>
      <c r="N15" s="19"/>
      <c r="O15" s="19"/>
      <c r="P15" s="19"/>
      <c r="Q15" s="19"/>
      <c r="R15" s="19"/>
      <c r="T15" s="41"/>
      <c r="V15" s="40" t="s">
        <v>841</v>
      </c>
      <c r="W15" s="40">
        <f>SUM(W1:W13)</f>
        <v>14</v>
      </c>
      <c r="Y15" s="40">
        <f>SUM(Y1:Y13)</f>
        <v>14</v>
      </c>
      <c r="AA15" s="40">
        <f>SUM(AA1:AA13)</f>
        <v>12</v>
      </c>
    </row>
    <row r="16" spans="1:31" ht="16.5" customHeight="1">
      <c r="A16" s="42"/>
      <c r="B16" s="37"/>
      <c r="C16" s="37"/>
      <c r="D16" s="37"/>
      <c r="E16" s="37"/>
      <c r="F16" s="37"/>
      <c r="G16" s="37"/>
      <c r="H16" s="38"/>
      <c r="I16" s="38"/>
      <c r="J16" s="38"/>
      <c r="K16" s="38"/>
      <c r="L16" s="38"/>
      <c r="M16" s="38"/>
      <c r="N16" s="38"/>
      <c r="O16" s="38"/>
      <c r="P16" s="37"/>
      <c r="Q16" s="37"/>
      <c r="R16" s="39"/>
      <c r="T16" s="41"/>
    </row>
    <row r="17" spans="1:32" ht="16.5" customHeight="1">
      <c r="A17" s="23" t="s">
        <v>324</v>
      </c>
      <c r="B17" s="25">
        <v>45737</v>
      </c>
      <c r="C17" s="30">
        <v>45738</v>
      </c>
      <c r="D17" s="30">
        <v>45739</v>
      </c>
      <c r="E17" s="25">
        <v>45740</v>
      </c>
      <c r="F17" s="25">
        <v>45741</v>
      </c>
      <c r="G17" s="25">
        <v>45742</v>
      </c>
      <c r="H17" s="25">
        <v>45743</v>
      </c>
      <c r="I17" s="25">
        <v>45744</v>
      </c>
      <c r="J17" s="30">
        <v>45745</v>
      </c>
      <c r="K17" s="30">
        <v>45746</v>
      </c>
      <c r="L17" s="25">
        <v>45747</v>
      </c>
      <c r="M17" s="26" t="s">
        <v>325</v>
      </c>
      <c r="N17" s="27">
        <v>45748</v>
      </c>
      <c r="O17" s="27">
        <v>45749</v>
      </c>
      <c r="P17" s="27">
        <v>45750</v>
      </c>
      <c r="Q17" s="27">
        <v>45751</v>
      </c>
      <c r="R17" s="31">
        <v>45752</v>
      </c>
      <c r="T17" s="41"/>
    </row>
    <row r="18" spans="1:32" ht="16.5" customHeight="1">
      <c r="A18" s="36">
        <v>1</v>
      </c>
      <c r="B18" s="19"/>
      <c r="C18" s="19" t="s">
        <v>814</v>
      </c>
      <c r="D18" s="109" t="s">
        <v>1032</v>
      </c>
      <c r="E18" s="19"/>
      <c r="F18" s="19"/>
      <c r="G18" s="19"/>
      <c r="H18" s="19"/>
      <c r="I18" s="19"/>
      <c r="J18" s="108" t="s">
        <v>864</v>
      </c>
      <c r="K18" s="109" t="s">
        <v>153</v>
      </c>
      <c r="L18" s="19"/>
      <c r="M18" s="28"/>
      <c r="N18" s="19"/>
      <c r="O18" s="19"/>
      <c r="P18" s="19"/>
      <c r="Q18" s="19"/>
      <c r="R18" s="108" t="s">
        <v>25</v>
      </c>
      <c r="T18" s="41"/>
      <c r="X18" s="40" t="s">
        <v>779</v>
      </c>
    </row>
    <row r="19" spans="1:32" ht="16.5" customHeight="1">
      <c r="A19" s="36">
        <v>2</v>
      </c>
      <c r="B19" s="19"/>
      <c r="C19" s="19" t="s">
        <v>1265</v>
      </c>
      <c r="D19" s="19" t="s">
        <v>25</v>
      </c>
      <c r="F19" s="19"/>
      <c r="G19" s="19"/>
      <c r="H19" s="19"/>
      <c r="I19" s="19"/>
      <c r="J19" s="19" t="s">
        <v>107</v>
      </c>
      <c r="K19" s="19" t="s">
        <v>774</v>
      </c>
      <c r="L19" s="61"/>
      <c r="M19" s="28"/>
      <c r="N19" s="19"/>
      <c r="O19" s="19"/>
      <c r="P19" s="19"/>
      <c r="Q19" s="19"/>
      <c r="R19" s="19" t="s">
        <v>1032</v>
      </c>
      <c r="T19" s="41"/>
      <c r="V19" s="40" t="s">
        <v>63</v>
      </c>
      <c r="W19" s="40" t="s">
        <v>1310</v>
      </c>
      <c r="X19" s="40" t="s">
        <v>64</v>
      </c>
      <c r="Y19" s="40" t="s">
        <v>1310</v>
      </c>
      <c r="Z19" s="105" t="s">
        <v>1309</v>
      </c>
      <c r="AA19" s="40" t="s">
        <v>65</v>
      </c>
      <c r="AC19" s="40" t="s">
        <v>169</v>
      </c>
      <c r="AE19" s="40" t="s">
        <v>874</v>
      </c>
    </row>
    <row r="20" spans="1:32" ht="16.5" customHeight="1">
      <c r="A20" s="36">
        <v>3</v>
      </c>
      <c r="B20" s="19"/>
      <c r="C20" s="19" t="s">
        <v>1186</v>
      </c>
      <c r="D20" s="19" t="s">
        <v>1157</v>
      </c>
      <c r="E20" s="19"/>
      <c r="F20" s="19"/>
      <c r="G20" s="19"/>
      <c r="H20" s="19"/>
      <c r="I20" s="19"/>
      <c r="J20" s="19" t="s">
        <v>875</v>
      </c>
      <c r="K20" s="112" t="s">
        <v>1329</v>
      </c>
      <c r="L20" s="19"/>
      <c r="M20" s="28"/>
      <c r="N20" s="19"/>
      <c r="O20" s="19"/>
      <c r="P20" s="19"/>
      <c r="Q20" s="19"/>
      <c r="R20" s="19" t="s">
        <v>1157</v>
      </c>
      <c r="T20" s="41"/>
      <c r="V20" s="40" t="s">
        <v>2</v>
      </c>
      <c r="W20" s="40">
        <v>2</v>
      </c>
      <c r="X20" s="40" t="s">
        <v>312</v>
      </c>
      <c r="Y20" s="40">
        <v>2</v>
      </c>
      <c r="Z20" s="105">
        <v>1</v>
      </c>
      <c r="AA20" s="40" t="s">
        <v>1159</v>
      </c>
      <c r="AB20" s="40">
        <v>5</v>
      </c>
      <c r="AC20" s="40" t="s">
        <v>153</v>
      </c>
      <c r="AD20" s="40" t="s">
        <v>1317</v>
      </c>
      <c r="AE20" s="40" t="s">
        <v>37</v>
      </c>
      <c r="AF20" s="40">
        <v>6</v>
      </c>
    </row>
    <row r="21" spans="1:32" ht="16.5" customHeight="1">
      <c r="A21" s="36" t="s">
        <v>20</v>
      </c>
      <c r="B21" s="108" t="s">
        <v>516</v>
      </c>
      <c r="C21" s="108" t="s">
        <v>1266</v>
      </c>
      <c r="D21" s="108" t="s">
        <v>1266</v>
      </c>
      <c r="E21" s="109" t="s">
        <v>312</v>
      </c>
      <c r="F21" s="109" t="s">
        <v>1266</v>
      </c>
      <c r="G21" s="109" t="s">
        <v>1266</v>
      </c>
      <c r="H21" s="109" t="s">
        <v>1266</v>
      </c>
      <c r="I21" s="108" t="s">
        <v>25</v>
      </c>
      <c r="J21" s="108" t="s">
        <v>1266</v>
      </c>
      <c r="K21" s="108" t="s">
        <v>1266</v>
      </c>
      <c r="L21" s="109" t="s">
        <v>1129</v>
      </c>
      <c r="M21" s="28"/>
      <c r="N21" s="109" t="s">
        <v>1129</v>
      </c>
      <c r="O21" s="109" t="s">
        <v>1266</v>
      </c>
      <c r="P21" s="109" t="s">
        <v>1266</v>
      </c>
      <c r="Q21" s="108" t="s">
        <v>774</v>
      </c>
      <c r="R21" s="108" t="s">
        <v>1266</v>
      </c>
      <c r="T21" s="41"/>
      <c r="V21" s="40" t="s">
        <v>107</v>
      </c>
      <c r="W21" s="40">
        <v>2</v>
      </c>
      <c r="X21" s="40" t="s">
        <v>25</v>
      </c>
      <c r="Y21" s="40">
        <v>1</v>
      </c>
      <c r="Z21" s="105">
        <v>2</v>
      </c>
      <c r="AA21" s="40" t="s">
        <v>1065</v>
      </c>
      <c r="AB21" s="40">
        <v>4</v>
      </c>
      <c r="AC21" s="40" t="s">
        <v>26</v>
      </c>
      <c r="AD21" s="40" t="s">
        <v>973</v>
      </c>
      <c r="AE21" s="40" t="s">
        <v>875</v>
      </c>
      <c r="AF21" s="40">
        <v>8</v>
      </c>
    </row>
    <row r="22" spans="1:32" ht="16.5" customHeight="1">
      <c r="A22" s="36" t="s">
        <v>0</v>
      </c>
      <c r="B22" s="19" t="s">
        <v>356</v>
      </c>
      <c r="C22" s="19" t="s">
        <v>1266</v>
      </c>
      <c r="D22" s="19" t="s">
        <v>1266</v>
      </c>
      <c r="E22" s="19" t="s">
        <v>37</v>
      </c>
      <c r="F22" s="19" t="s">
        <v>1266</v>
      </c>
      <c r="G22" s="19" t="s">
        <v>1266</v>
      </c>
      <c r="H22" s="19" t="s">
        <v>1266</v>
      </c>
      <c r="I22" s="19" t="s">
        <v>1266</v>
      </c>
      <c r="J22" s="19" t="s">
        <v>1266</v>
      </c>
      <c r="K22" s="19" t="s">
        <v>1266</v>
      </c>
      <c r="L22" s="19" t="s">
        <v>356</v>
      </c>
      <c r="M22" s="28"/>
      <c r="N22" s="19" t="s">
        <v>356</v>
      </c>
      <c r="O22" s="19" t="s">
        <v>1266</v>
      </c>
      <c r="P22" s="19" t="s">
        <v>1266</v>
      </c>
      <c r="Q22" s="19" t="s">
        <v>1266</v>
      </c>
      <c r="R22" s="19" t="s">
        <v>1266</v>
      </c>
      <c r="T22" s="41"/>
      <c r="V22" s="40" t="s">
        <v>1265</v>
      </c>
      <c r="W22" s="40">
        <v>2</v>
      </c>
      <c r="X22" s="40" t="s">
        <v>769</v>
      </c>
      <c r="Y22" s="40">
        <v>1</v>
      </c>
      <c r="Z22" s="105">
        <v>1</v>
      </c>
      <c r="AA22" s="40" t="s">
        <v>37</v>
      </c>
      <c r="AB22" s="40">
        <v>4</v>
      </c>
      <c r="AC22" s="40" t="s">
        <v>1032</v>
      </c>
      <c r="AD22" s="40" t="s">
        <v>1315</v>
      </c>
      <c r="AE22" s="40" t="s">
        <v>356</v>
      </c>
      <c r="AF22" s="40" t="s">
        <v>1320</v>
      </c>
    </row>
    <row r="23" spans="1:32" ht="16.5" customHeight="1">
      <c r="A23" s="36" t="s">
        <v>1</v>
      </c>
      <c r="B23" s="19"/>
      <c r="C23" s="19"/>
      <c r="D23" s="19"/>
      <c r="E23" s="19"/>
      <c r="F23" s="19"/>
      <c r="G23" s="19"/>
      <c r="H23" s="19"/>
      <c r="I23" s="19"/>
      <c r="J23" s="19"/>
      <c r="K23" s="19"/>
      <c r="L23" s="19"/>
      <c r="M23" s="28"/>
      <c r="N23" s="19"/>
      <c r="O23" s="19"/>
      <c r="P23" s="19"/>
      <c r="Q23" s="19"/>
      <c r="R23" s="19"/>
      <c r="T23" s="41"/>
      <c r="V23" s="40" t="s">
        <v>7</v>
      </c>
      <c r="W23" s="40">
        <v>1</v>
      </c>
      <c r="X23" s="40" t="s">
        <v>774</v>
      </c>
      <c r="Y23" s="40">
        <v>1</v>
      </c>
      <c r="Z23" s="106">
        <v>2</v>
      </c>
      <c r="AA23" s="40" t="s">
        <v>875</v>
      </c>
      <c r="AB23" s="68">
        <v>3</v>
      </c>
      <c r="AC23" s="40" t="s">
        <v>23</v>
      </c>
      <c r="AD23" s="68">
        <v>9</v>
      </c>
      <c r="AE23" s="40" t="s">
        <v>1159</v>
      </c>
      <c r="AF23" s="40">
        <v>4</v>
      </c>
    </row>
    <row r="24" spans="1:32" ht="16.5" customHeight="1">
      <c r="A24" s="26" t="s">
        <v>325</v>
      </c>
      <c r="B24" s="31">
        <v>45753</v>
      </c>
      <c r="C24" s="27">
        <v>45754</v>
      </c>
      <c r="D24" s="27">
        <v>45755</v>
      </c>
      <c r="E24" s="27">
        <v>45756</v>
      </c>
      <c r="F24" s="27">
        <v>45757</v>
      </c>
      <c r="G24" s="27">
        <v>45758</v>
      </c>
      <c r="H24" s="31">
        <v>45759</v>
      </c>
      <c r="I24" s="31">
        <v>45760</v>
      </c>
      <c r="J24" s="27">
        <v>45761</v>
      </c>
      <c r="K24" s="27">
        <v>45762</v>
      </c>
      <c r="L24" s="27">
        <v>45763</v>
      </c>
      <c r="M24" s="27">
        <v>45764</v>
      </c>
      <c r="N24" s="27">
        <v>45765</v>
      </c>
      <c r="O24" s="31">
        <v>45766</v>
      </c>
      <c r="P24" s="31">
        <v>45767</v>
      </c>
      <c r="Q24" s="19"/>
      <c r="R24" s="19"/>
      <c r="T24" s="41"/>
      <c r="V24" s="40" t="s">
        <v>93</v>
      </c>
      <c r="W24" s="40">
        <v>1</v>
      </c>
      <c r="X24" s="40" t="s">
        <v>153</v>
      </c>
      <c r="Y24" s="40">
        <v>2</v>
      </c>
      <c r="Z24" s="105">
        <v>1</v>
      </c>
      <c r="AA24" s="40" t="s">
        <v>1186</v>
      </c>
      <c r="AB24" s="40">
        <v>2</v>
      </c>
      <c r="AC24" s="40" t="s">
        <v>25</v>
      </c>
      <c r="AD24" s="40" t="s">
        <v>1311</v>
      </c>
      <c r="AE24" s="40" t="s">
        <v>1186</v>
      </c>
      <c r="AF24" s="40">
        <v>2</v>
      </c>
    </row>
    <row r="25" spans="1:32" ht="16.5" customHeight="1">
      <c r="A25" s="28">
        <v>1</v>
      </c>
      <c r="B25" s="109" t="s">
        <v>312</v>
      </c>
      <c r="C25" s="19"/>
      <c r="D25" s="19"/>
      <c r="F25" s="19"/>
      <c r="G25" s="19"/>
      <c r="H25" s="108" t="s">
        <v>774</v>
      </c>
      <c r="I25" s="109" t="s">
        <v>1129</v>
      </c>
      <c r="J25" s="19"/>
      <c r="K25" s="19"/>
      <c r="L25" s="19"/>
      <c r="M25" s="19"/>
      <c r="N25" s="19"/>
      <c r="O25" s="108" t="s">
        <v>1032</v>
      </c>
      <c r="P25" s="109" t="s">
        <v>864</v>
      </c>
      <c r="Q25" s="19"/>
      <c r="R25" s="19"/>
      <c r="T25" s="41"/>
      <c r="V25" s="40" t="s">
        <v>14</v>
      </c>
      <c r="W25" s="40">
        <v>2</v>
      </c>
      <c r="X25" s="40" t="s">
        <v>516</v>
      </c>
      <c r="Y25" s="40">
        <v>1</v>
      </c>
      <c r="Z25" s="107">
        <v>1</v>
      </c>
      <c r="AA25" s="40" t="s">
        <v>843</v>
      </c>
      <c r="AB25" s="64" t="s">
        <v>1321</v>
      </c>
      <c r="AC25" s="40" t="s">
        <v>327</v>
      </c>
      <c r="AD25" s="64" t="s">
        <v>1313</v>
      </c>
      <c r="AE25" s="40" t="s">
        <v>1328</v>
      </c>
      <c r="AF25" s="64" t="s">
        <v>1331</v>
      </c>
    </row>
    <row r="26" spans="1:32" ht="16.5" customHeight="1">
      <c r="A26" s="28">
        <v>2</v>
      </c>
      <c r="B26" s="108" t="s">
        <v>516</v>
      </c>
      <c r="C26" s="19"/>
      <c r="D26" s="19"/>
      <c r="E26" s="19"/>
      <c r="F26" s="19"/>
      <c r="G26" s="19"/>
      <c r="H26" s="19" t="s">
        <v>14</v>
      </c>
      <c r="I26" s="19" t="s">
        <v>153</v>
      </c>
      <c r="J26" s="19"/>
      <c r="K26" s="19"/>
      <c r="L26" s="19"/>
      <c r="M26" s="19"/>
      <c r="N26" s="19"/>
      <c r="O26" s="19" t="s">
        <v>2</v>
      </c>
      <c r="P26" s="19" t="s">
        <v>312</v>
      </c>
      <c r="Q26" s="19"/>
      <c r="R26" s="19"/>
      <c r="T26" s="41"/>
      <c r="V26" s="40" t="s">
        <v>314</v>
      </c>
      <c r="W26" s="40">
        <v>2</v>
      </c>
      <c r="X26" s="40" t="s">
        <v>864</v>
      </c>
      <c r="Y26" s="40">
        <v>0</v>
      </c>
      <c r="Z26" s="105">
        <v>2</v>
      </c>
      <c r="AA26" s="40" t="s">
        <v>1328</v>
      </c>
      <c r="AB26" s="64" t="s">
        <v>1330</v>
      </c>
      <c r="AC26" s="40" t="s">
        <v>516</v>
      </c>
      <c r="AD26" s="40" t="s">
        <v>1316</v>
      </c>
    </row>
    <row r="27" spans="1:32" ht="16.5" customHeight="1">
      <c r="A27" s="28">
        <v>3</v>
      </c>
      <c r="B27" s="19" t="s">
        <v>37</v>
      </c>
      <c r="C27" s="19"/>
      <c r="D27" s="19"/>
      <c r="E27" s="19"/>
      <c r="F27" s="19"/>
      <c r="G27" s="19"/>
      <c r="H27" s="19" t="s">
        <v>1065</v>
      </c>
      <c r="I27" s="19" t="s">
        <v>1186</v>
      </c>
      <c r="J27" s="19"/>
      <c r="K27" s="19"/>
      <c r="L27" s="19"/>
      <c r="M27" s="19"/>
      <c r="N27" s="19"/>
      <c r="O27" s="19" t="s">
        <v>37</v>
      </c>
      <c r="P27" s="19" t="s">
        <v>1157</v>
      </c>
      <c r="Q27" s="19"/>
      <c r="R27" s="19"/>
      <c r="T27" s="41"/>
      <c r="X27" s="40" t="s">
        <v>1129</v>
      </c>
      <c r="Y27" s="40">
        <v>1</v>
      </c>
      <c r="Z27" s="105">
        <v>2</v>
      </c>
      <c r="AC27" s="40" t="s">
        <v>864</v>
      </c>
      <c r="AD27" s="40" t="s">
        <v>1314</v>
      </c>
    </row>
    <row r="28" spans="1:32" ht="16.5" customHeight="1">
      <c r="A28" s="28" t="s">
        <v>20</v>
      </c>
      <c r="B28" s="108" t="s">
        <v>774</v>
      </c>
      <c r="C28" s="109" t="s">
        <v>864</v>
      </c>
      <c r="D28" s="109" t="s">
        <v>1266</v>
      </c>
      <c r="E28" s="109" t="s">
        <v>1266</v>
      </c>
      <c r="F28" s="109" t="s">
        <v>1266</v>
      </c>
      <c r="G28" s="108" t="s">
        <v>1032</v>
      </c>
      <c r="H28" s="108" t="s">
        <v>1266</v>
      </c>
      <c r="I28" s="108" t="s">
        <v>1266</v>
      </c>
      <c r="J28" s="109" t="s">
        <v>516</v>
      </c>
      <c r="K28" s="109" t="s">
        <v>1266</v>
      </c>
      <c r="L28" s="109" t="s">
        <v>1266</v>
      </c>
      <c r="M28" s="109" t="s">
        <v>1266</v>
      </c>
      <c r="N28" s="108" t="s">
        <v>153</v>
      </c>
      <c r="O28" s="108" t="s">
        <v>1266</v>
      </c>
      <c r="P28" s="108" t="s">
        <v>1266</v>
      </c>
      <c r="Q28" s="19"/>
      <c r="R28" s="19"/>
      <c r="T28" s="41"/>
      <c r="X28" s="40" t="s">
        <v>1032</v>
      </c>
      <c r="Y28" s="40">
        <v>1</v>
      </c>
      <c r="Z28" s="105">
        <v>2</v>
      </c>
      <c r="AC28" s="40" t="s">
        <v>1114</v>
      </c>
      <c r="AD28" s="40" t="s">
        <v>1312</v>
      </c>
    </row>
    <row r="29" spans="1:32" ht="16.5" customHeight="1">
      <c r="A29" s="28" t="s">
        <v>0</v>
      </c>
      <c r="B29" s="19" t="s">
        <v>356</v>
      </c>
      <c r="C29" s="19" t="s">
        <v>875</v>
      </c>
      <c r="D29" s="19" t="s">
        <v>1266</v>
      </c>
      <c r="E29" s="19" t="s">
        <v>1266</v>
      </c>
      <c r="F29" s="19" t="s">
        <v>1266</v>
      </c>
      <c r="G29" s="19" t="s">
        <v>1266</v>
      </c>
      <c r="H29" s="19" t="s">
        <v>1266</v>
      </c>
      <c r="I29" s="19" t="s">
        <v>1266</v>
      </c>
      <c r="J29" s="19" t="s">
        <v>356</v>
      </c>
      <c r="K29" s="19" t="s">
        <v>1266</v>
      </c>
      <c r="L29" s="19" t="s">
        <v>1266</v>
      </c>
      <c r="M29" s="19" t="s">
        <v>1266</v>
      </c>
      <c r="N29" s="19" t="s">
        <v>1266</v>
      </c>
      <c r="O29" s="19" t="s">
        <v>1266</v>
      </c>
      <c r="P29" s="19" t="s">
        <v>1266</v>
      </c>
      <c r="Q29" s="19"/>
      <c r="R29" s="19"/>
      <c r="T29" s="41"/>
    </row>
    <row r="30" spans="1:32" ht="16.5" customHeight="1">
      <c r="A30" s="28" t="s">
        <v>1</v>
      </c>
      <c r="B30" s="19"/>
      <c r="C30" s="112" t="s">
        <v>1328</v>
      </c>
      <c r="D30" s="112" t="s">
        <v>1266</v>
      </c>
      <c r="E30" s="112" t="s">
        <v>1266</v>
      </c>
      <c r="F30" s="112" t="s">
        <v>1266</v>
      </c>
      <c r="G30" s="112" t="s">
        <v>1266</v>
      </c>
      <c r="H30" s="112" t="s">
        <v>1266</v>
      </c>
      <c r="I30" s="112" t="s">
        <v>1266</v>
      </c>
      <c r="J30" s="19"/>
      <c r="K30" s="19"/>
      <c r="L30" s="19"/>
      <c r="M30" s="19"/>
      <c r="N30" s="19"/>
      <c r="O30" s="19"/>
      <c r="P30" s="19"/>
      <c r="Q30" s="19"/>
      <c r="R30" s="19"/>
      <c r="T30" s="41"/>
      <c r="V30" s="40" t="s">
        <v>567</v>
      </c>
      <c r="W30" s="40">
        <f>SUM(W18:W28)</f>
        <v>12</v>
      </c>
      <c r="Y30" s="40">
        <f>SUM(Y18:Y29)</f>
        <v>10</v>
      </c>
      <c r="Z30" s="40">
        <f>SUM(Z18:Z29)</f>
        <v>14</v>
      </c>
      <c r="AB30" s="40">
        <f>SUM(AB16:AB28)</f>
        <v>18</v>
      </c>
    </row>
    <row r="31" spans="1:32" ht="16.5" customHeight="1">
      <c r="A31" s="111" t="s">
        <v>1323</v>
      </c>
      <c r="B31" s="111"/>
      <c r="C31" s="111"/>
      <c r="D31" s="111"/>
      <c r="E31" s="111"/>
      <c r="F31" s="111"/>
      <c r="G31" s="111"/>
      <c r="H31" s="111"/>
      <c r="I31" s="111"/>
      <c r="J31" s="111"/>
      <c r="K31" s="111"/>
      <c r="L31" s="111"/>
      <c r="M31" s="111"/>
      <c r="N31" s="111"/>
      <c r="O31" s="111"/>
      <c r="P31" s="111"/>
      <c r="Q31" s="145" t="s">
        <v>82</v>
      </c>
      <c r="R31" s="145"/>
      <c r="T31" s="41"/>
    </row>
    <row r="32" spans="1:32" ht="16.5" customHeight="1">
      <c r="A32" s="111" t="s">
        <v>1322</v>
      </c>
      <c r="B32" s="111"/>
      <c r="C32" s="111"/>
      <c r="D32" s="111"/>
      <c r="E32" s="111"/>
      <c r="F32" s="111"/>
      <c r="G32" s="111"/>
      <c r="H32" s="111"/>
      <c r="I32" s="111"/>
      <c r="J32" s="111"/>
      <c r="K32" s="111"/>
      <c r="L32" s="111"/>
      <c r="M32" s="111"/>
      <c r="N32" s="111"/>
      <c r="O32" s="111"/>
      <c r="P32" s="111"/>
      <c r="Q32" s="85"/>
      <c r="R32" s="85"/>
      <c r="T32" s="41"/>
      <c r="V32" s="40" t="s">
        <v>1324</v>
      </c>
      <c r="W32" s="40">
        <f>SUM(W30,Y30,Z30)</f>
        <v>36</v>
      </c>
    </row>
    <row r="33" spans="1:25" ht="16.5" customHeight="1">
      <c r="T33" s="41"/>
    </row>
    <row r="34" spans="1:25" ht="16.5" customHeight="1">
      <c r="R34" s="43"/>
    </row>
    <row r="35" spans="1:25" ht="16.5" customHeight="1">
      <c r="R35" s="55"/>
    </row>
    <row r="36" spans="1:25" ht="12.75" customHeight="1">
      <c r="R36" s="55"/>
      <c r="T36" s="41"/>
    </row>
    <row r="37" spans="1:25">
      <c r="A37" s="40" t="s">
        <v>322</v>
      </c>
      <c r="B37" s="49"/>
      <c r="C37" s="49"/>
      <c r="D37" s="49"/>
      <c r="E37" s="49"/>
      <c r="F37" s="49"/>
      <c r="G37" s="49"/>
      <c r="H37" s="55"/>
      <c r="I37" s="49"/>
      <c r="J37" s="49"/>
      <c r="K37" s="49"/>
      <c r="L37" s="49"/>
      <c r="M37" s="49"/>
      <c r="N37" s="49"/>
      <c r="O37" s="49"/>
      <c r="R37" s="55"/>
      <c r="T37" s="41"/>
    </row>
    <row r="38" spans="1:25">
      <c r="A38" s="49" t="s">
        <v>1062</v>
      </c>
      <c r="B38" s="49" t="s">
        <v>1063</v>
      </c>
      <c r="C38" s="49"/>
      <c r="D38" s="49"/>
      <c r="E38" s="49"/>
      <c r="F38" s="49"/>
      <c r="G38" s="49" t="s">
        <v>1000</v>
      </c>
      <c r="H38" s="49"/>
      <c r="I38" s="55"/>
      <c r="J38" s="55"/>
      <c r="K38" s="55" t="s">
        <v>1108</v>
      </c>
      <c r="L38" s="55"/>
      <c r="M38" s="55"/>
      <c r="N38" s="55"/>
      <c r="O38" s="55"/>
      <c r="P38" s="43"/>
      <c r="Q38" s="43"/>
      <c r="R38" s="55"/>
      <c r="T38" s="41"/>
    </row>
    <row r="39" spans="1:25">
      <c r="A39" s="90" t="s">
        <v>1140</v>
      </c>
      <c r="B39" s="50"/>
      <c r="C39" s="49"/>
      <c r="D39" s="49"/>
      <c r="E39" s="49"/>
      <c r="F39" s="49"/>
      <c r="G39" s="95" t="s">
        <v>153</v>
      </c>
      <c r="H39" s="49"/>
      <c r="I39" s="55"/>
      <c r="J39" s="55"/>
      <c r="K39" s="55" t="s">
        <v>945</v>
      </c>
      <c r="L39" s="55"/>
      <c r="M39" s="55"/>
      <c r="N39" s="55"/>
      <c r="O39" s="55"/>
      <c r="P39" s="55"/>
      <c r="Q39" s="55"/>
      <c r="R39" s="55"/>
      <c r="S39" s="49"/>
      <c r="T39" s="72"/>
      <c r="U39" s="71"/>
      <c r="V39" s="71"/>
      <c r="W39" s="71"/>
      <c r="X39" s="71"/>
      <c r="Y39" s="71"/>
    </row>
    <row r="40" spans="1:25">
      <c r="A40" s="84" t="s">
        <v>1297</v>
      </c>
      <c r="B40" s="50"/>
      <c r="C40" s="76"/>
      <c r="D40" s="49"/>
      <c r="E40" s="49"/>
      <c r="F40" s="49"/>
      <c r="G40" s="98" t="s">
        <v>1296</v>
      </c>
      <c r="H40" s="49"/>
      <c r="I40" s="55"/>
      <c r="J40" s="55"/>
      <c r="K40" s="55" t="s">
        <v>1130</v>
      </c>
      <c r="L40" s="55"/>
      <c r="M40" s="55"/>
      <c r="N40" s="55"/>
      <c r="O40" s="55"/>
      <c r="P40" s="55"/>
      <c r="Q40" s="55"/>
      <c r="R40" s="55"/>
      <c r="S40" s="49"/>
      <c r="T40" s="72"/>
      <c r="U40" s="71"/>
      <c r="V40" s="71"/>
      <c r="W40" s="71"/>
      <c r="X40" s="71"/>
      <c r="Y40" s="71"/>
    </row>
    <row r="41" spans="1:25">
      <c r="A41" s="83" t="s">
        <v>1080</v>
      </c>
      <c r="B41" s="49"/>
      <c r="C41" s="49"/>
      <c r="D41" s="49"/>
      <c r="E41" s="49"/>
      <c r="F41" s="76"/>
      <c r="G41" s="83" t="s">
        <v>1080</v>
      </c>
      <c r="H41" s="49"/>
      <c r="I41" s="55"/>
      <c r="J41" s="55"/>
      <c r="K41" s="77" t="s">
        <v>1261</v>
      </c>
      <c r="L41" s="55"/>
      <c r="M41" s="55"/>
      <c r="N41" s="55"/>
      <c r="O41" s="55"/>
      <c r="P41" s="55"/>
      <c r="Q41" s="55"/>
      <c r="R41" s="55"/>
      <c r="S41" s="49"/>
      <c r="T41" s="71"/>
      <c r="U41" s="71"/>
      <c r="V41" s="71"/>
      <c r="W41" s="71"/>
      <c r="X41" s="71"/>
      <c r="Y41" s="71"/>
    </row>
    <row r="42" spans="1:25">
      <c r="A42" s="84" t="s">
        <v>1298</v>
      </c>
      <c r="B42" s="49"/>
      <c r="C42" s="49"/>
      <c r="D42" s="49"/>
      <c r="E42" s="49"/>
      <c r="F42" s="77"/>
      <c r="G42" s="98" t="s">
        <v>1305</v>
      </c>
      <c r="H42" s="49"/>
      <c r="I42" s="55"/>
      <c r="J42" s="55"/>
      <c r="K42" s="55" t="s">
        <v>1177</v>
      </c>
      <c r="L42" s="55"/>
      <c r="M42" s="55"/>
      <c r="N42" s="55"/>
      <c r="O42" s="55"/>
      <c r="P42" s="55"/>
      <c r="Q42" s="55"/>
      <c r="R42" s="55"/>
      <c r="S42" s="49"/>
      <c r="T42" s="71"/>
      <c r="U42" s="71"/>
      <c r="V42" s="71"/>
      <c r="W42" s="71"/>
      <c r="X42" s="71"/>
      <c r="Y42" s="71"/>
    </row>
    <row r="43" spans="1:25">
      <c r="A43" s="90" t="s">
        <v>1284</v>
      </c>
      <c r="B43" s="49"/>
      <c r="C43" s="49"/>
      <c r="D43" s="49"/>
      <c r="E43" s="49"/>
      <c r="F43" s="77"/>
      <c r="G43" s="90" t="s">
        <v>1303</v>
      </c>
      <c r="H43" s="49"/>
      <c r="I43" s="55"/>
      <c r="J43" s="55"/>
      <c r="K43" s="55" t="s">
        <v>1293</v>
      </c>
      <c r="L43" s="55"/>
      <c r="M43" s="55"/>
      <c r="N43" s="55"/>
      <c r="O43" s="55"/>
      <c r="P43" s="55"/>
      <c r="Q43" s="55"/>
      <c r="R43" s="55"/>
      <c r="S43" s="49"/>
      <c r="T43" s="72"/>
      <c r="U43" s="71"/>
      <c r="V43" s="71"/>
      <c r="W43" s="71"/>
      <c r="X43" s="71"/>
      <c r="Y43" s="71"/>
    </row>
    <row r="44" spans="1:25">
      <c r="A44" s="84" t="s">
        <v>1299</v>
      </c>
      <c r="B44" s="49"/>
      <c r="C44" s="49"/>
      <c r="D44" s="49"/>
      <c r="E44" s="49"/>
      <c r="F44" s="77"/>
      <c r="G44" s="93" t="s">
        <v>1306</v>
      </c>
      <c r="H44" s="49"/>
      <c r="I44" s="55"/>
      <c r="J44" s="55"/>
      <c r="K44" s="55"/>
      <c r="L44" s="55"/>
      <c r="M44" s="55"/>
      <c r="N44" s="55"/>
      <c r="O44" s="55"/>
      <c r="P44" s="55"/>
      <c r="Q44" s="55"/>
      <c r="R44" s="55"/>
      <c r="S44" s="49"/>
      <c r="T44" s="72"/>
      <c r="U44" s="71"/>
      <c r="V44" s="71"/>
      <c r="W44" s="71"/>
      <c r="X44" s="71"/>
      <c r="Y44" s="71"/>
    </row>
    <row r="45" spans="1:25">
      <c r="A45" s="90" t="s">
        <v>1302</v>
      </c>
      <c r="B45" s="49"/>
      <c r="C45" s="49"/>
      <c r="D45" s="49"/>
      <c r="E45" s="49"/>
      <c r="F45" s="77"/>
      <c r="G45" s="83" t="s">
        <v>1049</v>
      </c>
      <c r="H45" s="49"/>
      <c r="I45" s="55"/>
      <c r="J45" s="55"/>
      <c r="K45" s="55"/>
      <c r="L45" s="55"/>
      <c r="M45" s="55"/>
      <c r="N45" s="55"/>
      <c r="O45" s="55"/>
      <c r="P45" s="55"/>
      <c r="Q45" s="55"/>
      <c r="R45" s="55"/>
      <c r="S45" s="49"/>
      <c r="T45" s="72"/>
      <c r="U45" s="71"/>
      <c r="V45" s="71"/>
      <c r="W45" s="71"/>
      <c r="X45" s="71"/>
      <c r="Y45" s="71"/>
    </row>
    <row r="46" spans="1:25">
      <c r="A46" s="84" t="s">
        <v>1300</v>
      </c>
      <c r="B46" s="49"/>
      <c r="C46" s="76"/>
      <c r="D46" s="49"/>
      <c r="E46" s="49"/>
      <c r="F46" s="49"/>
      <c r="G46" s="103" t="s">
        <v>1304</v>
      </c>
      <c r="H46" s="49"/>
      <c r="I46" s="55"/>
      <c r="J46" s="55"/>
      <c r="K46" s="55"/>
      <c r="L46" s="55"/>
      <c r="M46" s="55"/>
      <c r="N46" s="55"/>
      <c r="O46" s="55"/>
      <c r="P46" s="55"/>
      <c r="Q46" s="55"/>
      <c r="R46" s="55"/>
      <c r="S46" s="49"/>
      <c r="T46" s="71"/>
      <c r="U46" s="71"/>
      <c r="V46" s="71"/>
      <c r="W46" s="71"/>
      <c r="X46" s="71"/>
      <c r="Y46" s="71"/>
    </row>
    <row r="47" spans="1:25">
      <c r="A47" s="90" t="s">
        <v>1050</v>
      </c>
      <c r="B47" s="49"/>
      <c r="C47" s="49"/>
      <c r="D47" s="49"/>
      <c r="E47" s="49"/>
      <c r="F47" s="77"/>
      <c r="G47" s="95" t="s">
        <v>1294</v>
      </c>
      <c r="H47" s="49"/>
      <c r="I47" s="55"/>
      <c r="J47" s="55"/>
      <c r="K47" s="55"/>
      <c r="L47" s="55"/>
      <c r="M47" s="55"/>
      <c r="N47" s="55"/>
      <c r="O47" s="55"/>
      <c r="P47" s="55"/>
      <c r="Q47" s="55"/>
      <c r="R47" s="55"/>
      <c r="S47" s="49"/>
      <c r="T47" s="72"/>
      <c r="U47" s="71"/>
      <c r="V47" s="71"/>
      <c r="W47" s="71"/>
      <c r="X47" s="71"/>
      <c r="Y47" s="71"/>
    </row>
    <row r="48" spans="1:25">
      <c r="A48" s="84" t="s">
        <v>1301</v>
      </c>
      <c r="B48" s="49"/>
      <c r="C48" s="49"/>
      <c r="D48" s="49"/>
      <c r="E48" s="49"/>
      <c r="F48" s="77"/>
      <c r="G48" s="94" t="s">
        <v>1295</v>
      </c>
      <c r="H48" s="49"/>
      <c r="I48" s="55"/>
      <c r="J48" s="55"/>
      <c r="K48" s="55"/>
      <c r="L48" s="55"/>
      <c r="M48" s="55"/>
      <c r="N48" s="55"/>
      <c r="O48" s="55"/>
      <c r="P48" s="55"/>
      <c r="Q48" s="55"/>
      <c r="R48" s="55"/>
      <c r="S48" s="49"/>
      <c r="T48" s="72"/>
      <c r="U48" s="71"/>
      <c r="V48" s="71"/>
      <c r="W48" s="71"/>
      <c r="X48" s="71"/>
      <c r="Y48" s="71"/>
    </row>
    <row r="49" spans="1:25">
      <c r="A49" s="95" t="s">
        <v>2</v>
      </c>
      <c r="B49" s="49"/>
      <c r="C49" s="49"/>
      <c r="D49" s="49"/>
      <c r="E49" s="49"/>
      <c r="F49" s="77"/>
      <c r="G49" s="83" t="s">
        <v>1325</v>
      </c>
      <c r="H49" s="49"/>
      <c r="I49" s="55"/>
      <c r="J49" s="55"/>
      <c r="K49" s="55"/>
      <c r="L49" s="55"/>
      <c r="M49" s="55"/>
      <c r="N49" s="55"/>
      <c r="O49" s="55"/>
      <c r="P49" s="55"/>
      <c r="Q49" s="55"/>
      <c r="R49" s="49"/>
      <c r="S49" s="49"/>
      <c r="T49" s="72"/>
      <c r="U49" s="71"/>
      <c r="V49" s="71"/>
      <c r="W49" s="71"/>
      <c r="X49" s="71"/>
      <c r="Y49" s="71"/>
    </row>
    <row r="50" spans="1:25">
      <c r="A50" s="104" t="s">
        <v>1307</v>
      </c>
      <c r="B50" s="49"/>
      <c r="C50" s="49"/>
      <c r="D50" s="49"/>
      <c r="E50" s="49"/>
      <c r="F50" s="49"/>
      <c r="G50" s="91" t="s">
        <v>1326</v>
      </c>
      <c r="H50" s="49"/>
      <c r="I50" s="55"/>
      <c r="J50" s="55"/>
      <c r="K50" s="55"/>
      <c r="L50" s="55"/>
      <c r="M50" s="55"/>
      <c r="N50" s="55"/>
      <c r="O50" s="55"/>
      <c r="P50" s="55"/>
      <c r="Q50" s="55"/>
      <c r="R50" s="49"/>
      <c r="S50" s="49"/>
      <c r="T50" s="71"/>
      <c r="U50" s="71"/>
      <c r="V50" s="71"/>
      <c r="W50" s="71"/>
      <c r="X50" s="71"/>
      <c r="Y50" s="71"/>
    </row>
    <row r="51" spans="1:25">
      <c r="A51" s="95" t="s">
        <v>314</v>
      </c>
      <c r="B51" s="49"/>
      <c r="C51" s="49"/>
      <c r="D51" s="49"/>
      <c r="E51" s="49"/>
      <c r="F51" s="77"/>
      <c r="G51" s="88"/>
      <c r="H51" s="49"/>
      <c r="I51" s="55"/>
      <c r="J51" s="55"/>
      <c r="K51" s="55"/>
      <c r="L51" s="55"/>
      <c r="M51" s="55"/>
      <c r="N51" s="55"/>
      <c r="O51" s="55"/>
      <c r="P51" s="55"/>
      <c r="Q51" s="55"/>
      <c r="R51" s="49"/>
      <c r="S51" s="49"/>
      <c r="T51" s="71"/>
      <c r="U51" s="71"/>
      <c r="V51" s="71"/>
      <c r="W51" s="71"/>
      <c r="X51" s="71"/>
      <c r="Y51" s="71"/>
    </row>
    <row r="52" spans="1:25">
      <c r="A52" s="104" t="s">
        <v>1308</v>
      </c>
      <c r="B52" s="49"/>
      <c r="C52" s="49"/>
      <c r="D52" s="49"/>
      <c r="E52" s="49"/>
      <c r="F52" s="49"/>
      <c r="G52" s="87"/>
      <c r="H52" s="49"/>
      <c r="I52" s="55"/>
      <c r="J52" s="55"/>
      <c r="K52" s="55"/>
      <c r="L52" s="55"/>
      <c r="M52" s="55"/>
      <c r="N52" s="55"/>
      <c r="O52" s="55"/>
      <c r="P52" s="55"/>
      <c r="Q52" s="55"/>
      <c r="R52" s="49"/>
      <c r="S52" s="49"/>
      <c r="T52" s="71"/>
      <c r="U52" s="71"/>
      <c r="V52" s="71"/>
      <c r="W52" s="71"/>
      <c r="X52" s="71"/>
      <c r="Y52" s="71"/>
    </row>
    <row r="53" spans="1:25">
      <c r="A53" s="90" t="s">
        <v>1065</v>
      </c>
      <c r="B53" s="49"/>
      <c r="C53" s="49"/>
      <c r="D53" s="49"/>
      <c r="E53" s="49"/>
      <c r="F53" s="49"/>
      <c r="G53" s="88"/>
      <c r="H53" s="49"/>
      <c r="I53" s="49"/>
      <c r="J53" s="49"/>
      <c r="K53" s="49"/>
      <c r="L53" s="49"/>
      <c r="M53" s="49"/>
      <c r="N53" s="49"/>
      <c r="O53" s="49"/>
      <c r="P53" s="49"/>
      <c r="Q53" s="49"/>
      <c r="R53" s="49"/>
      <c r="S53" s="49"/>
      <c r="T53" s="71"/>
      <c r="U53" s="71"/>
      <c r="V53" s="71"/>
      <c r="W53" s="71"/>
      <c r="X53" s="71"/>
      <c r="Y53" s="71"/>
    </row>
    <row r="54" spans="1:25">
      <c r="A54" s="91" t="s">
        <v>1319</v>
      </c>
      <c r="B54" s="49"/>
      <c r="C54" s="49"/>
      <c r="D54" s="49"/>
      <c r="E54" s="49"/>
      <c r="F54" s="49"/>
      <c r="G54" s="87"/>
      <c r="H54" s="49"/>
      <c r="I54" s="49"/>
      <c r="J54" s="49"/>
      <c r="K54" s="49"/>
      <c r="L54" s="49"/>
      <c r="M54" s="49"/>
      <c r="N54" s="49"/>
      <c r="O54" s="49"/>
      <c r="P54" s="49"/>
      <c r="Q54" s="49"/>
      <c r="R54" s="49"/>
      <c r="S54" s="49"/>
      <c r="T54" s="71"/>
      <c r="U54" s="71"/>
      <c r="V54" s="71"/>
      <c r="W54" s="71"/>
      <c r="X54" s="71"/>
      <c r="Y54" s="71"/>
    </row>
    <row r="55" spans="1:25">
      <c r="A55" s="90" t="s">
        <v>1157</v>
      </c>
      <c r="B55" s="73"/>
      <c r="C55" s="49"/>
      <c r="D55" s="49"/>
      <c r="E55" s="49"/>
      <c r="F55" s="76"/>
      <c r="G55" s="49"/>
      <c r="H55" s="49"/>
      <c r="I55" s="49"/>
      <c r="J55" s="49"/>
      <c r="K55" s="49"/>
      <c r="L55" s="49"/>
      <c r="M55" s="49"/>
      <c r="N55" s="49"/>
      <c r="O55" s="49"/>
      <c r="P55" s="49"/>
      <c r="Q55" s="49"/>
      <c r="R55" s="49"/>
      <c r="S55" s="49"/>
      <c r="T55" s="71"/>
      <c r="U55" s="71"/>
      <c r="V55" s="71"/>
      <c r="W55" s="71"/>
      <c r="X55" s="71"/>
      <c r="Y55" s="71"/>
    </row>
    <row r="56" spans="1:25">
      <c r="A56" s="91" t="s">
        <v>1308</v>
      </c>
      <c r="B56" s="49"/>
      <c r="C56" s="49"/>
      <c r="D56" s="49"/>
      <c r="E56" s="49"/>
      <c r="F56" s="49"/>
      <c r="G56" s="49"/>
      <c r="H56" s="49"/>
      <c r="I56" s="49"/>
      <c r="J56" s="49"/>
      <c r="K56" s="49"/>
      <c r="L56" s="49"/>
      <c r="M56" s="49"/>
      <c r="N56" s="49"/>
      <c r="O56" s="49"/>
      <c r="P56" s="49"/>
      <c r="Q56" s="49"/>
      <c r="R56" s="49"/>
      <c r="S56" s="49"/>
      <c r="T56" s="71"/>
      <c r="U56" s="71"/>
      <c r="V56" s="71"/>
      <c r="W56" s="71"/>
      <c r="X56" s="71"/>
      <c r="Y56" s="71"/>
    </row>
    <row r="57" spans="1:25">
      <c r="A57" s="101"/>
      <c r="B57" s="49"/>
      <c r="C57" s="49"/>
      <c r="D57" s="49"/>
      <c r="E57" s="49"/>
      <c r="F57" s="49"/>
      <c r="G57" s="49"/>
      <c r="H57" s="49"/>
      <c r="I57" s="49"/>
      <c r="J57" s="49"/>
      <c r="K57" s="49"/>
      <c r="L57" s="49"/>
      <c r="M57" s="49"/>
      <c r="N57" s="49"/>
      <c r="O57" s="49"/>
      <c r="P57" s="49"/>
      <c r="Q57" s="49"/>
      <c r="R57" s="49"/>
      <c r="S57" s="49"/>
      <c r="T57" s="71"/>
      <c r="U57" s="71"/>
      <c r="V57" s="71"/>
      <c r="W57" s="71"/>
      <c r="X57" s="71"/>
      <c r="Y57" s="71"/>
    </row>
    <row r="58" spans="1:25">
      <c r="A58" s="102"/>
      <c r="B58" s="49"/>
      <c r="C58" s="49"/>
      <c r="D58" s="49"/>
      <c r="E58" s="49"/>
      <c r="F58" s="49"/>
      <c r="G58" s="49"/>
      <c r="H58" s="49"/>
      <c r="I58" s="49"/>
      <c r="J58" s="49"/>
      <c r="K58" s="49"/>
      <c r="L58" s="49"/>
      <c r="M58" s="49"/>
      <c r="N58" s="49"/>
      <c r="O58" s="49"/>
      <c r="P58" s="49"/>
      <c r="Q58" s="49"/>
      <c r="R58" s="49"/>
      <c r="S58" s="49"/>
      <c r="T58" s="71"/>
      <c r="U58" s="71"/>
      <c r="V58" s="71"/>
      <c r="W58" s="71"/>
      <c r="X58" s="71"/>
      <c r="Y58" s="71"/>
    </row>
    <row r="59" spans="1:25">
      <c r="A59" s="49"/>
      <c r="B59" s="49"/>
      <c r="C59" s="49"/>
      <c r="D59" s="49"/>
      <c r="E59" s="49"/>
      <c r="F59" s="49"/>
      <c r="G59" s="49"/>
      <c r="H59" s="49"/>
      <c r="I59" s="49"/>
      <c r="J59" s="49"/>
      <c r="K59" s="49"/>
      <c r="L59" s="49"/>
      <c r="M59" s="49"/>
      <c r="N59" s="49"/>
      <c r="O59" s="49"/>
      <c r="P59" s="49"/>
      <c r="Q59" s="49"/>
      <c r="R59" s="49"/>
      <c r="S59" s="49"/>
      <c r="T59" s="71"/>
      <c r="U59" s="71"/>
      <c r="V59" s="71"/>
      <c r="W59" s="71"/>
      <c r="X59" s="71"/>
      <c r="Y59" s="71"/>
    </row>
    <row r="60" spans="1:25">
      <c r="A60" s="96"/>
      <c r="B60" s="49"/>
      <c r="C60" s="49"/>
      <c r="D60" s="49"/>
      <c r="E60" s="49"/>
      <c r="F60" s="49"/>
      <c r="G60" s="49"/>
      <c r="H60" s="49"/>
      <c r="I60" s="49"/>
      <c r="J60" s="49"/>
      <c r="K60" s="49"/>
      <c r="L60" s="49"/>
      <c r="M60" s="49"/>
      <c r="N60" s="49"/>
      <c r="O60" s="49"/>
      <c r="P60" s="49"/>
      <c r="Q60" s="49"/>
      <c r="R60" s="49"/>
      <c r="S60" s="49"/>
      <c r="T60" s="71"/>
      <c r="U60" s="71"/>
      <c r="V60" s="71"/>
      <c r="W60" s="71"/>
      <c r="X60" s="71"/>
      <c r="Y60" s="71"/>
    </row>
    <row r="61" spans="1:25">
      <c r="A61" s="76"/>
      <c r="B61" s="73"/>
      <c r="C61" s="73"/>
      <c r="D61" s="73"/>
      <c r="E61" s="73"/>
      <c r="F61" s="73"/>
      <c r="G61" s="73"/>
      <c r="H61" s="73"/>
      <c r="I61" s="73"/>
      <c r="J61" s="73"/>
      <c r="K61" s="73"/>
      <c r="L61" s="73"/>
      <c r="M61" s="73"/>
      <c r="N61" s="73"/>
      <c r="O61" s="73"/>
      <c r="P61" s="73"/>
      <c r="Q61" s="73"/>
      <c r="R61" s="73"/>
      <c r="S61" s="49"/>
      <c r="T61" s="71"/>
      <c r="U61" s="71"/>
      <c r="V61" s="71"/>
      <c r="W61" s="71"/>
      <c r="X61" s="71"/>
      <c r="Y61" s="71"/>
    </row>
    <row r="62" spans="1:25">
      <c r="A62" s="49"/>
      <c r="B62" s="73"/>
      <c r="C62" s="73"/>
      <c r="D62" s="73"/>
      <c r="E62" s="73"/>
      <c r="F62" s="73"/>
      <c r="G62" s="73"/>
      <c r="H62" s="73"/>
      <c r="I62" s="73"/>
      <c r="J62" s="73"/>
      <c r="K62" s="73"/>
      <c r="L62" s="73"/>
      <c r="M62" s="73"/>
      <c r="N62" s="73"/>
      <c r="O62" s="73"/>
      <c r="P62" s="73"/>
      <c r="Q62" s="73"/>
      <c r="R62" s="73"/>
      <c r="S62" s="49"/>
      <c r="T62" s="71"/>
      <c r="U62" s="71"/>
      <c r="V62" s="71"/>
      <c r="W62" s="71"/>
      <c r="X62" s="71"/>
      <c r="Y62" s="71"/>
    </row>
    <row r="63" spans="1:25">
      <c r="A63" s="73"/>
      <c r="B63" s="73"/>
      <c r="C63" s="73"/>
      <c r="D63" s="73"/>
      <c r="E63" s="73"/>
      <c r="F63" s="73"/>
      <c r="G63" s="73"/>
      <c r="H63" s="73"/>
      <c r="I63" s="73"/>
      <c r="J63" s="73"/>
      <c r="K63" s="73"/>
      <c r="L63" s="73"/>
      <c r="M63" s="73"/>
      <c r="N63" s="73"/>
      <c r="O63" s="73"/>
      <c r="P63" s="73"/>
      <c r="Q63" s="73"/>
      <c r="R63" s="73"/>
      <c r="S63" s="49"/>
      <c r="T63" s="71"/>
      <c r="U63" s="71"/>
      <c r="V63" s="71"/>
      <c r="W63" s="71"/>
      <c r="X63" s="71"/>
      <c r="Y63" s="71"/>
    </row>
    <row r="64" spans="1:25">
      <c r="A64" s="49"/>
      <c r="B64" s="73"/>
      <c r="C64" s="73"/>
      <c r="D64" s="73"/>
      <c r="E64" s="73"/>
      <c r="F64" s="73"/>
      <c r="G64" s="73"/>
      <c r="H64" s="73"/>
      <c r="I64" s="73"/>
      <c r="J64" s="73"/>
      <c r="K64" s="73"/>
      <c r="L64" s="73"/>
      <c r="M64" s="73"/>
      <c r="N64" s="73"/>
      <c r="O64" s="73"/>
      <c r="P64" s="73"/>
      <c r="Q64" s="73"/>
      <c r="R64" s="73"/>
      <c r="S64" s="49"/>
      <c r="T64" s="71"/>
      <c r="U64" s="71"/>
      <c r="V64" s="71"/>
      <c r="W64" s="71"/>
      <c r="X64" s="71"/>
      <c r="Y64" s="71"/>
    </row>
    <row r="65" spans="1:19">
      <c r="A65" s="73"/>
      <c r="B65" s="73"/>
      <c r="C65" s="73"/>
      <c r="D65" s="73"/>
      <c r="E65" s="73"/>
      <c r="F65" s="73"/>
      <c r="G65" s="73"/>
      <c r="H65" s="73"/>
      <c r="I65" s="73"/>
      <c r="J65" s="73"/>
      <c r="K65" s="73"/>
      <c r="L65" s="73"/>
      <c r="M65" s="73"/>
      <c r="N65" s="73"/>
      <c r="O65" s="73"/>
      <c r="P65" s="73"/>
      <c r="Q65" s="73"/>
      <c r="R65" s="73"/>
      <c r="S65" s="73"/>
    </row>
    <row r="66" spans="1:19">
      <c r="A66" s="73"/>
      <c r="B66" s="73"/>
      <c r="C66" s="73"/>
      <c r="D66" s="73"/>
      <c r="E66" s="73"/>
      <c r="F66" s="73"/>
      <c r="G66" s="73"/>
      <c r="H66" s="73"/>
      <c r="I66" s="73"/>
      <c r="J66" s="73"/>
      <c r="K66" s="73"/>
      <c r="L66" s="73"/>
      <c r="M66" s="73"/>
      <c r="N66" s="73"/>
      <c r="O66" s="73"/>
      <c r="P66" s="73"/>
      <c r="Q66" s="73"/>
      <c r="R66" s="73"/>
      <c r="S66" s="73"/>
    </row>
    <row r="67" spans="1:19">
      <c r="A67" s="73"/>
      <c r="B67" s="73"/>
      <c r="C67" s="73"/>
      <c r="D67" s="73"/>
      <c r="E67" s="73"/>
      <c r="F67" s="73"/>
      <c r="G67" s="73"/>
      <c r="H67" s="73"/>
      <c r="I67" s="73"/>
      <c r="J67" s="73"/>
      <c r="K67" s="73"/>
      <c r="L67" s="73"/>
      <c r="M67" s="73"/>
      <c r="N67" s="73"/>
      <c r="O67" s="73"/>
      <c r="P67" s="73"/>
      <c r="Q67" s="73"/>
      <c r="R67" s="73"/>
      <c r="S67" s="73"/>
    </row>
    <row r="68" spans="1:19">
      <c r="A68" s="73"/>
      <c r="B68" s="73"/>
      <c r="C68" s="73"/>
      <c r="D68" s="73"/>
      <c r="E68" s="73"/>
      <c r="F68" s="73"/>
      <c r="G68" s="73"/>
      <c r="H68" s="73"/>
      <c r="I68" s="73"/>
      <c r="J68" s="73"/>
      <c r="K68" s="73"/>
      <c r="L68" s="73"/>
      <c r="M68" s="73"/>
      <c r="N68" s="73"/>
      <c r="O68" s="73"/>
      <c r="P68" s="73"/>
      <c r="Q68" s="73"/>
      <c r="R68" s="73"/>
      <c r="S68" s="73"/>
    </row>
    <row r="69" spans="1:19">
      <c r="A69" s="73"/>
      <c r="B69" s="73"/>
      <c r="C69" s="73"/>
      <c r="D69" s="73"/>
      <c r="E69" s="73"/>
      <c r="F69" s="73"/>
      <c r="G69" s="73"/>
      <c r="H69" s="73"/>
      <c r="I69" s="73"/>
      <c r="J69" s="73"/>
      <c r="K69" s="73"/>
      <c r="L69" s="73"/>
      <c r="M69" s="73"/>
      <c r="N69" s="73"/>
      <c r="O69" s="73"/>
      <c r="P69" s="73"/>
      <c r="Q69" s="73"/>
      <c r="R69" s="73"/>
      <c r="S69" s="73"/>
    </row>
    <row r="70" spans="1:19">
      <c r="A70" s="73"/>
      <c r="B70" s="73"/>
      <c r="C70" s="73"/>
      <c r="D70" s="73"/>
      <c r="E70" s="73"/>
      <c r="F70" s="73"/>
      <c r="G70" s="73"/>
      <c r="H70" s="73"/>
      <c r="I70" s="73"/>
      <c r="J70" s="73"/>
      <c r="K70" s="73"/>
      <c r="L70" s="73"/>
      <c r="M70" s="73"/>
      <c r="N70" s="73"/>
      <c r="O70" s="73"/>
      <c r="P70" s="73"/>
      <c r="Q70" s="73"/>
      <c r="R70" s="73"/>
      <c r="S70" s="73"/>
    </row>
    <row r="71" spans="1:19">
      <c r="S71" s="73"/>
    </row>
    <row r="72" spans="1:19">
      <c r="S72" s="73"/>
    </row>
    <row r="73" spans="1:19">
      <c r="S73" s="73"/>
    </row>
    <row r="74" spans="1:19">
      <c r="S74" s="73"/>
    </row>
  </sheetData>
  <mergeCells count="2">
    <mergeCell ref="A1:R1"/>
    <mergeCell ref="Q31:R31"/>
  </mergeCells>
  <phoneticPr fontId="2"/>
  <pageMargins left="0.23622047244094491" right="0.23622047244094491" top="0" bottom="0" header="0.31496062992125984" footer="0.31496062992125984"/>
  <pageSetup paperSize="9" orientation="landscape" r:id="rId1"/>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DB005-A271-48F6-8E27-84A8006395E6}">
  <dimension ref="A1:AE74"/>
  <sheetViews>
    <sheetView zoomScale="90" zoomScaleNormal="90" workbookViewId="0">
      <selection activeCell="F22" sqref="F22"/>
    </sheetView>
  </sheetViews>
  <sheetFormatPr defaultColWidth="9" defaultRowHeight="18.75"/>
  <cols>
    <col min="1" max="18" width="6.625" style="40" customWidth="1"/>
    <col min="19" max="19" width="3.625" style="40" customWidth="1"/>
    <col min="20" max="20" width="6.625" style="40" customWidth="1"/>
    <col min="21" max="21" width="3.625" style="40" customWidth="1"/>
    <col min="22" max="37" width="6.625" style="40" customWidth="1"/>
    <col min="38" max="38" width="3.625" style="40" customWidth="1"/>
    <col min="39" max="16384" width="9" style="40"/>
  </cols>
  <sheetData>
    <row r="1" spans="1:31">
      <c r="A1" s="147" t="s">
        <v>1271</v>
      </c>
      <c r="B1" s="147"/>
      <c r="C1" s="147"/>
      <c r="D1" s="147"/>
      <c r="E1" s="147"/>
      <c r="F1" s="147"/>
      <c r="G1" s="147"/>
      <c r="H1" s="147"/>
      <c r="I1" s="147"/>
      <c r="J1" s="147"/>
      <c r="K1" s="147"/>
      <c r="L1" s="147"/>
      <c r="M1" s="147"/>
      <c r="N1" s="147"/>
      <c r="O1" s="147"/>
      <c r="P1" s="147"/>
      <c r="Q1" s="147"/>
      <c r="R1" s="147"/>
      <c r="X1" s="40" t="s">
        <v>669</v>
      </c>
    </row>
    <row r="2" spans="1:31" ht="16.5" customHeight="1">
      <c r="A2" s="26" t="s">
        <v>244</v>
      </c>
      <c r="B2" s="31">
        <v>45647</v>
      </c>
      <c r="C2" s="31">
        <v>45648</v>
      </c>
      <c r="D2" s="27">
        <v>45649</v>
      </c>
      <c r="E2" s="27">
        <v>45650</v>
      </c>
      <c r="F2" s="27">
        <v>45651</v>
      </c>
      <c r="G2" s="27">
        <v>45652</v>
      </c>
      <c r="H2" s="27">
        <v>45653</v>
      </c>
      <c r="I2" s="31">
        <v>45654</v>
      </c>
      <c r="J2" s="31">
        <v>45655</v>
      </c>
      <c r="K2" s="31">
        <v>45656</v>
      </c>
      <c r="L2" s="31">
        <v>45657</v>
      </c>
      <c r="M2" s="23" t="s">
        <v>278</v>
      </c>
      <c r="N2" s="30">
        <v>45658</v>
      </c>
      <c r="O2" s="30">
        <v>45659</v>
      </c>
      <c r="P2" s="30">
        <v>45660</v>
      </c>
      <c r="Q2" s="30">
        <v>45661</v>
      </c>
      <c r="R2" s="30">
        <v>45662</v>
      </c>
      <c r="V2" s="40" t="s">
        <v>63</v>
      </c>
      <c r="X2" s="40" t="s">
        <v>64</v>
      </c>
      <c r="Z2" s="40" t="s">
        <v>65</v>
      </c>
      <c r="AB2" s="40" t="s">
        <v>169</v>
      </c>
      <c r="AD2" s="40" t="s">
        <v>874</v>
      </c>
    </row>
    <row r="3" spans="1:31" ht="16.5" customHeight="1">
      <c r="A3" s="28">
        <v>1</v>
      </c>
      <c r="B3" s="19" t="s">
        <v>516</v>
      </c>
      <c r="C3" s="19" t="s">
        <v>774</v>
      </c>
      <c r="D3" s="19"/>
      <c r="E3" s="19"/>
      <c r="F3" s="19"/>
      <c r="G3" s="19"/>
      <c r="H3" s="19"/>
      <c r="I3" s="81"/>
      <c r="J3" s="81"/>
      <c r="K3" s="81"/>
      <c r="L3" s="81"/>
      <c r="M3" s="36"/>
      <c r="N3" s="81"/>
      <c r="O3" s="81"/>
      <c r="P3" s="81"/>
      <c r="Q3" s="81"/>
      <c r="R3" s="81"/>
      <c r="V3" s="40" t="s">
        <v>25</v>
      </c>
      <c r="W3" s="40">
        <v>2</v>
      </c>
      <c r="X3" s="40" t="s">
        <v>93</v>
      </c>
      <c r="Y3" s="40">
        <v>2</v>
      </c>
      <c r="Z3" s="40" t="s">
        <v>1159</v>
      </c>
      <c r="AA3" s="40">
        <v>3</v>
      </c>
      <c r="AB3" s="40" t="s">
        <v>153</v>
      </c>
      <c r="AC3" s="40">
        <v>6</v>
      </c>
      <c r="AD3" s="40" t="s">
        <v>37</v>
      </c>
      <c r="AE3" s="40" t="s">
        <v>1208</v>
      </c>
    </row>
    <row r="4" spans="1:31" ht="16.5" customHeight="1">
      <c r="A4" s="28">
        <v>2</v>
      </c>
      <c r="B4" s="19" t="s">
        <v>14</v>
      </c>
      <c r="C4" s="19" t="s">
        <v>769</v>
      </c>
      <c r="D4" s="19"/>
      <c r="E4" s="19"/>
      <c r="F4" s="19"/>
      <c r="G4" s="61"/>
      <c r="H4" s="19"/>
      <c r="I4" s="81"/>
      <c r="J4" s="81"/>
      <c r="K4" s="81"/>
      <c r="L4" s="81"/>
      <c r="M4" s="36"/>
      <c r="N4" s="81"/>
      <c r="O4" s="81"/>
      <c r="P4" s="81"/>
      <c r="Q4" s="81"/>
      <c r="R4" s="81"/>
      <c r="T4" s="41"/>
      <c r="U4" s="41"/>
      <c r="V4" s="40" t="s">
        <v>2</v>
      </c>
      <c r="W4" s="40">
        <v>1</v>
      </c>
      <c r="X4" s="40" t="s">
        <v>14</v>
      </c>
      <c r="Y4" s="40">
        <v>2</v>
      </c>
      <c r="Z4" s="40" t="s">
        <v>1065</v>
      </c>
      <c r="AA4" s="40">
        <v>3</v>
      </c>
      <c r="AB4" s="40" t="s">
        <v>26</v>
      </c>
      <c r="AC4" s="40">
        <v>7</v>
      </c>
      <c r="AD4" s="40" t="s">
        <v>863</v>
      </c>
      <c r="AE4" s="40" t="s">
        <v>1208</v>
      </c>
    </row>
    <row r="5" spans="1:31" ht="16.5" customHeight="1">
      <c r="A5" s="28">
        <v>3</v>
      </c>
      <c r="B5" s="19" t="s">
        <v>1208</v>
      </c>
      <c r="C5" s="19" t="s">
        <v>1208</v>
      </c>
      <c r="D5" s="19"/>
      <c r="E5" s="19"/>
      <c r="F5" s="19"/>
      <c r="G5" s="19"/>
      <c r="H5" s="19"/>
      <c r="I5" s="81"/>
      <c r="J5" s="81"/>
      <c r="K5" s="81"/>
      <c r="L5" s="81"/>
      <c r="M5" s="36"/>
      <c r="N5" s="81"/>
      <c r="O5" s="81"/>
      <c r="P5" s="81"/>
      <c r="Q5" s="81"/>
      <c r="R5" s="81"/>
      <c r="T5" s="41"/>
      <c r="U5" s="41"/>
      <c r="V5" s="40" t="s">
        <v>516</v>
      </c>
      <c r="W5" s="40">
        <v>1</v>
      </c>
      <c r="X5" s="40" t="s">
        <v>23</v>
      </c>
      <c r="Y5" s="40">
        <v>1</v>
      </c>
      <c r="Z5" s="40" t="s">
        <v>863</v>
      </c>
      <c r="AA5" s="40" t="s">
        <v>1208</v>
      </c>
      <c r="AB5" s="40" t="s">
        <v>1032</v>
      </c>
      <c r="AC5" s="40">
        <v>4</v>
      </c>
      <c r="AD5" s="40" t="s">
        <v>875</v>
      </c>
      <c r="AE5" s="40" t="s">
        <v>1270</v>
      </c>
    </row>
    <row r="6" spans="1:31" ht="16.5" customHeight="1">
      <c r="A6" s="28" t="s">
        <v>20</v>
      </c>
      <c r="B6" s="19" t="s">
        <v>25</v>
      </c>
      <c r="C6" s="19" t="s">
        <v>13</v>
      </c>
      <c r="D6" s="19" t="s">
        <v>864</v>
      </c>
      <c r="E6" s="19" t="s">
        <v>13</v>
      </c>
      <c r="F6" s="19" t="s">
        <v>13</v>
      </c>
      <c r="G6" s="19" t="s">
        <v>13</v>
      </c>
      <c r="H6" s="19" t="s">
        <v>13</v>
      </c>
      <c r="I6" s="81"/>
      <c r="J6" s="81"/>
      <c r="K6" s="81"/>
      <c r="L6" s="81"/>
      <c r="M6" s="36"/>
      <c r="N6" s="81"/>
      <c r="O6" s="81"/>
      <c r="P6" s="81"/>
      <c r="Q6" s="81"/>
      <c r="R6" s="81"/>
      <c r="T6" s="41"/>
      <c r="U6" s="41"/>
      <c r="V6" s="40" t="s">
        <v>7</v>
      </c>
      <c r="W6" s="40">
        <v>2</v>
      </c>
      <c r="X6" s="40" t="s">
        <v>153</v>
      </c>
      <c r="Y6" s="40">
        <v>2</v>
      </c>
      <c r="Z6" s="40" t="s">
        <v>37</v>
      </c>
      <c r="AA6" s="68">
        <v>3</v>
      </c>
      <c r="AB6" s="40" t="s">
        <v>23</v>
      </c>
      <c r="AC6" s="68">
        <v>5</v>
      </c>
      <c r="AD6" s="40" t="s">
        <v>356</v>
      </c>
      <c r="AE6" s="40" t="s">
        <v>931</v>
      </c>
    </row>
    <row r="7" spans="1:31" ht="16.5" customHeight="1">
      <c r="A7" s="28" t="s">
        <v>0</v>
      </c>
      <c r="B7" s="19" t="s">
        <v>875</v>
      </c>
      <c r="C7" s="19" t="s">
        <v>1266</v>
      </c>
      <c r="D7" s="19" t="s">
        <v>37</v>
      </c>
      <c r="E7" s="19" t="s">
        <v>13</v>
      </c>
      <c r="F7" s="19" t="s">
        <v>13</v>
      </c>
      <c r="G7" s="19" t="s">
        <v>13</v>
      </c>
      <c r="H7" s="19" t="s">
        <v>13</v>
      </c>
      <c r="I7" s="81"/>
      <c r="J7" s="81"/>
      <c r="K7" s="81"/>
      <c r="L7" s="81"/>
      <c r="M7" s="36"/>
      <c r="N7" s="81"/>
      <c r="O7" s="81"/>
      <c r="P7" s="81"/>
      <c r="Q7" s="81"/>
      <c r="R7" s="81"/>
      <c r="T7" s="41"/>
      <c r="U7" s="41"/>
      <c r="V7" s="40" t="s">
        <v>21</v>
      </c>
      <c r="W7" s="40">
        <v>2</v>
      </c>
      <c r="X7" s="40" t="s">
        <v>516</v>
      </c>
      <c r="Y7" s="40">
        <v>1</v>
      </c>
      <c r="Z7" s="40" t="s">
        <v>875</v>
      </c>
      <c r="AA7" s="40">
        <v>2</v>
      </c>
      <c r="AB7" s="40" t="s">
        <v>25</v>
      </c>
      <c r="AC7" s="40">
        <v>9</v>
      </c>
      <c r="AD7" s="40" t="s">
        <v>1159</v>
      </c>
      <c r="AE7" s="40" t="s">
        <v>1269</v>
      </c>
    </row>
    <row r="8" spans="1:31" ht="16.5" customHeight="1">
      <c r="A8" s="28" t="s">
        <v>1</v>
      </c>
      <c r="B8" s="19"/>
      <c r="C8" s="19"/>
      <c r="D8" s="19"/>
      <c r="E8" s="19"/>
      <c r="F8" s="19"/>
      <c r="G8" s="19"/>
      <c r="H8" s="19"/>
      <c r="I8" s="81"/>
      <c r="J8" s="81"/>
      <c r="K8" s="81"/>
      <c r="L8" s="81"/>
      <c r="M8" s="36"/>
      <c r="N8" s="81"/>
      <c r="O8" s="81"/>
      <c r="P8" s="81"/>
      <c r="Q8" s="81"/>
      <c r="R8" s="81"/>
      <c r="T8" s="41"/>
      <c r="V8" s="40" t="s">
        <v>26</v>
      </c>
      <c r="W8" s="40">
        <v>2</v>
      </c>
      <c r="X8" s="40" t="s">
        <v>152</v>
      </c>
      <c r="Y8" s="40">
        <v>2</v>
      </c>
      <c r="Z8" s="40" t="s">
        <v>1186</v>
      </c>
      <c r="AA8" s="64">
        <v>2</v>
      </c>
      <c r="AB8" s="40" t="s">
        <v>327</v>
      </c>
      <c r="AC8" s="64">
        <v>0</v>
      </c>
      <c r="AD8" s="40" t="s">
        <v>1186</v>
      </c>
      <c r="AE8" s="40" t="s">
        <v>1268</v>
      </c>
    </row>
    <row r="9" spans="1:31" ht="16.5" customHeight="1">
      <c r="A9" s="23" t="s">
        <v>278</v>
      </c>
      <c r="B9" s="25">
        <v>45663</v>
      </c>
      <c r="C9" s="25">
        <v>45664</v>
      </c>
      <c r="D9" s="25">
        <v>45665</v>
      </c>
      <c r="E9" s="25">
        <v>45666</v>
      </c>
      <c r="F9" s="25">
        <v>45667</v>
      </c>
      <c r="G9" s="30">
        <v>45668</v>
      </c>
      <c r="H9" s="30">
        <v>45669</v>
      </c>
      <c r="I9" s="25">
        <v>45670</v>
      </c>
      <c r="J9" s="25">
        <v>45671</v>
      </c>
      <c r="K9" s="25">
        <v>45672</v>
      </c>
      <c r="L9" s="25">
        <v>45673</v>
      </c>
      <c r="M9" s="25">
        <v>45674</v>
      </c>
      <c r="N9" s="30">
        <v>45675</v>
      </c>
      <c r="O9" s="30">
        <v>45676</v>
      </c>
      <c r="P9" s="25">
        <v>45677</v>
      </c>
      <c r="Q9" s="19"/>
      <c r="R9" s="19"/>
      <c r="T9" s="41"/>
      <c r="V9" s="40" t="s">
        <v>27</v>
      </c>
      <c r="W9" s="40">
        <v>2</v>
      </c>
      <c r="X9" s="40" t="s">
        <v>864</v>
      </c>
      <c r="Y9" s="40">
        <v>1</v>
      </c>
      <c r="Z9" s="40" t="s">
        <v>843</v>
      </c>
      <c r="AA9" s="40">
        <v>3</v>
      </c>
      <c r="AB9" s="40" t="s">
        <v>516</v>
      </c>
      <c r="AC9" s="40">
        <v>3</v>
      </c>
    </row>
    <row r="10" spans="1:31" ht="16.5" customHeight="1">
      <c r="A10" s="36">
        <v>1</v>
      </c>
      <c r="B10" s="19"/>
      <c r="C10" s="19"/>
      <c r="D10" s="19"/>
      <c r="E10" s="19"/>
      <c r="F10" s="19"/>
      <c r="G10" s="19" t="s">
        <v>2</v>
      </c>
      <c r="H10" s="19" t="s">
        <v>312</v>
      </c>
      <c r="I10" s="19"/>
      <c r="J10" s="19"/>
      <c r="K10" s="19"/>
      <c r="L10" s="19"/>
      <c r="N10" s="19" t="s">
        <v>25</v>
      </c>
      <c r="O10" s="19" t="s">
        <v>516</v>
      </c>
      <c r="P10" s="19"/>
      <c r="Q10" s="19"/>
      <c r="R10" s="19"/>
      <c r="T10" s="41"/>
      <c r="V10" s="40" t="s">
        <v>774</v>
      </c>
      <c r="W10" s="40">
        <v>2</v>
      </c>
      <c r="X10" s="40" t="s">
        <v>1032</v>
      </c>
      <c r="Y10" s="40">
        <v>2</v>
      </c>
      <c r="AB10" s="40" t="s">
        <v>864</v>
      </c>
      <c r="AC10" s="40">
        <v>2</v>
      </c>
    </row>
    <row r="11" spans="1:31" ht="16.5" customHeight="1">
      <c r="A11" s="36">
        <v>2</v>
      </c>
      <c r="B11" s="19"/>
      <c r="C11" s="19"/>
      <c r="D11" s="19"/>
      <c r="E11" s="19"/>
      <c r="F11" s="19"/>
      <c r="G11" s="19" t="s">
        <v>1032</v>
      </c>
      <c r="H11" s="19" t="s">
        <v>314</v>
      </c>
      <c r="I11" s="19"/>
      <c r="J11" s="19"/>
      <c r="K11" s="19"/>
      <c r="L11" s="19"/>
      <c r="M11" s="19"/>
      <c r="N11" s="19" t="s">
        <v>7</v>
      </c>
      <c r="O11" s="19" t="s">
        <v>864</v>
      </c>
      <c r="P11" s="19"/>
      <c r="Q11" s="19"/>
      <c r="R11" s="19"/>
      <c r="T11" s="41"/>
      <c r="V11" s="40" t="s">
        <v>769</v>
      </c>
      <c r="W11" s="40">
        <v>1</v>
      </c>
      <c r="X11" s="40" t="s">
        <v>1114</v>
      </c>
      <c r="Y11" s="40">
        <v>2</v>
      </c>
      <c r="AB11" s="40" t="s">
        <v>1114</v>
      </c>
      <c r="AC11" s="40" t="s">
        <v>897</v>
      </c>
    </row>
    <row r="12" spans="1:31" ht="16.5" customHeight="1">
      <c r="A12" s="36">
        <v>3</v>
      </c>
      <c r="B12" s="19"/>
      <c r="C12" s="19"/>
      <c r="D12" s="19"/>
      <c r="E12" s="19"/>
      <c r="F12" s="19"/>
      <c r="G12" s="19" t="s">
        <v>875</v>
      </c>
      <c r="H12" s="19" t="s">
        <v>1157</v>
      </c>
      <c r="I12" s="19"/>
      <c r="J12" s="19"/>
      <c r="K12" s="19"/>
      <c r="L12" s="19"/>
      <c r="M12" s="19"/>
      <c r="N12" s="19" t="s">
        <v>1065</v>
      </c>
      <c r="O12" s="19" t="s">
        <v>37</v>
      </c>
      <c r="P12" s="19"/>
      <c r="Q12" s="19"/>
      <c r="R12" s="19"/>
      <c r="T12" s="41"/>
      <c r="V12" s="40" t="s">
        <v>864</v>
      </c>
      <c r="W12" s="40">
        <v>1</v>
      </c>
      <c r="X12" s="40" t="s">
        <v>2</v>
      </c>
      <c r="Y12" s="40">
        <v>1</v>
      </c>
    </row>
    <row r="13" spans="1:31" ht="16.5" customHeight="1">
      <c r="A13" s="36" t="s">
        <v>20</v>
      </c>
      <c r="B13" s="19" t="s">
        <v>774</v>
      </c>
      <c r="C13" s="19" t="s">
        <v>13</v>
      </c>
      <c r="D13" s="19" t="s">
        <v>13</v>
      </c>
      <c r="E13" s="19" t="s">
        <v>13</v>
      </c>
      <c r="F13" s="19" t="s">
        <v>13</v>
      </c>
      <c r="G13" s="19" t="s">
        <v>13</v>
      </c>
      <c r="H13" s="19" t="s">
        <v>13</v>
      </c>
      <c r="I13" s="19" t="s">
        <v>1114</v>
      </c>
      <c r="J13" s="19" t="s">
        <v>13</v>
      </c>
      <c r="K13" s="19" t="s">
        <v>13</v>
      </c>
      <c r="L13" s="19" t="s">
        <v>13</v>
      </c>
      <c r="M13" s="19" t="s">
        <v>13</v>
      </c>
      <c r="N13" s="19" t="s">
        <v>13</v>
      </c>
      <c r="O13" s="19" t="s">
        <v>13</v>
      </c>
      <c r="P13" s="19" t="s">
        <v>1032</v>
      </c>
      <c r="Q13" s="19"/>
      <c r="R13" s="19"/>
      <c r="T13" s="41"/>
    </row>
    <row r="14" spans="1:31" ht="16.5" customHeight="1">
      <c r="A14" s="36" t="s">
        <v>0</v>
      </c>
      <c r="B14" s="19" t="s">
        <v>356</v>
      </c>
      <c r="C14" s="19" t="s">
        <v>13</v>
      </c>
      <c r="D14" s="19" t="s">
        <v>13</v>
      </c>
      <c r="E14" s="19" t="s">
        <v>13</v>
      </c>
      <c r="F14" s="19" t="s">
        <v>13</v>
      </c>
      <c r="G14" s="19" t="s">
        <v>13</v>
      </c>
      <c r="H14" s="19" t="s">
        <v>13</v>
      </c>
      <c r="I14" s="19" t="s">
        <v>1186</v>
      </c>
      <c r="J14" s="19" t="s">
        <v>13</v>
      </c>
      <c r="K14" s="19" t="s">
        <v>13</v>
      </c>
      <c r="L14" s="19" t="s">
        <v>13</v>
      </c>
      <c r="M14" s="19" t="s">
        <v>13</v>
      </c>
      <c r="N14" s="19" t="s">
        <v>13</v>
      </c>
      <c r="O14" s="19" t="s">
        <v>13</v>
      </c>
      <c r="P14" s="19" t="s">
        <v>356</v>
      </c>
      <c r="Q14" s="19"/>
      <c r="R14" s="19"/>
      <c r="T14" s="41"/>
    </row>
    <row r="15" spans="1:31" ht="16.5" customHeight="1">
      <c r="A15" s="36" t="s">
        <v>1</v>
      </c>
      <c r="B15" s="19"/>
      <c r="C15" s="19"/>
      <c r="D15" s="19"/>
      <c r="E15" s="19"/>
      <c r="F15" s="19"/>
      <c r="G15" s="19"/>
      <c r="H15" s="19"/>
      <c r="I15" s="19"/>
      <c r="J15" s="19"/>
      <c r="K15" s="19"/>
      <c r="L15" s="19"/>
      <c r="M15" s="19"/>
      <c r="N15" s="19"/>
      <c r="O15" s="19"/>
      <c r="P15" s="19"/>
      <c r="Q15" s="19"/>
      <c r="R15" s="19"/>
      <c r="T15" s="41"/>
      <c r="V15" s="40" t="s">
        <v>696</v>
      </c>
      <c r="W15" s="40">
        <f>SUM(W1:W13)</f>
        <v>16</v>
      </c>
      <c r="Y15" s="40">
        <f>SUM(Y1:Y13)</f>
        <v>16</v>
      </c>
      <c r="AA15" s="40">
        <f>SUM(AA1:AA13)</f>
        <v>16</v>
      </c>
    </row>
    <row r="16" spans="1:31" ht="16.5" customHeight="1">
      <c r="A16" s="42"/>
      <c r="B16" s="37"/>
      <c r="C16" s="37"/>
      <c r="D16" s="37"/>
      <c r="E16" s="37"/>
      <c r="F16" s="37"/>
      <c r="G16" s="37"/>
      <c r="H16" s="38"/>
      <c r="I16" s="38"/>
      <c r="J16" s="38"/>
      <c r="K16" s="38"/>
      <c r="L16" s="38"/>
      <c r="M16" s="38"/>
      <c r="N16" s="38"/>
      <c r="O16" s="38"/>
      <c r="P16" s="37"/>
      <c r="Q16" s="37"/>
      <c r="R16" s="39"/>
      <c r="T16" s="41"/>
    </row>
    <row r="17" spans="1:31" ht="16.5" customHeight="1">
      <c r="A17" s="23" t="s">
        <v>278</v>
      </c>
      <c r="B17" s="25">
        <v>45678</v>
      </c>
      <c r="C17" s="25">
        <v>45679</v>
      </c>
      <c r="D17" s="25">
        <v>45680</v>
      </c>
      <c r="E17" s="25">
        <v>45681</v>
      </c>
      <c r="F17" s="30">
        <v>45682</v>
      </c>
      <c r="G17" s="30">
        <v>45683</v>
      </c>
      <c r="H17" s="25">
        <v>45684</v>
      </c>
      <c r="I17" s="25">
        <v>45685</v>
      </c>
      <c r="J17" s="25">
        <v>45686</v>
      </c>
      <c r="K17" s="25">
        <v>45687</v>
      </c>
      <c r="L17" s="25">
        <v>45688</v>
      </c>
      <c r="M17" s="26" t="s">
        <v>279</v>
      </c>
      <c r="N17" s="31">
        <v>45689</v>
      </c>
      <c r="O17" s="31">
        <v>45690</v>
      </c>
      <c r="P17" s="27">
        <v>45691</v>
      </c>
      <c r="Q17" s="27">
        <v>45692</v>
      </c>
      <c r="R17" s="27">
        <v>45693</v>
      </c>
      <c r="T17" s="41"/>
    </row>
    <row r="18" spans="1:31" ht="16.5" customHeight="1">
      <c r="A18" s="36">
        <v>1</v>
      </c>
      <c r="B18" s="19"/>
      <c r="C18" s="19"/>
      <c r="D18" s="19"/>
      <c r="E18" s="19"/>
      <c r="F18" s="19" t="s">
        <v>1265</v>
      </c>
      <c r="G18" s="19" t="s">
        <v>107</v>
      </c>
      <c r="H18" s="19"/>
      <c r="I18" s="19"/>
      <c r="J18" s="19"/>
      <c r="K18" s="19"/>
      <c r="L18" s="19"/>
      <c r="M18" s="28"/>
      <c r="N18" s="19" t="s">
        <v>769</v>
      </c>
      <c r="O18" s="19" t="s">
        <v>774</v>
      </c>
      <c r="P18" s="19"/>
      <c r="Q18" s="19"/>
      <c r="R18" s="19"/>
      <c r="T18" s="41"/>
      <c r="X18" s="40" t="s">
        <v>495</v>
      </c>
    </row>
    <row r="19" spans="1:31" ht="16.5" customHeight="1">
      <c r="A19" s="36">
        <v>2</v>
      </c>
      <c r="B19" s="19"/>
      <c r="C19" s="19"/>
      <c r="D19" s="19"/>
      <c r="F19" s="19" t="s">
        <v>153</v>
      </c>
      <c r="G19" s="19" t="s">
        <v>93</v>
      </c>
      <c r="H19" s="19"/>
      <c r="I19" s="19"/>
      <c r="J19" s="19"/>
      <c r="K19" s="19"/>
      <c r="L19" s="61"/>
      <c r="M19" s="28"/>
      <c r="N19" s="19" t="s">
        <v>14</v>
      </c>
      <c r="O19" s="19" t="s">
        <v>1129</v>
      </c>
      <c r="P19" s="19"/>
      <c r="Q19" s="19"/>
      <c r="R19" s="19"/>
      <c r="T19" s="41"/>
      <c r="V19" s="40" t="s">
        <v>63</v>
      </c>
      <c r="X19" s="40" t="s">
        <v>64</v>
      </c>
      <c r="Z19" s="40" t="s">
        <v>65</v>
      </c>
      <c r="AB19" s="40" t="s">
        <v>169</v>
      </c>
      <c r="AD19" s="40" t="s">
        <v>874</v>
      </c>
    </row>
    <row r="20" spans="1:31" ht="16.5" customHeight="1">
      <c r="A20" s="36">
        <v>3</v>
      </c>
      <c r="B20" s="19"/>
      <c r="C20" s="19"/>
      <c r="D20" s="19"/>
      <c r="E20" s="19"/>
      <c r="F20" s="19" t="s">
        <v>1186</v>
      </c>
      <c r="G20" s="19" t="s">
        <v>875</v>
      </c>
      <c r="H20" s="19"/>
      <c r="I20" s="19"/>
      <c r="J20" s="19"/>
      <c r="K20" s="19"/>
      <c r="L20" s="19"/>
      <c r="M20" s="28"/>
      <c r="N20" s="19" t="s">
        <v>37</v>
      </c>
      <c r="O20" s="19" t="s">
        <v>1065</v>
      </c>
      <c r="P20" s="19"/>
      <c r="Q20" s="19"/>
      <c r="R20" s="19"/>
      <c r="T20" s="41"/>
      <c r="V20" s="40" t="s">
        <v>25</v>
      </c>
      <c r="W20" s="40">
        <v>2</v>
      </c>
      <c r="X20" s="40" t="s">
        <v>93</v>
      </c>
      <c r="Y20" s="40">
        <v>1</v>
      </c>
      <c r="Z20" s="40" t="s">
        <v>1159</v>
      </c>
      <c r="AA20" s="40">
        <v>2</v>
      </c>
      <c r="AB20" s="40" t="s">
        <v>153</v>
      </c>
      <c r="AC20" s="40">
        <v>7</v>
      </c>
      <c r="AD20" s="40" t="s">
        <v>37</v>
      </c>
      <c r="AE20" s="40">
        <v>2</v>
      </c>
    </row>
    <row r="21" spans="1:31" ht="16.5" customHeight="1">
      <c r="A21" s="36" t="s">
        <v>20</v>
      </c>
      <c r="B21" s="19" t="s">
        <v>1032</v>
      </c>
      <c r="C21" s="19" t="s">
        <v>13</v>
      </c>
      <c r="D21" s="19" t="s">
        <v>13</v>
      </c>
      <c r="E21" s="19" t="s">
        <v>13</v>
      </c>
      <c r="F21" s="19" t="s">
        <v>13</v>
      </c>
      <c r="G21" s="19" t="s">
        <v>13</v>
      </c>
      <c r="H21" s="19" t="s">
        <v>516</v>
      </c>
      <c r="I21" s="19" t="s">
        <v>13</v>
      </c>
      <c r="J21" s="19" t="s">
        <v>13</v>
      </c>
      <c r="K21" s="19" t="s">
        <v>13</v>
      </c>
      <c r="L21" s="19" t="s">
        <v>13</v>
      </c>
      <c r="M21" s="28"/>
      <c r="N21" s="19" t="s">
        <v>516</v>
      </c>
      <c r="O21" s="19" t="s">
        <v>13</v>
      </c>
      <c r="P21" s="19" t="s">
        <v>153</v>
      </c>
      <c r="Q21" s="19" t="s">
        <v>13</v>
      </c>
      <c r="R21" s="19" t="s">
        <v>13</v>
      </c>
      <c r="T21" s="41"/>
      <c r="V21" s="40" t="s">
        <v>2</v>
      </c>
      <c r="W21" s="40">
        <v>2</v>
      </c>
      <c r="X21" s="40" t="s">
        <v>14</v>
      </c>
      <c r="Y21" s="40">
        <v>2</v>
      </c>
      <c r="Z21" s="40" t="s">
        <v>1065</v>
      </c>
      <c r="AA21" s="40">
        <v>3</v>
      </c>
      <c r="AB21" s="40" t="s">
        <v>26</v>
      </c>
      <c r="AC21" s="40">
        <v>9</v>
      </c>
      <c r="AD21" s="40" t="s">
        <v>875</v>
      </c>
      <c r="AE21" s="40" t="s">
        <v>897</v>
      </c>
    </row>
    <row r="22" spans="1:31" ht="16.5" customHeight="1">
      <c r="A22" s="36" t="s">
        <v>0</v>
      </c>
      <c r="B22" s="19" t="s">
        <v>356</v>
      </c>
      <c r="C22" s="19" t="s">
        <v>13</v>
      </c>
      <c r="D22" s="19" t="s">
        <v>13</v>
      </c>
      <c r="E22" s="19" t="s">
        <v>13</v>
      </c>
      <c r="F22" s="19" t="s">
        <v>13</v>
      </c>
      <c r="G22" s="19" t="s">
        <v>13</v>
      </c>
      <c r="H22" s="19" t="s">
        <v>1157</v>
      </c>
      <c r="I22" s="19" t="s">
        <v>13</v>
      </c>
      <c r="J22" s="19" t="s">
        <v>13</v>
      </c>
      <c r="K22" s="19" t="s">
        <v>13</v>
      </c>
      <c r="L22" s="19" t="s">
        <v>13</v>
      </c>
      <c r="M22" s="28"/>
      <c r="N22" s="19" t="s">
        <v>1157</v>
      </c>
      <c r="O22" s="19" t="s">
        <v>13</v>
      </c>
      <c r="P22" s="19" t="s">
        <v>356</v>
      </c>
      <c r="Q22" s="19" t="s">
        <v>13</v>
      </c>
      <c r="R22" s="19" t="s">
        <v>13</v>
      </c>
      <c r="T22" s="41"/>
      <c r="V22" s="40" t="s">
        <v>516</v>
      </c>
      <c r="W22" s="40">
        <v>3</v>
      </c>
      <c r="X22" s="40" t="s">
        <v>23</v>
      </c>
      <c r="Y22" s="40">
        <v>1</v>
      </c>
      <c r="Z22" s="40" t="s">
        <v>37</v>
      </c>
      <c r="AA22" s="40">
        <v>3</v>
      </c>
      <c r="AB22" s="40" t="s">
        <v>1032</v>
      </c>
      <c r="AC22" s="40">
        <v>5</v>
      </c>
      <c r="AD22" s="40" t="s">
        <v>356</v>
      </c>
      <c r="AE22" s="40" t="s">
        <v>1292</v>
      </c>
    </row>
    <row r="23" spans="1:31" ht="16.5" customHeight="1">
      <c r="A23" s="36" t="s">
        <v>1</v>
      </c>
      <c r="B23" s="19"/>
      <c r="C23" s="19"/>
      <c r="D23" s="19"/>
      <c r="E23" s="19"/>
      <c r="F23" s="19"/>
      <c r="G23" s="19"/>
      <c r="H23" s="19"/>
      <c r="I23" s="19"/>
      <c r="J23" s="19"/>
      <c r="K23" s="19"/>
      <c r="L23" s="19"/>
      <c r="M23" s="28"/>
      <c r="N23" s="19"/>
      <c r="O23" s="19"/>
      <c r="P23" s="19"/>
      <c r="Q23" s="19"/>
      <c r="R23" s="19"/>
      <c r="T23" s="41"/>
      <c r="V23" s="40" t="s">
        <v>7</v>
      </c>
      <c r="W23" s="40">
        <v>0</v>
      </c>
      <c r="X23" s="40" t="s">
        <v>153</v>
      </c>
      <c r="Y23" s="40">
        <v>1</v>
      </c>
      <c r="Z23" s="40" t="s">
        <v>875</v>
      </c>
      <c r="AA23" s="68">
        <v>2</v>
      </c>
      <c r="AB23" s="40" t="s">
        <v>23</v>
      </c>
      <c r="AC23" s="68">
        <v>8</v>
      </c>
      <c r="AD23" s="40" t="s">
        <v>1159</v>
      </c>
      <c r="AE23" s="40">
        <v>6</v>
      </c>
    </row>
    <row r="24" spans="1:31" ht="16.5" customHeight="1">
      <c r="A24" s="26" t="s">
        <v>279</v>
      </c>
      <c r="B24" s="27">
        <v>45694</v>
      </c>
      <c r="C24" s="27">
        <v>45695</v>
      </c>
      <c r="D24" s="31">
        <v>45696</v>
      </c>
      <c r="E24" s="31">
        <v>45697</v>
      </c>
      <c r="F24" s="27">
        <v>45698</v>
      </c>
      <c r="G24" s="27">
        <v>45699</v>
      </c>
      <c r="H24" s="27">
        <v>45700</v>
      </c>
      <c r="I24" s="27">
        <v>45701</v>
      </c>
      <c r="J24" s="27">
        <v>45702</v>
      </c>
      <c r="K24" s="31">
        <v>45703</v>
      </c>
      <c r="L24" s="31">
        <v>45704</v>
      </c>
      <c r="M24" s="27">
        <v>45705</v>
      </c>
      <c r="N24" s="27">
        <v>45706</v>
      </c>
      <c r="O24" s="27">
        <v>45707</v>
      </c>
      <c r="P24" s="27">
        <v>45708</v>
      </c>
      <c r="Q24" s="19"/>
      <c r="R24" s="19"/>
      <c r="T24" s="41"/>
      <c r="V24" s="40" t="s">
        <v>21</v>
      </c>
      <c r="W24" s="40">
        <v>1</v>
      </c>
      <c r="X24" s="40" t="s">
        <v>516</v>
      </c>
      <c r="Y24" s="40">
        <v>0</v>
      </c>
      <c r="Z24" s="40" t="s">
        <v>1186</v>
      </c>
      <c r="AA24" s="40">
        <v>2</v>
      </c>
      <c r="AB24" s="40" t="s">
        <v>25</v>
      </c>
      <c r="AC24" s="40">
        <v>1</v>
      </c>
      <c r="AD24" s="40" t="s">
        <v>1186</v>
      </c>
      <c r="AE24" s="40">
        <v>4</v>
      </c>
    </row>
    <row r="25" spans="1:31" ht="16.5" customHeight="1">
      <c r="A25" s="28">
        <v>1</v>
      </c>
      <c r="B25" s="19"/>
      <c r="C25" s="19"/>
      <c r="D25" s="19" t="s">
        <v>312</v>
      </c>
      <c r="E25" s="40" t="s">
        <v>2</v>
      </c>
      <c r="F25" s="19"/>
      <c r="G25" s="19"/>
      <c r="H25" s="19"/>
      <c r="I25" s="19"/>
      <c r="J25" s="19"/>
      <c r="K25" s="19" t="s">
        <v>516</v>
      </c>
      <c r="L25" s="19" t="s">
        <v>25</v>
      </c>
      <c r="M25" s="19"/>
      <c r="N25" s="19"/>
      <c r="O25" s="19"/>
      <c r="P25" s="19"/>
      <c r="Q25" s="19"/>
      <c r="R25" s="19"/>
      <c r="T25" s="41"/>
      <c r="V25" s="40" t="s">
        <v>26</v>
      </c>
      <c r="W25" s="40">
        <v>2</v>
      </c>
      <c r="X25" s="40" t="s">
        <v>152</v>
      </c>
      <c r="Y25" s="40">
        <v>2</v>
      </c>
      <c r="Z25" s="40" t="s">
        <v>843</v>
      </c>
      <c r="AA25" s="64" t="s">
        <v>1208</v>
      </c>
      <c r="AB25" s="40" t="s">
        <v>327</v>
      </c>
      <c r="AC25" s="64">
        <v>3</v>
      </c>
    </row>
    <row r="26" spans="1:31" ht="16.5" customHeight="1">
      <c r="A26" s="28">
        <v>2</v>
      </c>
      <c r="B26" s="19"/>
      <c r="C26" s="19"/>
      <c r="D26" s="19" t="s">
        <v>1032</v>
      </c>
      <c r="E26" s="19" t="s">
        <v>314</v>
      </c>
      <c r="F26" s="19"/>
      <c r="G26" s="19"/>
      <c r="H26" s="19"/>
      <c r="I26" s="19"/>
      <c r="J26" s="19"/>
      <c r="K26" s="19" t="s">
        <v>864</v>
      </c>
      <c r="L26" s="19" t="s">
        <v>7</v>
      </c>
      <c r="M26" s="19"/>
      <c r="N26" s="19"/>
      <c r="O26" s="19"/>
      <c r="P26" s="19"/>
      <c r="Q26" s="19"/>
      <c r="R26" s="19"/>
      <c r="T26" s="41"/>
      <c r="V26" s="40" t="s">
        <v>27</v>
      </c>
      <c r="W26" s="40">
        <v>1</v>
      </c>
      <c r="X26" s="40" t="s">
        <v>864</v>
      </c>
      <c r="Y26" s="40">
        <v>2</v>
      </c>
      <c r="AB26" s="40" t="s">
        <v>516</v>
      </c>
      <c r="AC26" s="40">
        <v>6</v>
      </c>
    </row>
    <row r="27" spans="1:31" ht="16.5" customHeight="1">
      <c r="A27" s="28">
        <v>3</v>
      </c>
      <c r="B27" s="19"/>
      <c r="C27" s="19"/>
      <c r="D27" s="19" t="s">
        <v>1186</v>
      </c>
      <c r="E27" s="19" t="s">
        <v>1157</v>
      </c>
      <c r="F27" s="19"/>
      <c r="G27" s="19"/>
      <c r="H27" s="19"/>
      <c r="I27" s="19"/>
      <c r="J27" s="19"/>
      <c r="K27" s="19" t="s">
        <v>1065</v>
      </c>
      <c r="L27" s="19" t="s">
        <v>37</v>
      </c>
      <c r="M27" s="19"/>
      <c r="N27" s="19"/>
      <c r="O27" s="19"/>
      <c r="P27" s="19"/>
      <c r="Q27" s="19"/>
      <c r="R27" s="19"/>
      <c r="T27" s="41"/>
      <c r="V27" s="40" t="s">
        <v>774</v>
      </c>
      <c r="W27" s="40">
        <v>2</v>
      </c>
      <c r="X27" s="40" t="s">
        <v>1032</v>
      </c>
      <c r="Y27" s="40">
        <v>2</v>
      </c>
      <c r="AB27" s="40" t="s">
        <v>864</v>
      </c>
      <c r="AC27" s="40">
        <v>4</v>
      </c>
    </row>
    <row r="28" spans="1:31" ht="16.5" customHeight="1">
      <c r="A28" s="28" t="s">
        <v>20</v>
      </c>
      <c r="B28" s="19" t="s">
        <v>153</v>
      </c>
      <c r="C28" s="19" t="s">
        <v>13</v>
      </c>
      <c r="D28" s="19" t="s">
        <v>13</v>
      </c>
      <c r="E28" s="19" t="s">
        <v>13</v>
      </c>
      <c r="F28" s="19" t="s">
        <v>769</v>
      </c>
      <c r="G28" s="19" t="s">
        <v>13</v>
      </c>
      <c r="H28" s="19" t="s">
        <v>13</v>
      </c>
      <c r="I28" s="19" t="s">
        <v>13</v>
      </c>
      <c r="J28" s="19" t="s">
        <v>13</v>
      </c>
      <c r="K28" s="19" t="s">
        <v>13</v>
      </c>
      <c r="L28" s="19" t="s">
        <v>13</v>
      </c>
      <c r="M28" s="19" t="s">
        <v>312</v>
      </c>
      <c r="N28" s="19" t="s">
        <v>13</v>
      </c>
      <c r="O28" s="19" t="s">
        <v>13</v>
      </c>
      <c r="P28" s="19" t="s">
        <v>13</v>
      </c>
      <c r="Q28" s="19"/>
      <c r="R28" s="19"/>
      <c r="T28" s="41"/>
      <c r="V28" s="40" t="s">
        <v>769</v>
      </c>
      <c r="W28" s="40">
        <v>1</v>
      </c>
      <c r="X28" s="40" t="s">
        <v>1114</v>
      </c>
      <c r="Y28" s="40">
        <v>1</v>
      </c>
      <c r="AB28" s="40" t="s">
        <v>1114</v>
      </c>
      <c r="AC28" s="40">
        <v>2</v>
      </c>
    </row>
    <row r="29" spans="1:31" ht="16.5" customHeight="1">
      <c r="A29" s="28" t="s">
        <v>0</v>
      </c>
      <c r="B29" s="19" t="s">
        <v>356</v>
      </c>
      <c r="C29" s="19" t="s">
        <v>13</v>
      </c>
      <c r="D29" s="19" t="s">
        <v>13</v>
      </c>
      <c r="E29" s="19" t="s">
        <v>13</v>
      </c>
      <c r="F29" s="19" t="s">
        <v>875</v>
      </c>
      <c r="G29" s="19" t="s">
        <v>13</v>
      </c>
      <c r="H29" s="19" t="s">
        <v>13</v>
      </c>
      <c r="I29" s="19" t="s">
        <v>13</v>
      </c>
      <c r="J29" s="19" t="s">
        <v>13</v>
      </c>
      <c r="K29" s="19" t="s">
        <v>13</v>
      </c>
      <c r="L29" s="19" t="s">
        <v>13</v>
      </c>
      <c r="M29" s="19" t="s">
        <v>356</v>
      </c>
      <c r="N29" s="19" t="s">
        <v>13</v>
      </c>
      <c r="O29" s="19" t="s">
        <v>13</v>
      </c>
      <c r="P29" s="19" t="s">
        <v>13</v>
      </c>
      <c r="Q29" s="19"/>
      <c r="R29" s="19"/>
      <c r="T29" s="41"/>
      <c r="V29" s="40" t="s">
        <v>864</v>
      </c>
      <c r="W29" s="40">
        <v>0</v>
      </c>
      <c r="X29" s="40" t="s">
        <v>2</v>
      </c>
      <c r="Y29" s="40">
        <v>0</v>
      </c>
    </row>
    <row r="30" spans="1:31" ht="16.5" customHeight="1">
      <c r="A30" s="28" t="s">
        <v>1</v>
      </c>
      <c r="B30" s="19"/>
      <c r="C30" s="19"/>
      <c r="D30" s="19"/>
      <c r="E30" s="19"/>
      <c r="F30" s="19"/>
      <c r="G30" s="19"/>
      <c r="H30" s="19"/>
      <c r="I30" s="19"/>
      <c r="J30" s="19"/>
      <c r="K30" s="19"/>
      <c r="L30" s="19"/>
      <c r="M30" s="19"/>
      <c r="N30" s="19"/>
      <c r="O30" s="19"/>
      <c r="P30" s="19"/>
      <c r="Q30" s="19"/>
      <c r="R30" s="19"/>
      <c r="T30" s="41"/>
      <c r="X30" s="40" t="s">
        <v>7</v>
      </c>
      <c r="Y30" s="40">
        <v>2</v>
      </c>
    </row>
    <row r="31" spans="1:31" ht="16.5" customHeight="1">
      <c r="Q31" s="145" t="s">
        <v>82</v>
      </c>
      <c r="R31" s="145"/>
      <c r="T31" s="41"/>
    </row>
    <row r="32" spans="1:31" ht="16.5" customHeight="1">
      <c r="Q32" s="85"/>
      <c r="R32" s="85"/>
      <c r="T32" s="41"/>
      <c r="V32" s="40" t="s">
        <v>841</v>
      </c>
      <c r="W32" s="40">
        <f>SUM(W18:W30)</f>
        <v>14</v>
      </c>
      <c r="Y32" s="40">
        <f>SUM(Y18:Y30)</f>
        <v>14</v>
      </c>
      <c r="AA32" s="40">
        <f>SUM(AA18:AA30)</f>
        <v>12</v>
      </c>
    </row>
    <row r="33" spans="1:25" ht="16.5" customHeight="1">
      <c r="A33" s="40" t="s">
        <v>322</v>
      </c>
      <c r="B33" s="49"/>
      <c r="C33" s="49"/>
      <c r="D33" s="49"/>
      <c r="E33" s="49"/>
      <c r="F33" s="49"/>
      <c r="G33" s="49"/>
      <c r="H33" s="55"/>
      <c r="I33" s="49"/>
      <c r="J33" s="49"/>
      <c r="K33" s="49"/>
      <c r="L33" s="49"/>
      <c r="M33" s="49"/>
      <c r="N33" s="49"/>
      <c r="O33" s="49"/>
      <c r="T33" s="41"/>
    </row>
    <row r="34" spans="1:25" ht="16.5" customHeight="1">
      <c r="A34" s="49" t="s">
        <v>1062</v>
      </c>
      <c r="B34" s="49" t="s">
        <v>1063</v>
      </c>
      <c r="C34" s="49"/>
      <c r="D34" s="49"/>
      <c r="E34" s="49"/>
      <c r="F34" s="49"/>
      <c r="G34" s="49" t="s">
        <v>1000</v>
      </c>
      <c r="H34" s="49"/>
      <c r="I34" s="55"/>
      <c r="J34" s="55"/>
      <c r="K34" s="55" t="s">
        <v>1108</v>
      </c>
      <c r="L34" s="55"/>
      <c r="M34" s="55"/>
      <c r="N34" s="55"/>
      <c r="O34" s="55"/>
      <c r="P34" s="43"/>
      <c r="Q34" s="43"/>
      <c r="R34" s="43"/>
    </row>
    <row r="35" spans="1:25" ht="16.5" customHeight="1">
      <c r="A35" s="90" t="s">
        <v>1233</v>
      </c>
      <c r="B35" s="49"/>
      <c r="C35" s="49"/>
      <c r="D35" s="49"/>
      <c r="E35" s="49"/>
      <c r="F35" s="49"/>
      <c r="G35" s="83" t="s">
        <v>1140</v>
      </c>
      <c r="H35" s="49"/>
      <c r="I35" s="55"/>
      <c r="J35" s="55"/>
      <c r="K35" s="55" t="s">
        <v>945</v>
      </c>
      <c r="L35" s="55"/>
      <c r="M35" s="55"/>
      <c r="N35" s="55"/>
      <c r="O35" s="55"/>
      <c r="P35" s="55"/>
      <c r="Q35" s="55"/>
      <c r="R35" s="55"/>
    </row>
    <row r="36" spans="1:25" ht="12.75" customHeight="1">
      <c r="A36" s="84" t="s">
        <v>1272</v>
      </c>
      <c r="B36" s="49"/>
      <c r="C36" s="76"/>
      <c r="D36" s="49"/>
      <c r="E36" s="49"/>
      <c r="F36" s="49"/>
      <c r="G36" s="98" t="s">
        <v>1287</v>
      </c>
      <c r="H36" s="49"/>
      <c r="I36" s="55"/>
      <c r="J36" s="55"/>
      <c r="K36" s="55" t="s">
        <v>1130</v>
      </c>
      <c r="L36" s="55"/>
      <c r="M36" s="55"/>
      <c r="N36" s="55"/>
      <c r="O36" s="55"/>
      <c r="P36" s="55"/>
      <c r="Q36" s="55"/>
      <c r="R36" s="55"/>
      <c r="T36" s="41"/>
    </row>
    <row r="37" spans="1:25">
      <c r="A37" s="83" t="s">
        <v>1233</v>
      </c>
      <c r="B37" s="49"/>
      <c r="C37" s="49"/>
      <c r="D37" s="49"/>
      <c r="E37" s="49"/>
      <c r="F37" s="76"/>
      <c r="G37" s="83" t="s">
        <v>1281</v>
      </c>
      <c r="H37" s="49"/>
      <c r="I37" s="55"/>
      <c r="J37" s="55"/>
      <c r="K37" s="77" t="s">
        <v>1261</v>
      </c>
      <c r="L37" s="55"/>
      <c r="M37" s="55"/>
      <c r="N37" s="55"/>
      <c r="O37" s="55"/>
      <c r="P37" s="55"/>
      <c r="Q37" s="55"/>
      <c r="R37" s="55"/>
      <c r="T37" s="41"/>
    </row>
    <row r="38" spans="1:25">
      <c r="A38" s="84" t="s">
        <v>1273</v>
      </c>
      <c r="B38" s="49"/>
      <c r="C38" s="49"/>
      <c r="D38" s="49"/>
      <c r="E38" s="49"/>
      <c r="F38" s="77"/>
      <c r="G38" s="98" t="s">
        <v>1288</v>
      </c>
      <c r="H38" s="49"/>
      <c r="I38" s="55"/>
      <c r="J38" s="55"/>
      <c r="K38" s="55" t="s">
        <v>1177</v>
      </c>
      <c r="L38" s="55"/>
      <c r="M38" s="55"/>
      <c r="N38" s="55"/>
      <c r="O38" s="55"/>
      <c r="P38" s="55"/>
      <c r="Q38" s="55"/>
      <c r="R38" s="55"/>
      <c r="T38" s="41"/>
    </row>
    <row r="39" spans="1:25">
      <c r="A39" s="90" t="s">
        <v>1284</v>
      </c>
      <c r="B39" s="49"/>
      <c r="C39" s="49"/>
      <c r="D39" s="49"/>
      <c r="E39" s="49"/>
      <c r="F39" s="77"/>
      <c r="G39" s="83" t="s">
        <v>1056</v>
      </c>
      <c r="H39" s="49"/>
      <c r="I39" s="55"/>
      <c r="J39" s="55"/>
      <c r="K39" s="55" t="s">
        <v>1293</v>
      </c>
      <c r="L39" s="55"/>
      <c r="M39" s="55"/>
      <c r="N39" s="55"/>
      <c r="O39" s="55"/>
      <c r="P39" s="55"/>
      <c r="Q39" s="55"/>
      <c r="R39" s="55"/>
      <c r="S39" s="49"/>
      <c r="T39" s="72"/>
      <c r="U39" s="71"/>
      <c r="V39" s="71"/>
      <c r="W39" s="71"/>
      <c r="X39" s="71"/>
      <c r="Y39" s="71"/>
    </row>
    <row r="40" spans="1:25">
      <c r="A40" s="84" t="s">
        <v>1274</v>
      </c>
      <c r="B40" s="49"/>
      <c r="C40" s="49"/>
      <c r="D40" s="49"/>
      <c r="E40" s="49"/>
      <c r="F40" s="77"/>
      <c r="G40" s="99" t="s">
        <v>1289</v>
      </c>
      <c r="H40" s="49"/>
      <c r="I40" s="55"/>
      <c r="J40" s="55"/>
      <c r="K40" s="55"/>
      <c r="L40" s="55"/>
      <c r="M40" s="55"/>
      <c r="N40" s="55"/>
      <c r="O40" s="55"/>
      <c r="P40" s="55"/>
      <c r="Q40" s="55"/>
      <c r="R40" s="55"/>
      <c r="S40" s="49"/>
      <c r="T40" s="72"/>
      <c r="U40" s="71"/>
      <c r="V40" s="71"/>
      <c r="W40" s="71"/>
      <c r="X40" s="71"/>
      <c r="Y40" s="71"/>
    </row>
    <row r="41" spans="1:25">
      <c r="A41" s="90" t="s">
        <v>1285</v>
      </c>
      <c r="B41" s="49"/>
      <c r="C41" s="49"/>
      <c r="D41" s="49"/>
      <c r="E41" s="49"/>
      <c r="F41" s="77"/>
      <c r="G41" s="83" t="s">
        <v>1052</v>
      </c>
      <c r="H41" s="49"/>
      <c r="I41" s="55"/>
      <c r="J41" s="55"/>
      <c r="K41" s="55"/>
      <c r="L41" s="55"/>
      <c r="M41" s="55"/>
      <c r="N41" s="55"/>
      <c r="O41" s="55"/>
      <c r="P41" s="55"/>
      <c r="Q41" s="55"/>
      <c r="R41" s="55"/>
      <c r="S41" s="49"/>
      <c r="T41" s="71"/>
      <c r="U41" s="71"/>
      <c r="V41" s="71"/>
      <c r="W41" s="71"/>
      <c r="X41" s="71"/>
      <c r="Y41" s="71"/>
    </row>
    <row r="42" spans="1:25">
      <c r="A42" s="84" t="s">
        <v>1275</v>
      </c>
      <c r="B42" s="49"/>
      <c r="C42" s="76"/>
      <c r="D42" s="49"/>
      <c r="E42" s="49"/>
      <c r="F42" s="49"/>
      <c r="G42" s="93" t="s">
        <v>1282</v>
      </c>
      <c r="H42" s="49"/>
      <c r="I42" s="55"/>
      <c r="J42" s="55"/>
      <c r="K42" s="55"/>
      <c r="L42" s="55"/>
      <c r="M42" s="55"/>
      <c r="N42" s="55"/>
      <c r="O42" s="55"/>
      <c r="P42" s="55"/>
      <c r="Q42" s="55"/>
      <c r="R42" s="55"/>
      <c r="S42" s="49"/>
      <c r="T42" s="71"/>
      <c r="U42" s="71"/>
      <c r="V42" s="71"/>
      <c r="W42" s="71"/>
      <c r="X42" s="71"/>
      <c r="Y42" s="71"/>
    </row>
    <row r="43" spans="1:25">
      <c r="A43" s="90" t="s">
        <v>1286</v>
      </c>
      <c r="B43" s="49"/>
      <c r="C43" s="49"/>
      <c r="D43" s="49"/>
      <c r="E43" s="49"/>
      <c r="F43" s="77"/>
      <c r="G43" s="95" t="s">
        <v>1283</v>
      </c>
      <c r="H43" s="49"/>
      <c r="I43" s="55"/>
      <c r="J43" s="55"/>
      <c r="K43" s="55"/>
      <c r="L43" s="55"/>
      <c r="M43" s="55"/>
      <c r="N43" s="55"/>
      <c r="O43" s="55"/>
      <c r="P43" s="55"/>
      <c r="Q43" s="55"/>
      <c r="R43" s="55"/>
      <c r="S43" s="49"/>
      <c r="T43" s="72"/>
      <c r="U43" s="71"/>
      <c r="V43" s="71"/>
      <c r="W43" s="71"/>
      <c r="X43" s="71"/>
      <c r="Y43" s="71"/>
    </row>
    <row r="44" spans="1:25">
      <c r="A44" s="84" t="s">
        <v>1276</v>
      </c>
      <c r="B44" s="49"/>
      <c r="C44" s="49"/>
      <c r="D44" s="49"/>
      <c r="E44" s="50"/>
      <c r="F44" s="75"/>
      <c r="G44" s="95" t="s">
        <v>1291</v>
      </c>
      <c r="H44" s="49"/>
      <c r="I44" s="55"/>
      <c r="J44" s="55"/>
      <c r="K44" s="55"/>
      <c r="L44" s="55"/>
      <c r="M44" s="55"/>
      <c r="N44" s="55"/>
      <c r="O44" s="55"/>
      <c r="P44" s="55"/>
      <c r="Q44" s="55"/>
      <c r="R44" s="55"/>
      <c r="S44" s="49"/>
      <c r="T44" s="72"/>
      <c r="U44" s="71"/>
      <c r="V44" s="71"/>
      <c r="W44" s="71"/>
      <c r="X44" s="71"/>
      <c r="Y44" s="71"/>
    </row>
    <row r="45" spans="1:25">
      <c r="A45" s="90" t="s">
        <v>1233</v>
      </c>
      <c r="B45" s="49"/>
      <c r="C45" s="49"/>
      <c r="D45" s="49"/>
      <c r="E45" s="50"/>
      <c r="F45" s="75"/>
      <c r="G45" s="88"/>
      <c r="H45" s="49"/>
      <c r="I45" s="55"/>
      <c r="J45" s="55"/>
      <c r="K45" s="55"/>
      <c r="L45" s="55"/>
      <c r="M45" s="55"/>
      <c r="N45" s="55"/>
      <c r="O45" s="55"/>
      <c r="P45" s="55"/>
      <c r="Q45" s="55"/>
      <c r="R45" s="55"/>
      <c r="S45" s="49"/>
      <c r="T45" s="72"/>
      <c r="U45" s="71"/>
      <c r="V45" s="71"/>
      <c r="W45" s="71"/>
      <c r="X45" s="71"/>
      <c r="Y45" s="71"/>
    </row>
    <row r="46" spans="1:25">
      <c r="A46" s="84" t="s">
        <v>1277</v>
      </c>
      <c r="B46" s="49"/>
      <c r="C46" s="49"/>
      <c r="D46" s="49"/>
      <c r="E46" s="50"/>
      <c r="F46" s="50"/>
      <c r="G46" s="87"/>
      <c r="H46" s="49"/>
      <c r="I46" s="55"/>
      <c r="J46" s="55"/>
      <c r="K46" s="55"/>
      <c r="L46" s="55"/>
      <c r="M46" s="55"/>
      <c r="N46" s="55"/>
      <c r="O46" s="55"/>
      <c r="P46" s="55"/>
      <c r="Q46" s="55"/>
      <c r="R46" s="55"/>
      <c r="S46" s="49"/>
      <c r="T46" s="71"/>
      <c r="U46" s="71"/>
      <c r="V46" s="71"/>
      <c r="W46" s="71"/>
      <c r="X46" s="71"/>
      <c r="Y46" s="71"/>
    </row>
    <row r="47" spans="1:25">
      <c r="A47" s="83" t="s">
        <v>1057</v>
      </c>
      <c r="B47" s="49"/>
      <c r="C47" s="49"/>
      <c r="D47" s="49"/>
      <c r="E47" s="50"/>
      <c r="F47" s="75"/>
      <c r="G47" s="88"/>
      <c r="H47" s="49"/>
      <c r="I47" s="55"/>
      <c r="J47" s="55"/>
      <c r="K47" s="55"/>
      <c r="L47" s="55"/>
      <c r="M47" s="55"/>
      <c r="N47" s="55"/>
      <c r="O47" s="55"/>
      <c r="P47" s="55"/>
      <c r="Q47" s="55"/>
      <c r="R47" s="55"/>
      <c r="S47" s="49"/>
      <c r="T47" s="72"/>
      <c r="U47" s="71"/>
      <c r="V47" s="71"/>
      <c r="W47" s="71"/>
      <c r="X47" s="71"/>
      <c r="Y47" s="71"/>
    </row>
    <row r="48" spans="1:25">
      <c r="A48" s="93" t="s">
        <v>1278</v>
      </c>
      <c r="B48" s="49"/>
      <c r="C48" s="49"/>
      <c r="D48" s="49"/>
      <c r="E48" s="50"/>
      <c r="F48" s="50"/>
      <c r="G48" s="87"/>
      <c r="H48" s="49"/>
      <c r="I48" s="55"/>
      <c r="J48" s="55"/>
      <c r="K48" s="55"/>
      <c r="L48" s="55"/>
      <c r="M48" s="55"/>
      <c r="N48" s="55"/>
      <c r="O48" s="55"/>
      <c r="P48" s="55"/>
      <c r="Q48" s="55"/>
      <c r="R48" s="55"/>
      <c r="S48" s="49"/>
      <c r="T48" s="72"/>
      <c r="U48" s="71"/>
      <c r="V48" s="71"/>
      <c r="W48" s="71"/>
      <c r="X48" s="71"/>
      <c r="Y48" s="71"/>
    </row>
    <row r="49" spans="1:25">
      <c r="A49" s="90" t="s">
        <v>1057</v>
      </c>
      <c r="B49" s="49"/>
      <c r="C49" s="49"/>
      <c r="D49" s="49"/>
      <c r="E49" s="50"/>
      <c r="F49" s="50"/>
      <c r="G49" s="88"/>
      <c r="H49" s="49"/>
      <c r="I49" s="49"/>
      <c r="J49" s="49"/>
      <c r="K49" s="49"/>
      <c r="L49" s="49"/>
      <c r="M49" s="49"/>
      <c r="N49" s="49"/>
      <c r="O49" s="49"/>
      <c r="P49" s="49"/>
      <c r="Q49" s="49"/>
      <c r="R49" s="49"/>
      <c r="S49" s="49"/>
      <c r="T49" s="72"/>
      <c r="U49" s="71"/>
      <c r="V49" s="71"/>
      <c r="W49" s="71"/>
      <c r="X49" s="71"/>
      <c r="Y49" s="71"/>
    </row>
    <row r="50" spans="1:25">
      <c r="A50" s="84" t="s">
        <v>1279</v>
      </c>
      <c r="B50" s="49"/>
      <c r="C50" s="49"/>
      <c r="D50" s="49"/>
      <c r="E50" s="50"/>
      <c r="F50" s="50"/>
      <c r="G50" s="87"/>
      <c r="H50" s="49"/>
      <c r="I50" s="49"/>
      <c r="J50" s="49"/>
      <c r="K50" s="49"/>
      <c r="L50" s="49"/>
      <c r="M50" s="49"/>
      <c r="N50" s="49"/>
      <c r="O50" s="49"/>
      <c r="P50" s="49"/>
      <c r="Q50" s="49"/>
      <c r="R50" s="49"/>
      <c r="S50" s="49"/>
      <c r="T50" s="71"/>
      <c r="U50" s="71"/>
      <c r="V50" s="71"/>
      <c r="W50" s="71"/>
      <c r="X50" s="71"/>
      <c r="Y50" s="71"/>
    </row>
    <row r="51" spans="1:25">
      <c r="A51" s="90" t="s">
        <v>1052</v>
      </c>
      <c r="B51" s="73"/>
      <c r="C51" s="49"/>
      <c r="D51" s="49"/>
      <c r="E51" s="50"/>
      <c r="F51" s="79"/>
      <c r="G51" s="49"/>
      <c r="H51" s="49"/>
      <c r="I51" s="49"/>
      <c r="J51" s="49"/>
      <c r="K51" s="49"/>
      <c r="L51" s="49"/>
      <c r="M51" s="49"/>
      <c r="N51" s="49"/>
      <c r="O51" s="49"/>
      <c r="P51" s="49"/>
      <c r="Q51" s="49"/>
      <c r="R51" s="49"/>
      <c r="S51" s="49"/>
      <c r="T51" s="71"/>
      <c r="U51" s="71"/>
      <c r="V51" s="71"/>
      <c r="W51" s="71"/>
      <c r="X51" s="71"/>
      <c r="Y51" s="71"/>
    </row>
    <row r="52" spans="1:25">
      <c r="A52" s="84" t="s">
        <v>1280</v>
      </c>
      <c r="B52" s="49"/>
      <c r="C52" s="49"/>
      <c r="D52" s="49"/>
      <c r="E52" s="50"/>
      <c r="F52" s="50"/>
      <c r="G52" s="49"/>
      <c r="H52" s="49"/>
      <c r="I52" s="49"/>
      <c r="J52" s="49"/>
      <c r="K52" s="49"/>
      <c r="L52" s="49"/>
      <c r="M52" s="49"/>
      <c r="N52" s="49"/>
      <c r="O52" s="49"/>
      <c r="P52" s="49"/>
      <c r="Q52" s="49"/>
      <c r="R52" s="49"/>
      <c r="S52" s="49"/>
      <c r="T52" s="71"/>
      <c r="U52" s="71"/>
      <c r="V52" s="71"/>
      <c r="W52" s="71"/>
      <c r="X52" s="71"/>
      <c r="Y52" s="71"/>
    </row>
    <row r="53" spans="1:25">
      <c r="A53" s="95" t="s">
        <v>2</v>
      </c>
      <c r="B53" s="49"/>
      <c r="C53" s="49"/>
      <c r="D53" s="49"/>
      <c r="E53" s="50"/>
      <c r="F53" s="50"/>
      <c r="G53" s="49"/>
      <c r="H53" s="49"/>
      <c r="I53" s="49"/>
      <c r="J53" s="49"/>
      <c r="K53" s="49"/>
      <c r="L53" s="49"/>
      <c r="M53" s="49"/>
      <c r="N53" s="49"/>
      <c r="O53" s="49"/>
      <c r="P53" s="49"/>
      <c r="Q53" s="49"/>
      <c r="R53" s="49"/>
      <c r="S53" s="49"/>
      <c r="T53" s="71"/>
      <c r="U53" s="71"/>
      <c r="V53" s="71"/>
      <c r="W53" s="71"/>
      <c r="X53" s="71"/>
      <c r="Y53" s="71"/>
    </row>
    <row r="54" spans="1:25">
      <c r="A54" s="100" t="s">
        <v>1290</v>
      </c>
      <c r="B54" s="49"/>
      <c r="C54" s="49"/>
      <c r="D54" s="49"/>
      <c r="E54" s="50"/>
      <c r="F54" s="50"/>
      <c r="G54" s="49"/>
      <c r="H54" s="49"/>
      <c r="I54" s="49"/>
      <c r="J54" s="49"/>
      <c r="K54" s="49"/>
      <c r="L54" s="49"/>
      <c r="M54" s="49"/>
      <c r="N54" s="49"/>
      <c r="O54" s="49"/>
      <c r="P54" s="49"/>
      <c r="Q54" s="49"/>
      <c r="R54" s="49"/>
      <c r="S54" s="49"/>
      <c r="T54" s="71"/>
      <c r="U54" s="71"/>
      <c r="V54" s="71"/>
      <c r="W54" s="71"/>
      <c r="X54" s="71"/>
      <c r="Y54" s="71"/>
    </row>
    <row r="55" spans="1:25">
      <c r="A55" s="88"/>
      <c r="B55" s="49"/>
      <c r="C55" s="49"/>
      <c r="D55" s="49"/>
      <c r="E55" s="49"/>
      <c r="F55" s="49"/>
      <c r="G55" s="49"/>
      <c r="H55" s="49"/>
      <c r="I55" s="49"/>
      <c r="J55" s="49"/>
      <c r="K55" s="49"/>
      <c r="L55" s="49"/>
      <c r="M55" s="49"/>
      <c r="N55" s="49"/>
      <c r="O55" s="49"/>
      <c r="P55" s="49"/>
      <c r="Q55" s="49"/>
      <c r="R55" s="49"/>
      <c r="S55" s="49"/>
      <c r="T55" s="71"/>
      <c r="U55" s="71"/>
      <c r="V55" s="71"/>
      <c r="W55" s="71"/>
      <c r="X55" s="71"/>
      <c r="Y55" s="71"/>
    </row>
    <row r="56" spans="1:25">
      <c r="A56" s="96"/>
      <c r="B56" s="49"/>
      <c r="C56" s="49"/>
      <c r="D56" s="49"/>
      <c r="E56" s="49"/>
      <c r="F56" s="49"/>
      <c r="G56" s="49"/>
      <c r="H56" s="49"/>
      <c r="I56" s="49"/>
      <c r="J56" s="49"/>
      <c r="K56" s="49"/>
      <c r="L56" s="49"/>
      <c r="M56" s="49"/>
      <c r="N56" s="49"/>
      <c r="O56" s="49"/>
      <c r="P56" s="49"/>
      <c r="Q56" s="49"/>
      <c r="R56" s="49"/>
      <c r="S56" s="49"/>
      <c r="T56" s="71"/>
      <c r="U56" s="71"/>
      <c r="V56" s="71"/>
      <c r="W56" s="71"/>
      <c r="X56" s="71"/>
      <c r="Y56" s="71"/>
    </row>
    <row r="57" spans="1:25">
      <c r="A57" s="97"/>
      <c r="B57" s="49"/>
      <c r="C57" s="49"/>
      <c r="D57" s="49"/>
      <c r="E57" s="49"/>
      <c r="F57" s="49"/>
      <c r="G57" s="49"/>
      <c r="H57" s="49"/>
      <c r="I57" s="49"/>
      <c r="J57" s="49"/>
      <c r="K57" s="49"/>
      <c r="L57" s="49"/>
      <c r="M57" s="49"/>
      <c r="N57" s="49"/>
      <c r="O57" s="49"/>
      <c r="P57" s="49"/>
      <c r="Q57" s="49"/>
      <c r="R57" s="49"/>
      <c r="S57" s="49"/>
      <c r="T57" s="71"/>
      <c r="U57" s="71"/>
      <c r="V57" s="71"/>
      <c r="W57" s="71"/>
      <c r="X57" s="71"/>
      <c r="Y57" s="71"/>
    </row>
    <row r="58" spans="1:25">
      <c r="A58" s="96"/>
      <c r="B58" s="49"/>
      <c r="C58" s="49"/>
      <c r="D58" s="49"/>
      <c r="E58" s="49"/>
      <c r="F58" s="49"/>
      <c r="G58" s="49"/>
      <c r="H58" s="49"/>
      <c r="I58" s="49"/>
      <c r="J58" s="49"/>
      <c r="K58" s="49"/>
      <c r="L58" s="49"/>
      <c r="M58" s="49"/>
      <c r="N58" s="49"/>
      <c r="O58" s="49"/>
      <c r="P58" s="49"/>
      <c r="Q58" s="49"/>
      <c r="R58" s="49"/>
      <c r="S58" s="49"/>
      <c r="T58" s="71"/>
      <c r="U58" s="71"/>
      <c r="V58" s="71"/>
      <c r="W58" s="71"/>
      <c r="X58" s="71"/>
      <c r="Y58" s="71"/>
    </row>
    <row r="59" spans="1:25">
      <c r="A59" s="49"/>
      <c r="B59" s="49"/>
      <c r="C59" s="49"/>
      <c r="D59" s="49"/>
      <c r="E59" s="49"/>
      <c r="F59" s="49"/>
      <c r="G59" s="49"/>
      <c r="H59" s="49"/>
      <c r="I59" s="49"/>
      <c r="J59" s="49"/>
      <c r="K59" s="49"/>
      <c r="L59" s="49"/>
      <c r="M59" s="49"/>
      <c r="N59" s="49"/>
      <c r="O59" s="49"/>
      <c r="P59" s="49"/>
      <c r="Q59" s="49"/>
      <c r="R59" s="49"/>
      <c r="S59" s="49"/>
      <c r="T59" s="71"/>
      <c r="U59" s="71"/>
      <c r="V59" s="71"/>
      <c r="W59" s="71"/>
      <c r="X59" s="71"/>
      <c r="Y59" s="71"/>
    </row>
    <row r="60" spans="1:25">
      <c r="A60" s="96"/>
      <c r="B60" s="49"/>
      <c r="C60" s="49"/>
      <c r="D60" s="49"/>
      <c r="E60" s="49"/>
      <c r="F60" s="49"/>
      <c r="G60" s="49"/>
      <c r="H60" s="49"/>
      <c r="I60" s="49"/>
      <c r="J60" s="49"/>
      <c r="K60" s="49"/>
      <c r="L60" s="49"/>
      <c r="M60" s="49"/>
      <c r="N60" s="49"/>
      <c r="O60" s="49"/>
      <c r="P60" s="49"/>
      <c r="Q60" s="49"/>
      <c r="R60" s="49"/>
      <c r="S60" s="49"/>
      <c r="T60" s="71"/>
      <c r="U60" s="71"/>
      <c r="V60" s="71"/>
      <c r="W60" s="71"/>
      <c r="X60" s="71"/>
      <c r="Y60" s="71"/>
    </row>
    <row r="61" spans="1:25">
      <c r="A61" s="79"/>
      <c r="B61" s="73"/>
      <c r="C61" s="73"/>
      <c r="D61" s="73"/>
      <c r="E61" s="73"/>
      <c r="F61" s="73"/>
      <c r="G61" s="73"/>
      <c r="H61" s="73"/>
      <c r="I61" s="73"/>
      <c r="J61" s="73"/>
      <c r="K61" s="73"/>
      <c r="L61" s="73"/>
      <c r="M61" s="73"/>
      <c r="N61" s="73"/>
      <c r="O61" s="73"/>
      <c r="P61" s="73"/>
      <c r="Q61" s="73"/>
      <c r="R61" s="73"/>
      <c r="S61" s="49"/>
      <c r="T61" s="71"/>
      <c r="U61" s="71"/>
      <c r="V61" s="71"/>
      <c r="W61" s="71"/>
      <c r="X61" s="71"/>
      <c r="Y61" s="71"/>
    </row>
    <row r="62" spans="1:25">
      <c r="A62" s="49"/>
      <c r="B62" s="73"/>
      <c r="C62" s="73"/>
      <c r="D62" s="73"/>
      <c r="E62" s="73"/>
      <c r="F62" s="73"/>
      <c r="G62" s="73"/>
      <c r="H62" s="73"/>
      <c r="I62" s="73"/>
      <c r="J62" s="73"/>
      <c r="K62" s="73"/>
      <c r="L62" s="73"/>
      <c r="M62" s="73"/>
      <c r="N62" s="73"/>
      <c r="O62" s="73"/>
      <c r="P62" s="73"/>
      <c r="Q62" s="73"/>
      <c r="R62" s="73"/>
      <c r="S62" s="49"/>
      <c r="T62" s="71"/>
      <c r="U62" s="71"/>
      <c r="V62" s="71"/>
      <c r="W62" s="71"/>
      <c r="X62" s="71"/>
      <c r="Y62" s="71"/>
    </row>
    <row r="63" spans="1:25">
      <c r="A63" s="73"/>
      <c r="B63" s="73"/>
      <c r="C63" s="73"/>
      <c r="D63" s="73"/>
      <c r="E63" s="73"/>
      <c r="F63" s="73"/>
      <c r="G63" s="73"/>
      <c r="H63" s="73"/>
      <c r="I63" s="73"/>
      <c r="J63" s="73"/>
      <c r="K63" s="73"/>
      <c r="L63" s="73"/>
      <c r="M63" s="73"/>
      <c r="N63" s="73"/>
      <c r="O63" s="73"/>
      <c r="P63" s="73"/>
      <c r="Q63" s="73"/>
      <c r="R63" s="73"/>
      <c r="S63" s="49"/>
      <c r="T63" s="71"/>
      <c r="U63" s="71"/>
      <c r="V63" s="71"/>
      <c r="W63" s="71"/>
      <c r="X63" s="71"/>
      <c r="Y63" s="71"/>
    </row>
    <row r="64" spans="1:25">
      <c r="A64" s="49"/>
      <c r="B64" s="73"/>
      <c r="C64" s="73"/>
      <c r="D64" s="73"/>
      <c r="E64" s="73"/>
      <c r="F64" s="73"/>
      <c r="G64" s="73"/>
      <c r="H64" s="73"/>
      <c r="I64" s="73"/>
      <c r="J64" s="73"/>
      <c r="K64" s="73"/>
      <c r="L64" s="73"/>
      <c r="M64" s="73"/>
      <c r="N64" s="73"/>
      <c r="O64" s="73"/>
      <c r="P64" s="73"/>
      <c r="Q64" s="73"/>
      <c r="R64" s="73"/>
      <c r="S64" s="49"/>
      <c r="T64" s="71"/>
      <c r="U64" s="71"/>
      <c r="V64" s="71"/>
      <c r="W64" s="71"/>
      <c r="X64" s="71"/>
      <c r="Y64" s="71"/>
    </row>
    <row r="65" spans="1:19">
      <c r="A65" s="73"/>
      <c r="B65" s="73"/>
      <c r="C65" s="73"/>
      <c r="D65" s="73"/>
      <c r="E65" s="73"/>
      <c r="F65" s="73"/>
      <c r="G65" s="73"/>
      <c r="H65" s="73"/>
      <c r="I65" s="73"/>
      <c r="J65" s="73"/>
      <c r="K65" s="73"/>
      <c r="L65" s="73"/>
      <c r="M65" s="73"/>
      <c r="N65" s="73"/>
      <c r="O65" s="73"/>
      <c r="P65" s="73"/>
      <c r="Q65" s="73"/>
      <c r="R65" s="73"/>
      <c r="S65" s="73"/>
    </row>
    <row r="66" spans="1:19">
      <c r="A66" s="73"/>
      <c r="B66" s="73"/>
      <c r="C66" s="73"/>
      <c r="D66" s="73"/>
      <c r="E66" s="73"/>
      <c r="F66" s="73"/>
      <c r="G66" s="73"/>
      <c r="H66" s="73"/>
      <c r="I66" s="73"/>
      <c r="J66" s="73"/>
      <c r="K66" s="73"/>
      <c r="L66" s="73"/>
      <c r="M66" s="73"/>
      <c r="N66" s="73"/>
      <c r="O66" s="73"/>
      <c r="P66" s="73"/>
      <c r="Q66" s="73"/>
      <c r="R66" s="73"/>
      <c r="S66" s="73"/>
    </row>
    <row r="67" spans="1:19">
      <c r="A67" s="73"/>
      <c r="B67" s="73"/>
      <c r="C67" s="73"/>
      <c r="D67" s="73"/>
      <c r="E67" s="73"/>
      <c r="F67" s="73"/>
      <c r="G67" s="73"/>
      <c r="H67" s="73"/>
      <c r="I67" s="73"/>
      <c r="J67" s="73"/>
      <c r="K67" s="73"/>
      <c r="L67" s="73"/>
      <c r="M67" s="73"/>
      <c r="N67" s="73"/>
      <c r="O67" s="73"/>
      <c r="P67" s="73"/>
      <c r="Q67" s="73"/>
      <c r="R67" s="73"/>
      <c r="S67" s="73"/>
    </row>
    <row r="68" spans="1:19">
      <c r="A68" s="73"/>
      <c r="B68" s="73"/>
      <c r="C68" s="73"/>
      <c r="D68" s="73"/>
      <c r="E68" s="73"/>
      <c r="F68" s="73"/>
      <c r="G68" s="73"/>
      <c r="H68" s="73"/>
      <c r="I68" s="73"/>
      <c r="J68" s="73"/>
      <c r="K68" s="73"/>
      <c r="L68" s="73"/>
      <c r="M68" s="73"/>
      <c r="N68" s="73"/>
      <c r="O68" s="73"/>
      <c r="P68" s="73"/>
      <c r="Q68" s="73"/>
      <c r="R68" s="73"/>
      <c r="S68" s="73"/>
    </row>
    <row r="69" spans="1:19">
      <c r="A69" s="73"/>
      <c r="B69" s="73"/>
      <c r="C69" s="73"/>
      <c r="D69" s="73"/>
      <c r="E69" s="73"/>
      <c r="F69" s="73"/>
      <c r="G69" s="73"/>
      <c r="H69" s="73"/>
      <c r="I69" s="73"/>
      <c r="J69" s="73"/>
      <c r="K69" s="73"/>
      <c r="L69" s="73"/>
      <c r="M69" s="73"/>
      <c r="N69" s="73"/>
      <c r="O69" s="73"/>
      <c r="P69" s="73"/>
      <c r="Q69" s="73"/>
      <c r="R69" s="73"/>
      <c r="S69" s="73"/>
    </row>
    <row r="70" spans="1:19">
      <c r="A70" s="73"/>
      <c r="B70" s="73"/>
      <c r="C70" s="73"/>
      <c r="D70" s="73"/>
      <c r="E70" s="73"/>
      <c r="F70" s="73"/>
      <c r="G70" s="73"/>
      <c r="H70" s="73"/>
      <c r="I70" s="73"/>
      <c r="J70" s="73"/>
      <c r="K70" s="73"/>
      <c r="L70" s="73"/>
      <c r="M70" s="73"/>
      <c r="N70" s="73"/>
      <c r="O70" s="73"/>
      <c r="P70" s="73"/>
      <c r="Q70" s="73"/>
      <c r="R70" s="73"/>
      <c r="S70" s="73"/>
    </row>
    <row r="71" spans="1:19">
      <c r="S71" s="73"/>
    </row>
    <row r="72" spans="1:19">
      <c r="S72" s="73"/>
    </row>
    <row r="73" spans="1:19">
      <c r="S73" s="73"/>
    </row>
    <row r="74" spans="1:19">
      <c r="S74" s="73"/>
    </row>
  </sheetData>
  <mergeCells count="2">
    <mergeCell ref="A1:R1"/>
    <mergeCell ref="Q31:R31"/>
  </mergeCells>
  <phoneticPr fontId="2"/>
  <pageMargins left="0.23622047244094491" right="0.23622047244094491" top="0" bottom="0" header="0.31496062992125984" footer="0.31496062992125984"/>
  <pageSetup paperSize="9" orientation="landscape" r:id="rId1"/>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86C78-B82D-4D78-8069-020CC7AE8E3B}">
  <dimension ref="A1:AE74"/>
  <sheetViews>
    <sheetView zoomScale="90" zoomScaleNormal="90" workbookViewId="0">
      <selection activeCell="B2" sqref="B2"/>
    </sheetView>
  </sheetViews>
  <sheetFormatPr defaultColWidth="9" defaultRowHeight="18.75"/>
  <cols>
    <col min="1" max="18" width="6.625" style="40" customWidth="1"/>
    <col min="19" max="19" width="3.625" style="40" customWidth="1"/>
    <col min="20" max="20" width="6.625" style="40" customWidth="1"/>
    <col min="21" max="21" width="3.625" style="40" customWidth="1"/>
    <col min="22" max="37" width="6.625" style="40" customWidth="1"/>
    <col min="38" max="38" width="3.625" style="40" customWidth="1"/>
    <col min="39" max="16384" width="9" style="40"/>
  </cols>
  <sheetData>
    <row r="1" spans="1:31">
      <c r="A1" s="147" t="s">
        <v>1262</v>
      </c>
      <c r="B1" s="147"/>
      <c r="C1" s="147"/>
      <c r="D1" s="147"/>
      <c r="E1" s="147"/>
      <c r="F1" s="147"/>
      <c r="G1" s="147"/>
      <c r="H1" s="147"/>
      <c r="I1" s="147"/>
      <c r="J1" s="147"/>
      <c r="K1" s="147"/>
      <c r="L1" s="147"/>
      <c r="M1" s="147"/>
      <c r="N1" s="147"/>
      <c r="O1" s="147"/>
      <c r="P1" s="147"/>
      <c r="Q1" s="147"/>
      <c r="R1" s="147"/>
      <c r="X1" s="40" t="s">
        <v>80</v>
      </c>
    </row>
    <row r="2" spans="1:31" ht="16.5" customHeight="1">
      <c r="A2" s="26" t="s">
        <v>218</v>
      </c>
      <c r="B2" s="27">
        <v>45586</v>
      </c>
      <c r="C2" s="27">
        <v>45587</v>
      </c>
      <c r="D2" s="27">
        <v>45588</v>
      </c>
      <c r="E2" s="27">
        <v>45589</v>
      </c>
      <c r="F2" s="27">
        <v>45590</v>
      </c>
      <c r="G2" s="31">
        <v>45591</v>
      </c>
      <c r="H2" s="31">
        <v>45592</v>
      </c>
      <c r="I2" s="27">
        <v>45593</v>
      </c>
      <c r="J2" s="27">
        <v>45594</v>
      </c>
      <c r="K2" s="27">
        <v>45595</v>
      </c>
      <c r="L2" s="27">
        <v>45596</v>
      </c>
      <c r="M2" s="23" t="s">
        <v>243</v>
      </c>
      <c r="N2" s="25">
        <v>45597</v>
      </c>
      <c r="O2" s="30">
        <v>45598</v>
      </c>
      <c r="P2" s="30">
        <v>45599</v>
      </c>
      <c r="Q2" s="25">
        <v>45600</v>
      </c>
      <c r="R2" s="25">
        <v>45601</v>
      </c>
      <c r="V2" s="40" t="s">
        <v>63</v>
      </c>
      <c r="X2" s="40" t="s">
        <v>64</v>
      </c>
      <c r="Z2" s="40" t="s">
        <v>65</v>
      </c>
      <c r="AB2" s="40" t="s">
        <v>169</v>
      </c>
      <c r="AD2" s="40" t="s">
        <v>874</v>
      </c>
    </row>
    <row r="3" spans="1:31" ht="16.5" customHeight="1">
      <c r="A3" s="28">
        <v>1</v>
      </c>
      <c r="B3" s="19"/>
      <c r="C3" s="19"/>
      <c r="D3" s="19"/>
      <c r="E3" s="19"/>
      <c r="F3" s="19"/>
      <c r="G3" s="19" t="s">
        <v>25</v>
      </c>
      <c r="H3" s="19" t="s">
        <v>312</v>
      </c>
      <c r="I3" s="19"/>
      <c r="J3" s="19"/>
      <c r="K3" s="19"/>
      <c r="L3" s="19"/>
      <c r="M3" s="36"/>
      <c r="N3" s="19"/>
      <c r="O3" s="19" t="s">
        <v>516</v>
      </c>
      <c r="P3" s="19" t="s">
        <v>7</v>
      </c>
      <c r="Q3" s="19"/>
      <c r="R3" s="19"/>
      <c r="V3" s="40" t="s">
        <v>25</v>
      </c>
      <c r="W3" s="40">
        <v>2</v>
      </c>
      <c r="X3" s="40" t="s">
        <v>93</v>
      </c>
      <c r="Y3" s="40">
        <v>3</v>
      </c>
      <c r="Z3" s="40" t="s">
        <v>1159</v>
      </c>
      <c r="AA3" s="40">
        <v>2</v>
      </c>
      <c r="AB3" s="40" t="s">
        <v>153</v>
      </c>
      <c r="AC3" s="40">
        <v>1</v>
      </c>
      <c r="AD3" s="40" t="s">
        <v>37</v>
      </c>
      <c r="AE3" s="40" t="s">
        <v>1208</v>
      </c>
    </row>
    <row r="4" spans="1:31" ht="16.5" customHeight="1">
      <c r="A4" s="28">
        <v>2</v>
      </c>
      <c r="B4" s="19"/>
      <c r="C4" s="19"/>
      <c r="D4" s="19"/>
      <c r="E4" s="19"/>
      <c r="F4" s="19"/>
      <c r="G4" s="61" t="s">
        <v>1032</v>
      </c>
      <c r="H4" s="19" t="s">
        <v>14</v>
      </c>
      <c r="I4" s="19"/>
      <c r="J4" s="19"/>
      <c r="K4" s="19"/>
      <c r="L4" s="19"/>
      <c r="M4" s="36"/>
      <c r="N4" s="19"/>
      <c r="O4" s="19" t="s">
        <v>2</v>
      </c>
      <c r="P4" s="19" t="s">
        <v>314</v>
      </c>
      <c r="Q4" s="19"/>
      <c r="R4" s="19"/>
      <c r="T4" s="41"/>
      <c r="U4" s="41"/>
      <c r="V4" s="40" t="s">
        <v>2</v>
      </c>
      <c r="W4" s="40">
        <v>2</v>
      </c>
      <c r="X4" s="40" t="s">
        <v>14</v>
      </c>
      <c r="Y4" s="40">
        <v>2</v>
      </c>
      <c r="Z4" s="40" t="s">
        <v>1065</v>
      </c>
      <c r="AA4" s="40">
        <v>4</v>
      </c>
      <c r="AB4" s="40" t="s">
        <v>26</v>
      </c>
      <c r="AC4" s="40">
        <v>8</v>
      </c>
      <c r="AD4" s="40" t="s">
        <v>863</v>
      </c>
      <c r="AE4" s="40" t="s">
        <v>1208</v>
      </c>
    </row>
    <row r="5" spans="1:31" ht="16.5" customHeight="1">
      <c r="A5" s="28">
        <v>3</v>
      </c>
      <c r="B5" s="19"/>
      <c r="C5" s="19"/>
      <c r="D5" s="19"/>
      <c r="E5" s="19"/>
      <c r="F5" s="19"/>
      <c r="G5" s="19" t="s">
        <v>843</v>
      </c>
      <c r="H5" s="19" t="s">
        <v>1065</v>
      </c>
      <c r="I5" s="19"/>
      <c r="J5" s="19"/>
      <c r="K5" s="19"/>
      <c r="L5" s="19"/>
      <c r="M5" s="36"/>
      <c r="N5" s="19"/>
      <c r="O5" s="19" t="s">
        <v>37</v>
      </c>
      <c r="P5" s="19" t="s">
        <v>875</v>
      </c>
      <c r="Q5" s="19"/>
      <c r="R5" s="19"/>
      <c r="T5" s="41"/>
      <c r="U5" s="41"/>
      <c r="V5" s="40" t="s">
        <v>516</v>
      </c>
      <c r="W5" s="40">
        <v>2</v>
      </c>
      <c r="X5" s="40" t="s">
        <v>23</v>
      </c>
      <c r="Y5" s="40">
        <v>1</v>
      </c>
      <c r="Z5" s="40" t="s">
        <v>863</v>
      </c>
      <c r="AA5" s="40" t="s">
        <v>1208</v>
      </c>
      <c r="AB5" s="40" t="s">
        <v>1032</v>
      </c>
      <c r="AC5" s="40">
        <v>5</v>
      </c>
      <c r="AD5" s="40" t="s">
        <v>875</v>
      </c>
      <c r="AE5" s="40" t="s">
        <v>1226</v>
      </c>
    </row>
    <row r="6" spans="1:31" ht="16.5" customHeight="1">
      <c r="A6" s="28" t="s">
        <v>20</v>
      </c>
      <c r="B6" s="19" t="s">
        <v>1114</v>
      </c>
      <c r="C6" s="19" t="s">
        <v>13</v>
      </c>
      <c r="D6" s="19" t="s">
        <v>13</v>
      </c>
      <c r="E6" s="19" t="s">
        <v>13</v>
      </c>
      <c r="F6" s="19" t="s">
        <v>13</v>
      </c>
      <c r="G6" s="19" t="s">
        <v>13</v>
      </c>
      <c r="H6" s="19" t="s">
        <v>13</v>
      </c>
      <c r="I6" s="19" t="s">
        <v>864</v>
      </c>
      <c r="J6" s="19" t="s">
        <v>13</v>
      </c>
      <c r="K6" s="19" t="s">
        <v>13</v>
      </c>
      <c r="L6" s="19" t="s">
        <v>13</v>
      </c>
      <c r="M6" s="36"/>
      <c r="N6" s="19" t="s">
        <v>13</v>
      </c>
      <c r="O6" s="19" t="s">
        <v>13</v>
      </c>
      <c r="P6" s="19" t="s">
        <v>13</v>
      </c>
      <c r="Q6" s="19" t="s">
        <v>516</v>
      </c>
      <c r="R6" s="19" t="s">
        <v>13</v>
      </c>
      <c r="T6" s="41"/>
      <c r="U6" s="41"/>
      <c r="V6" s="40" t="s">
        <v>7</v>
      </c>
      <c r="W6" s="40">
        <v>1</v>
      </c>
      <c r="X6" s="40" t="s">
        <v>153</v>
      </c>
      <c r="Y6" s="40">
        <v>3</v>
      </c>
      <c r="Z6" s="40" t="s">
        <v>37</v>
      </c>
      <c r="AA6" s="68">
        <v>4</v>
      </c>
      <c r="AB6" s="40" t="s">
        <v>23</v>
      </c>
      <c r="AC6" s="68">
        <v>6</v>
      </c>
      <c r="AD6" s="40" t="s">
        <v>356</v>
      </c>
      <c r="AE6" s="40" t="s">
        <v>1228</v>
      </c>
    </row>
    <row r="7" spans="1:31" ht="16.5" customHeight="1">
      <c r="A7" s="28" t="s">
        <v>0</v>
      </c>
      <c r="B7" s="19" t="s">
        <v>1157</v>
      </c>
      <c r="C7" s="19" t="s">
        <v>1266</v>
      </c>
      <c r="D7" s="19" t="s">
        <v>1266</v>
      </c>
      <c r="E7" s="19" t="s">
        <v>1266</v>
      </c>
      <c r="F7" s="19" t="s">
        <v>1266</v>
      </c>
      <c r="G7" s="19" t="s">
        <v>1266</v>
      </c>
      <c r="H7" s="19" t="s">
        <v>1266</v>
      </c>
      <c r="I7" s="19" t="s">
        <v>356</v>
      </c>
      <c r="J7" s="19" t="s">
        <v>1266</v>
      </c>
      <c r="K7" s="19" t="s">
        <v>1266</v>
      </c>
      <c r="L7" s="19" t="s">
        <v>1266</v>
      </c>
      <c r="M7" s="36"/>
      <c r="N7" s="19" t="s">
        <v>1266</v>
      </c>
      <c r="O7" s="19" t="s">
        <v>1266</v>
      </c>
      <c r="P7" s="19" t="s">
        <v>1266</v>
      </c>
      <c r="Q7" s="19" t="s">
        <v>1186</v>
      </c>
      <c r="R7" s="19" t="s">
        <v>1266</v>
      </c>
      <c r="T7" s="41"/>
      <c r="U7" s="41"/>
      <c r="V7" s="40" t="s">
        <v>21</v>
      </c>
      <c r="W7" s="40">
        <v>2</v>
      </c>
      <c r="X7" s="40" t="s">
        <v>327</v>
      </c>
      <c r="Y7" s="40">
        <v>1</v>
      </c>
      <c r="Z7" s="40" t="s">
        <v>875</v>
      </c>
      <c r="AA7" s="40">
        <v>2</v>
      </c>
      <c r="AB7" s="40" t="s">
        <v>25</v>
      </c>
      <c r="AC7" s="40">
        <v>7</v>
      </c>
      <c r="AD7" s="40" t="s">
        <v>1159</v>
      </c>
      <c r="AE7" s="40" t="s">
        <v>1160</v>
      </c>
    </row>
    <row r="8" spans="1:31" ht="16.5" customHeight="1">
      <c r="A8" s="28" t="s">
        <v>1</v>
      </c>
      <c r="B8" s="19"/>
      <c r="C8" s="19"/>
      <c r="D8" s="19"/>
      <c r="E8" s="19"/>
      <c r="F8" s="19"/>
      <c r="G8" s="19"/>
      <c r="H8" s="19"/>
      <c r="I8" s="19"/>
      <c r="J8" s="19"/>
      <c r="K8" s="19"/>
      <c r="L8" s="19"/>
      <c r="M8" s="36"/>
      <c r="N8" s="19"/>
      <c r="O8" s="19"/>
      <c r="P8" s="19"/>
      <c r="Q8" s="19"/>
      <c r="R8" s="19"/>
      <c r="T8" s="41"/>
      <c r="V8" s="40" t="s">
        <v>26</v>
      </c>
      <c r="W8" s="40">
        <v>2</v>
      </c>
      <c r="X8" s="40" t="s">
        <v>152</v>
      </c>
      <c r="Y8" s="40">
        <v>2</v>
      </c>
      <c r="Z8" s="40" t="s">
        <v>1186</v>
      </c>
      <c r="AA8" s="64">
        <v>3</v>
      </c>
      <c r="AB8" s="40" t="s">
        <v>327</v>
      </c>
      <c r="AC8" s="64">
        <v>2</v>
      </c>
      <c r="AD8" s="40" t="s">
        <v>1186</v>
      </c>
      <c r="AE8" s="40">
        <v>5</v>
      </c>
    </row>
    <row r="9" spans="1:31" ht="16.5" customHeight="1">
      <c r="A9" s="23" t="s">
        <v>243</v>
      </c>
      <c r="B9" s="25">
        <v>45602</v>
      </c>
      <c r="C9" s="25">
        <v>45603</v>
      </c>
      <c r="D9" s="25">
        <v>45604</v>
      </c>
      <c r="E9" s="30">
        <v>45605</v>
      </c>
      <c r="F9" s="30">
        <v>45606</v>
      </c>
      <c r="G9" s="25">
        <v>45607</v>
      </c>
      <c r="H9" s="25">
        <v>45608</v>
      </c>
      <c r="I9" s="25">
        <v>45609</v>
      </c>
      <c r="J9" s="25">
        <v>45610</v>
      </c>
      <c r="K9" s="25">
        <v>45611</v>
      </c>
      <c r="L9" s="30">
        <v>45612</v>
      </c>
      <c r="M9" s="30">
        <v>45613</v>
      </c>
      <c r="N9" s="25">
        <v>45614</v>
      </c>
      <c r="O9" s="25">
        <v>45615</v>
      </c>
      <c r="P9" s="25">
        <v>45616</v>
      </c>
      <c r="Q9" s="19"/>
      <c r="R9" s="19"/>
      <c r="T9" s="41"/>
      <c r="V9" s="40" t="s">
        <v>27</v>
      </c>
      <c r="W9" s="40">
        <v>3</v>
      </c>
      <c r="X9" s="40" t="s">
        <v>864</v>
      </c>
      <c r="Y9" s="40">
        <v>0</v>
      </c>
      <c r="Z9" s="40" t="s">
        <v>843</v>
      </c>
      <c r="AA9" s="40">
        <v>3</v>
      </c>
      <c r="AB9" s="40" t="s">
        <v>516</v>
      </c>
      <c r="AC9" s="40">
        <v>4</v>
      </c>
      <c r="AD9" s="40" t="s">
        <v>1187</v>
      </c>
      <c r="AE9" s="40" t="s">
        <v>1208</v>
      </c>
    </row>
    <row r="10" spans="1:31" ht="16.5" customHeight="1">
      <c r="A10" s="36">
        <v>1</v>
      </c>
      <c r="B10" s="19"/>
      <c r="C10" s="19"/>
      <c r="D10" s="19"/>
      <c r="E10" s="19" t="s">
        <v>1265</v>
      </c>
      <c r="F10" s="19" t="s">
        <v>774</v>
      </c>
      <c r="G10" s="19"/>
      <c r="H10" s="19"/>
      <c r="I10" s="19"/>
      <c r="J10" s="19"/>
      <c r="K10" s="19"/>
      <c r="L10" s="19" t="s">
        <v>864</v>
      </c>
      <c r="M10" s="40" t="s">
        <v>107</v>
      </c>
      <c r="N10" s="19"/>
      <c r="O10" s="19"/>
      <c r="P10" s="19"/>
      <c r="Q10" s="19"/>
      <c r="R10" s="19"/>
      <c r="T10" s="41"/>
      <c r="V10" s="40" t="s">
        <v>774</v>
      </c>
      <c r="W10" s="40">
        <v>1</v>
      </c>
      <c r="X10" s="40" t="s">
        <v>1032</v>
      </c>
      <c r="Y10" s="40">
        <v>2</v>
      </c>
      <c r="Z10" s="40" t="s">
        <v>1205</v>
      </c>
      <c r="AA10" s="40" t="s">
        <v>1208</v>
      </c>
      <c r="AB10" s="40" t="s">
        <v>864</v>
      </c>
      <c r="AC10" s="40">
        <v>3</v>
      </c>
    </row>
    <row r="11" spans="1:31" ht="16.5" customHeight="1">
      <c r="A11" s="36">
        <v>2</v>
      </c>
      <c r="B11" s="19"/>
      <c r="C11" s="19"/>
      <c r="D11" s="19"/>
      <c r="E11" s="19" t="s">
        <v>1129</v>
      </c>
      <c r="F11" s="19" t="s">
        <v>769</v>
      </c>
      <c r="G11" s="19"/>
      <c r="H11" s="19"/>
      <c r="I11" s="19"/>
      <c r="J11" s="19"/>
      <c r="K11" s="19"/>
      <c r="L11" s="19" t="s">
        <v>93</v>
      </c>
      <c r="M11" s="19" t="s">
        <v>153</v>
      </c>
      <c r="N11" s="19"/>
      <c r="O11" s="19"/>
      <c r="P11" s="19"/>
      <c r="Q11" s="19"/>
      <c r="R11" s="19"/>
      <c r="T11" s="41"/>
      <c r="V11" s="40" t="s">
        <v>769</v>
      </c>
      <c r="W11" s="40">
        <v>1</v>
      </c>
      <c r="X11" s="40" t="s">
        <v>1114</v>
      </c>
      <c r="Y11" s="40">
        <v>3</v>
      </c>
      <c r="AB11" s="40" t="s">
        <v>1114</v>
      </c>
      <c r="AC11" s="40">
        <v>9</v>
      </c>
    </row>
    <row r="12" spans="1:31" ht="16.5" customHeight="1">
      <c r="A12" s="36">
        <v>3</v>
      </c>
      <c r="B12" s="19"/>
      <c r="C12" s="19"/>
      <c r="D12" s="19"/>
      <c r="E12" s="19" t="s">
        <v>843</v>
      </c>
      <c r="F12" s="19" t="s">
        <v>1157</v>
      </c>
      <c r="G12" s="19"/>
      <c r="H12" s="19"/>
      <c r="I12" s="19"/>
      <c r="J12" s="19"/>
      <c r="K12" s="19"/>
      <c r="L12" s="19" t="s">
        <v>1065</v>
      </c>
      <c r="M12" s="19" t="s">
        <v>37</v>
      </c>
      <c r="N12" s="19"/>
      <c r="O12" s="19"/>
      <c r="P12" s="19"/>
      <c r="Q12" s="19"/>
      <c r="R12" s="19"/>
      <c r="T12" s="41"/>
      <c r="V12" s="40" t="s">
        <v>864</v>
      </c>
      <c r="W12" s="40">
        <v>2</v>
      </c>
      <c r="X12" s="40" t="s">
        <v>7</v>
      </c>
      <c r="Y12" s="40">
        <v>1</v>
      </c>
    </row>
    <row r="13" spans="1:31" ht="16.5" customHeight="1">
      <c r="A13" s="36" t="s">
        <v>20</v>
      </c>
      <c r="B13" s="19" t="s">
        <v>516</v>
      </c>
      <c r="C13" s="19" t="s">
        <v>13</v>
      </c>
      <c r="D13" s="19" t="s">
        <v>13</v>
      </c>
      <c r="E13" s="19" t="s">
        <v>13</v>
      </c>
      <c r="F13" s="19" t="s">
        <v>13</v>
      </c>
      <c r="G13" s="19" t="s">
        <v>1032</v>
      </c>
      <c r="H13" s="19" t="s">
        <v>13</v>
      </c>
      <c r="I13" s="19" t="s">
        <v>13</v>
      </c>
      <c r="J13" s="19" t="s">
        <v>13</v>
      </c>
      <c r="K13" s="19" t="s">
        <v>13</v>
      </c>
      <c r="L13" s="19" t="s">
        <v>13</v>
      </c>
      <c r="M13" s="19" t="s">
        <v>13</v>
      </c>
      <c r="N13" s="19" t="s">
        <v>23</v>
      </c>
      <c r="O13" s="19" t="s">
        <v>13</v>
      </c>
      <c r="P13" s="19" t="s">
        <v>13</v>
      </c>
      <c r="Q13" s="19"/>
      <c r="R13" s="19"/>
      <c r="T13" s="41"/>
    </row>
    <row r="14" spans="1:31" ht="16.5" customHeight="1">
      <c r="A14" s="36" t="s">
        <v>0</v>
      </c>
      <c r="B14" s="19" t="s">
        <v>1186</v>
      </c>
      <c r="C14" s="19" t="s">
        <v>1266</v>
      </c>
      <c r="D14" s="19" t="s">
        <v>1266</v>
      </c>
      <c r="E14" s="19" t="s">
        <v>1266</v>
      </c>
      <c r="F14" s="19" t="s">
        <v>1266</v>
      </c>
      <c r="G14" s="19" t="s">
        <v>356</v>
      </c>
      <c r="H14" s="19" t="s">
        <v>1266</v>
      </c>
      <c r="I14" s="19" t="s">
        <v>1266</v>
      </c>
      <c r="J14" s="19" t="s">
        <v>1266</v>
      </c>
      <c r="K14" s="19" t="s">
        <v>1266</v>
      </c>
      <c r="L14" s="19" t="s">
        <v>1266</v>
      </c>
      <c r="M14" s="19" t="s">
        <v>1266</v>
      </c>
      <c r="N14" s="19" t="s">
        <v>875</v>
      </c>
      <c r="O14" s="19" t="s">
        <v>1266</v>
      </c>
      <c r="P14" s="19" t="s">
        <v>1266</v>
      </c>
      <c r="Q14" s="19"/>
      <c r="R14" s="19"/>
      <c r="T14" s="41"/>
    </row>
    <row r="15" spans="1:31" ht="16.5" customHeight="1">
      <c r="A15" s="36" t="s">
        <v>1</v>
      </c>
      <c r="B15" s="19"/>
      <c r="C15" s="19"/>
      <c r="D15" s="19"/>
      <c r="E15" s="19"/>
      <c r="F15" s="19"/>
      <c r="G15" s="19"/>
      <c r="H15" s="19"/>
      <c r="I15" s="19"/>
      <c r="J15" s="19"/>
      <c r="K15" s="19"/>
      <c r="L15" s="19"/>
      <c r="M15" s="19"/>
      <c r="N15" s="19"/>
      <c r="O15" s="19"/>
      <c r="P15" s="19"/>
      <c r="Q15" s="19"/>
      <c r="R15" s="19"/>
      <c r="T15" s="41"/>
      <c r="V15" s="40" t="s">
        <v>567</v>
      </c>
      <c r="W15" s="40">
        <f>SUM(W1:W13)</f>
        <v>18</v>
      </c>
      <c r="Y15" s="40">
        <f>SUM(Y1:Y13)</f>
        <v>18</v>
      </c>
      <c r="AA15" s="40">
        <f>SUM(AA1:AA13)</f>
        <v>18</v>
      </c>
    </row>
    <row r="16" spans="1:31" ht="16.5" customHeight="1">
      <c r="A16" s="42"/>
      <c r="B16" s="37"/>
      <c r="C16" s="37"/>
      <c r="D16" s="37"/>
      <c r="E16" s="37"/>
      <c r="F16" s="37"/>
      <c r="G16" s="37"/>
      <c r="H16" s="38"/>
      <c r="I16" s="38"/>
      <c r="J16" s="38"/>
      <c r="K16" s="38"/>
      <c r="L16" s="38"/>
      <c r="M16" s="38"/>
      <c r="N16" s="38"/>
      <c r="O16" s="38"/>
      <c r="P16" s="37"/>
      <c r="Q16" s="37"/>
      <c r="R16" s="39"/>
      <c r="T16" s="41"/>
    </row>
    <row r="17" spans="1:31" ht="16.5" customHeight="1">
      <c r="A17" s="23" t="s">
        <v>243</v>
      </c>
      <c r="B17" s="25">
        <v>45617</v>
      </c>
      <c r="C17" s="25">
        <v>45618</v>
      </c>
      <c r="D17" s="30">
        <v>45619</v>
      </c>
      <c r="E17" s="30">
        <v>45620</v>
      </c>
      <c r="F17" s="25">
        <v>45621</v>
      </c>
      <c r="G17" s="25">
        <v>45622</v>
      </c>
      <c r="H17" s="25">
        <v>45623</v>
      </c>
      <c r="I17" s="25">
        <v>45624</v>
      </c>
      <c r="J17" s="25">
        <v>45625</v>
      </c>
      <c r="K17" s="30">
        <v>45626</v>
      </c>
      <c r="L17" s="25"/>
      <c r="M17" s="26" t="s">
        <v>244</v>
      </c>
      <c r="N17" s="31">
        <v>45627</v>
      </c>
      <c r="O17" s="27">
        <v>45628</v>
      </c>
      <c r="P17" s="27">
        <v>45629</v>
      </c>
      <c r="Q17" s="27">
        <v>45630</v>
      </c>
      <c r="R17" s="27">
        <v>45631</v>
      </c>
      <c r="T17" s="41"/>
    </row>
    <row r="18" spans="1:31" ht="16.5" customHeight="1">
      <c r="A18" s="36">
        <v>1</v>
      </c>
      <c r="B18" s="19"/>
      <c r="C18" s="19"/>
      <c r="D18" s="19" t="s">
        <v>312</v>
      </c>
      <c r="E18" s="19" t="s">
        <v>25</v>
      </c>
      <c r="F18" s="19"/>
      <c r="G18" s="19"/>
      <c r="H18" s="19"/>
      <c r="I18" s="19"/>
      <c r="J18" s="19"/>
      <c r="K18" s="19" t="s">
        <v>774</v>
      </c>
      <c r="L18" s="19"/>
      <c r="M18" s="28"/>
      <c r="N18" s="19" t="s">
        <v>2</v>
      </c>
      <c r="O18" s="19"/>
      <c r="P18" s="19"/>
      <c r="Q18" s="19"/>
      <c r="R18" s="19"/>
      <c r="T18" s="41"/>
      <c r="X18" s="40" t="s">
        <v>669</v>
      </c>
    </row>
    <row r="19" spans="1:31" ht="16.5" customHeight="1">
      <c r="A19" s="36">
        <v>2</v>
      </c>
      <c r="B19" s="19"/>
      <c r="C19" s="19"/>
      <c r="D19" s="19" t="s">
        <v>14</v>
      </c>
      <c r="E19" s="40" t="s">
        <v>516</v>
      </c>
      <c r="F19" s="19"/>
      <c r="G19" s="19"/>
      <c r="H19" s="19"/>
      <c r="I19" s="19"/>
      <c r="J19" s="19"/>
      <c r="K19" s="19" t="s">
        <v>1114</v>
      </c>
      <c r="L19" s="61"/>
      <c r="M19" s="28"/>
      <c r="N19" s="19" t="s">
        <v>314</v>
      </c>
      <c r="O19" s="19"/>
      <c r="P19" s="19"/>
      <c r="Q19" s="19"/>
      <c r="R19" s="19"/>
      <c r="T19" s="41"/>
      <c r="V19" s="40" t="s">
        <v>63</v>
      </c>
      <c r="X19" s="40" t="s">
        <v>64</v>
      </c>
      <c r="Z19" s="40" t="s">
        <v>65</v>
      </c>
      <c r="AB19" s="40" t="s">
        <v>169</v>
      </c>
      <c r="AD19" s="40" t="s">
        <v>874</v>
      </c>
    </row>
    <row r="20" spans="1:31" ht="16.5" customHeight="1">
      <c r="A20" s="36">
        <v>3</v>
      </c>
      <c r="B20" s="19"/>
      <c r="C20" s="19"/>
      <c r="D20" s="19" t="s">
        <v>1157</v>
      </c>
      <c r="E20" s="19" t="s">
        <v>1186</v>
      </c>
      <c r="F20" s="19"/>
      <c r="G20" s="19"/>
      <c r="H20" s="19"/>
      <c r="I20" s="19"/>
      <c r="J20" s="19"/>
      <c r="K20" s="19" t="s">
        <v>843</v>
      </c>
      <c r="L20" s="19"/>
      <c r="M20" s="28"/>
      <c r="N20" s="19" t="s">
        <v>1065</v>
      </c>
      <c r="O20" s="19"/>
      <c r="P20" s="19"/>
      <c r="Q20" s="19"/>
      <c r="R20" s="19"/>
      <c r="T20" s="41"/>
      <c r="V20" s="40" t="s">
        <v>25</v>
      </c>
      <c r="W20" s="40">
        <v>2</v>
      </c>
      <c r="X20" s="40" t="s">
        <v>93</v>
      </c>
      <c r="Y20" s="40">
        <v>2</v>
      </c>
      <c r="Z20" s="40" t="s">
        <v>1159</v>
      </c>
      <c r="AA20" s="40">
        <v>3</v>
      </c>
      <c r="AB20" s="40" t="s">
        <v>153</v>
      </c>
      <c r="AC20" s="40">
        <v>6</v>
      </c>
      <c r="AD20" s="40" t="s">
        <v>37</v>
      </c>
      <c r="AE20" s="40" t="s">
        <v>1208</v>
      </c>
    </row>
    <row r="21" spans="1:31" ht="16.5" customHeight="1">
      <c r="A21" s="36" t="s">
        <v>20</v>
      </c>
      <c r="B21" s="19" t="s">
        <v>769</v>
      </c>
      <c r="C21" s="19" t="s">
        <v>13</v>
      </c>
      <c r="D21" s="19" t="s">
        <v>13</v>
      </c>
      <c r="E21" s="19" t="s">
        <v>13</v>
      </c>
      <c r="F21" s="19" t="s">
        <v>153</v>
      </c>
      <c r="G21" s="19" t="s">
        <v>13</v>
      </c>
      <c r="H21" s="19" t="s">
        <v>13</v>
      </c>
      <c r="I21" s="19" t="s">
        <v>13</v>
      </c>
      <c r="J21" s="19" t="s">
        <v>13</v>
      </c>
      <c r="K21" s="19" t="s">
        <v>13</v>
      </c>
      <c r="L21" s="19"/>
      <c r="M21" s="28"/>
      <c r="N21" s="19" t="s">
        <v>153</v>
      </c>
      <c r="O21" s="19" t="s">
        <v>312</v>
      </c>
      <c r="P21" s="19" t="s">
        <v>13</v>
      </c>
      <c r="Q21" s="19" t="s">
        <v>13</v>
      </c>
      <c r="R21" s="19" t="s">
        <v>13</v>
      </c>
      <c r="T21" s="41"/>
      <c r="V21" s="40" t="s">
        <v>2</v>
      </c>
      <c r="W21" s="40">
        <v>1</v>
      </c>
      <c r="X21" s="40" t="s">
        <v>14</v>
      </c>
      <c r="Y21" s="40">
        <v>2</v>
      </c>
      <c r="Z21" s="40" t="s">
        <v>1065</v>
      </c>
      <c r="AA21" s="40">
        <v>3</v>
      </c>
      <c r="AB21" s="40" t="s">
        <v>26</v>
      </c>
      <c r="AC21" s="40">
        <v>7</v>
      </c>
      <c r="AD21" s="40" t="s">
        <v>863</v>
      </c>
      <c r="AE21" s="40" t="s">
        <v>1208</v>
      </c>
    </row>
    <row r="22" spans="1:31" ht="16.5" customHeight="1">
      <c r="A22" s="36" t="s">
        <v>0</v>
      </c>
      <c r="B22" s="19" t="s">
        <v>875</v>
      </c>
      <c r="C22" s="19" t="s">
        <v>1266</v>
      </c>
      <c r="D22" s="19" t="s">
        <v>1266</v>
      </c>
      <c r="E22" s="19" t="s">
        <v>1266</v>
      </c>
      <c r="F22" s="19" t="s">
        <v>356</v>
      </c>
      <c r="G22" s="19" t="s">
        <v>1266</v>
      </c>
      <c r="H22" s="19" t="s">
        <v>1266</v>
      </c>
      <c r="I22" s="19" t="s">
        <v>1266</v>
      </c>
      <c r="J22" s="19" t="s">
        <v>1266</v>
      </c>
      <c r="K22" s="19" t="s">
        <v>1266</v>
      </c>
      <c r="L22" s="19"/>
      <c r="M22" s="28"/>
      <c r="N22" s="19" t="s">
        <v>356</v>
      </c>
      <c r="O22" s="19" t="s">
        <v>1157</v>
      </c>
      <c r="P22" s="19" t="s">
        <v>1266</v>
      </c>
      <c r="Q22" s="19" t="s">
        <v>1266</v>
      </c>
      <c r="R22" s="19" t="s">
        <v>1266</v>
      </c>
      <c r="T22" s="41"/>
      <c r="V22" s="40" t="s">
        <v>516</v>
      </c>
      <c r="W22" s="40">
        <v>1</v>
      </c>
      <c r="X22" s="40" t="s">
        <v>23</v>
      </c>
      <c r="Y22" s="40">
        <v>1</v>
      </c>
      <c r="Z22" s="40" t="s">
        <v>863</v>
      </c>
      <c r="AA22" s="40" t="s">
        <v>1208</v>
      </c>
      <c r="AB22" s="40" t="s">
        <v>1032</v>
      </c>
      <c r="AC22" s="40">
        <v>4</v>
      </c>
      <c r="AD22" s="40" t="s">
        <v>875</v>
      </c>
      <c r="AE22" s="40" t="s">
        <v>1270</v>
      </c>
    </row>
    <row r="23" spans="1:31" ht="16.5" customHeight="1">
      <c r="A23" s="36" t="s">
        <v>1</v>
      </c>
      <c r="B23" s="19"/>
      <c r="C23" s="19"/>
      <c r="D23" s="19"/>
      <c r="E23" s="19"/>
      <c r="F23" s="19"/>
      <c r="G23" s="19"/>
      <c r="H23" s="19"/>
      <c r="I23" s="19"/>
      <c r="J23" s="19"/>
      <c r="K23" s="19"/>
      <c r="L23" s="19"/>
      <c r="M23" s="28"/>
      <c r="N23" s="19"/>
      <c r="O23" s="19"/>
      <c r="P23" s="19"/>
      <c r="Q23" s="19"/>
      <c r="R23" s="19"/>
      <c r="T23" s="41"/>
      <c r="V23" s="40" t="s">
        <v>7</v>
      </c>
      <c r="W23" s="40">
        <v>2</v>
      </c>
      <c r="X23" s="40" t="s">
        <v>153</v>
      </c>
      <c r="Y23" s="40">
        <v>2</v>
      </c>
      <c r="Z23" s="40" t="s">
        <v>37</v>
      </c>
      <c r="AA23" s="68">
        <v>3</v>
      </c>
      <c r="AB23" s="40" t="s">
        <v>23</v>
      </c>
      <c r="AC23" s="68">
        <v>5</v>
      </c>
      <c r="AD23" s="40" t="s">
        <v>356</v>
      </c>
      <c r="AE23" s="40" t="s">
        <v>931</v>
      </c>
    </row>
    <row r="24" spans="1:31" ht="16.5" customHeight="1">
      <c r="A24" s="26" t="s">
        <v>244</v>
      </c>
      <c r="B24" s="27">
        <v>45632</v>
      </c>
      <c r="C24" s="31">
        <v>45633</v>
      </c>
      <c r="D24" s="31">
        <v>45634</v>
      </c>
      <c r="E24" s="27">
        <v>45635</v>
      </c>
      <c r="F24" s="27">
        <v>45636</v>
      </c>
      <c r="G24" s="27">
        <v>45637</v>
      </c>
      <c r="H24" s="27">
        <v>45638</v>
      </c>
      <c r="I24" s="27">
        <v>45639</v>
      </c>
      <c r="J24" s="31">
        <v>45640</v>
      </c>
      <c r="K24" s="31">
        <v>45641</v>
      </c>
      <c r="L24" s="27">
        <v>45642</v>
      </c>
      <c r="M24" s="27">
        <v>45643</v>
      </c>
      <c r="N24" s="27">
        <v>45644</v>
      </c>
      <c r="O24" s="27">
        <v>45645</v>
      </c>
      <c r="P24" s="27">
        <v>45646</v>
      </c>
      <c r="Q24" s="19"/>
      <c r="R24" s="19"/>
      <c r="T24" s="41"/>
      <c r="V24" s="40" t="s">
        <v>21</v>
      </c>
      <c r="W24" s="40">
        <v>2</v>
      </c>
      <c r="X24" s="40" t="s">
        <v>516</v>
      </c>
      <c r="Y24" s="40">
        <v>1</v>
      </c>
      <c r="Z24" s="40" t="s">
        <v>875</v>
      </c>
      <c r="AA24" s="40">
        <v>2</v>
      </c>
      <c r="AB24" s="40" t="s">
        <v>25</v>
      </c>
      <c r="AC24" s="40">
        <v>9</v>
      </c>
      <c r="AD24" s="40" t="s">
        <v>1159</v>
      </c>
      <c r="AE24" s="40" t="s">
        <v>1269</v>
      </c>
    </row>
    <row r="25" spans="1:31" ht="16.5" customHeight="1">
      <c r="A25" s="28">
        <v>1</v>
      </c>
      <c r="B25" s="19"/>
      <c r="C25" s="19" t="s">
        <v>769</v>
      </c>
      <c r="D25" s="19" t="s">
        <v>7</v>
      </c>
      <c r="F25" s="19"/>
      <c r="G25" s="19"/>
      <c r="H25" s="19"/>
      <c r="I25" s="19"/>
      <c r="J25" s="19" t="s">
        <v>107</v>
      </c>
      <c r="K25" s="19" t="s">
        <v>21</v>
      </c>
      <c r="L25" s="19"/>
      <c r="M25" s="19"/>
      <c r="N25" s="19"/>
      <c r="O25" s="19"/>
      <c r="P25" s="19"/>
      <c r="Q25" s="19"/>
      <c r="R25" s="19"/>
      <c r="T25" s="41"/>
      <c r="V25" s="40" t="s">
        <v>26</v>
      </c>
      <c r="W25" s="40">
        <v>2</v>
      </c>
      <c r="X25" s="40" t="s">
        <v>152</v>
      </c>
      <c r="Y25" s="40">
        <v>2</v>
      </c>
      <c r="Z25" s="40" t="s">
        <v>1186</v>
      </c>
      <c r="AA25" s="64">
        <v>2</v>
      </c>
      <c r="AB25" s="40" t="s">
        <v>327</v>
      </c>
      <c r="AC25" s="64">
        <v>0</v>
      </c>
      <c r="AD25" s="40" t="s">
        <v>1186</v>
      </c>
      <c r="AE25" s="40" t="s">
        <v>1268</v>
      </c>
    </row>
    <row r="26" spans="1:31" ht="16.5" customHeight="1">
      <c r="A26" s="28">
        <v>2</v>
      </c>
      <c r="B26" s="19"/>
      <c r="C26" s="19" t="s">
        <v>1032</v>
      </c>
      <c r="D26" s="19" t="s">
        <v>864</v>
      </c>
      <c r="E26" s="19"/>
      <c r="F26" s="19"/>
      <c r="G26" s="19"/>
      <c r="H26" s="19"/>
      <c r="I26" s="19"/>
      <c r="J26" s="19" t="s">
        <v>93</v>
      </c>
      <c r="K26" s="19" t="s">
        <v>153</v>
      </c>
      <c r="L26" s="19"/>
      <c r="M26" s="19"/>
      <c r="N26" s="19"/>
      <c r="O26" s="19"/>
      <c r="P26" s="19"/>
      <c r="Q26" s="19"/>
      <c r="R26" s="19"/>
      <c r="T26" s="41"/>
      <c r="V26" s="40" t="s">
        <v>27</v>
      </c>
      <c r="W26" s="40">
        <v>2</v>
      </c>
      <c r="X26" s="40" t="s">
        <v>864</v>
      </c>
      <c r="Y26" s="40">
        <v>1</v>
      </c>
      <c r="Z26" s="40" t="s">
        <v>843</v>
      </c>
      <c r="AA26" s="40">
        <v>3</v>
      </c>
      <c r="AB26" s="40" t="s">
        <v>516</v>
      </c>
      <c r="AC26" s="40">
        <v>3</v>
      </c>
    </row>
    <row r="27" spans="1:31" ht="16.5" customHeight="1">
      <c r="A27" s="28">
        <v>3</v>
      </c>
      <c r="B27" s="19"/>
      <c r="C27" s="19" t="s">
        <v>875</v>
      </c>
      <c r="D27" s="19" t="s">
        <v>37</v>
      </c>
      <c r="E27" s="19"/>
      <c r="F27" s="19"/>
      <c r="G27" s="19"/>
      <c r="H27" s="19"/>
      <c r="I27" s="19"/>
      <c r="J27" s="19" t="s">
        <v>1186</v>
      </c>
      <c r="K27" s="19" t="s">
        <v>1157</v>
      </c>
      <c r="L27" s="19"/>
      <c r="M27" s="19"/>
      <c r="N27" s="19"/>
      <c r="O27" s="19"/>
      <c r="P27" s="19"/>
      <c r="Q27" s="19"/>
      <c r="R27" s="19"/>
      <c r="T27" s="41"/>
      <c r="V27" s="40" t="s">
        <v>774</v>
      </c>
      <c r="W27" s="40">
        <v>2</v>
      </c>
      <c r="X27" s="40" t="s">
        <v>1032</v>
      </c>
      <c r="Y27" s="40">
        <v>2</v>
      </c>
      <c r="AB27" s="40" t="s">
        <v>864</v>
      </c>
      <c r="AC27" s="40">
        <v>2</v>
      </c>
    </row>
    <row r="28" spans="1:31" ht="16.5" customHeight="1">
      <c r="A28" s="28" t="s">
        <v>20</v>
      </c>
      <c r="B28" s="19" t="s">
        <v>312</v>
      </c>
      <c r="C28" s="19" t="s">
        <v>13</v>
      </c>
      <c r="D28" s="19" t="s">
        <v>13</v>
      </c>
      <c r="E28" s="19" t="s">
        <v>1114</v>
      </c>
      <c r="F28" s="19" t="s">
        <v>1264</v>
      </c>
      <c r="G28" s="19" t="s">
        <v>1264</v>
      </c>
      <c r="H28" s="19" t="s">
        <v>1264</v>
      </c>
      <c r="I28" s="19" t="s">
        <v>1264</v>
      </c>
      <c r="J28" s="19" t="s">
        <v>1264</v>
      </c>
      <c r="K28" s="19" t="s">
        <v>1264</v>
      </c>
      <c r="L28" s="19" t="s">
        <v>25</v>
      </c>
      <c r="M28" s="19" t="s">
        <v>1264</v>
      </c>
      <c r="N28" s="19" t="s">
        <v>1264</v>
      </c>
      <c r="O28" s="19" t="s">
        <v>1264</v>
      </c>
      <c r="P28" s="19" t="s">
        <v>1264</v>
      </c>
      <c r="Q28" s="19"/>
      <c r="R28" s="19"/>
      <c r="T28" s="41"/>
      <c r="V28" s="40" t="s">
        <v>769</v>
      </c>
      <c r="W28" s="40">
        <v>1</v>
      </c>
      <c r="X28" s="40" t="s">
        <v>1114</v>
      </c>
      <c r="Y28" s="40">
        <v>2</v>
      </c>
      <c r="AB28" s="40" t="s">
        <v>1114</v>
      </c>
      <c r="AC28" s="40" t="s">
        <v>897</v>
      </c>
    </row>
    <row r="29" spans="1:31" ht="16.5" customHeight="1">
      <c r="A29" s="28" t="s">
        <v>0</v>
      </c>
      <c r="B29" s="19" t="s">
        <v>1157</v>
      </c>
      <c r="C29" s="19" t="s">
        <v>1266</v>
      </c>
      <c r="D29" s="19" t="s">
        <v>1266</v>
      </c>
      <c r="E29" s="19" t="s">
        <v>356</v>
      </c>
      <c r="F29" s="19" t="s">
        <v>1267</v>
      </c>
      <c r="G29" s="19" t="s">
        <v>1267</v>
      </c>
      <c r="H29" s="19" t="s">
        <v>1267</v>
      </c>
      <c r="I29" s="19" t="s">
        <v>1267</v>
      </c>
      <c r="J29" s="19" t="s">
        <v>1267</v>
      </c>
      <c r="K29" s="19" t="s">
        <v>1267</v>
      </c>
      <c r="L29" s="19" t="s">
        <v>875</v>
      </c>
      <c r="M29" s="19" t="s">
        <v>1267</v>
      </c>
      <c r="N29" s="19" t="s">
        <v>1267</v>
      </c>
      <c r="O29" s="19" t="s">
        <v>1267</v>
      </c>
      <c r="P29" s="19" t="s">
        <v>1267</v>
      </c>
      <c r="Q29" s="19"/>
      <c r="R29" s="19"/>
      <c r="T29" s="41"/>
      <c r="V29" s="40" t="s">
        <v>864</v>
      </c>
      <c r="W29" s="40">
        <v>1</v>
      </c>
      <c r="X29" s="40" t="s">
        <v>2</v>
      </c>
      <c r="Y29" s="40">
        <v>1</v>
      </c>
    </row>
    <row r="30" spans="1:31" ht="16.5" customHeight="1">
      <c r="A30" s="28" t="s">
        <v>1</v>
      </c>
      <c r="B30" s="19"/>
      <c r="C30" s="19"/>
      <c r="D30" s="19"/>
      <c r="E30" s="19"/>
      <c r="F30" s="19"/>
      <c r="G30" s="19"/>
      <c r="H30" s="19"/>
      <c r="I30" s="19"/>
      <c r="J30" s="19"/>
      <c r="K30" s="19"/>
      <c r="L30" s="19"/>
      <c r="M30" s="19"/>
      <c r="N30" s="19"/>
      <c r="O30" s="19"/>
      <c r="P30" s="19"/>
      <c r="Q30" s="19"/>
      <c r="R30" s="19"/>
      <c r="T30" s="41"/>
    </row>
    <row r="31" spans="1:31" ht="16.5" customHeight="1">
      <c r="Q31" s="145" t="s">
        <v>82</v>
      </c>
      <c r="R31" s="145"/>
      <c r="T31" s="41"/>
    </row>
    <row r="32" spans="1:31" ht="16.5" customHeight="1">
      <c r="Q32" s="85"/>
      <c r="R32" s="85"/>
      <c r="T32" s="41"/>
      <c r="V32" s="40" t="s">
        <v>696</v>
      </c>
      <c r="W32" s="40">
        <f>SUM(W18:W30)</f>
        <v>16</v>
      </c>
      <c r="Y32" s="40">
        <f>SUM(Y18:Y30)</f>
        <v>16</v>
      </c>
      <c r="AA32" s="40">
        <f>SUM(AA18:AA30)</f>
        <v>16</v>
      </c>
    </row>
    <row r="33" spans="1:25" ht="16.5" customHeight="1">
      <c r="A33" s="40" t="s">
        <v>322</v>
      </c>
      <c r="B33" s="49"/>
      <c r="C33" s="49"/>
      <c r="D33" s="49"/>
      <c r="E33" s="49"/>
      <c r="F33" s="49"/>
      <c r="G33" s="49"/>
      <c r="H33" s="55"/>
      <c r="I33" s="49"/>
      <c r="J33" s="49"/>
      <c r="K33" s="49"/>
      <c r="L33" s="49"/>
      <c r="M33" s="49"/>
      <c r="N33" s="49"/>
      <c r="O33" s="49"/>
      <c r="T33" s="41"/>
    </row>
    <row r="34" spans="1:25" ht="16.5" customHeight="1">
      <c r="A34" s="49" t="s">
        <v>1062</v>
      </c>
      <c r="B34" s="49" t="s">
        <v>1063</v>
      </c>
      <c r="C34" s="49"/>
      <c r="D34" s="49"/>
      <c r="E34" s="49"/>
      <c r="F34" s="49"/>
      <c r="G34" s="49" t="s">
        <v>1000</v>
      </c>
      <c r="H34" s="49"/>
      <c r="I34" s="55"/>
      <c r="J34" s="55"/>
      <c r="K34" s="55" t="s">
        <v>1108</v>
      </c>
      <c r="L34" s="55"/>
      <c r="M34" s="55"/>
      <c r="N34" s="55"/>
      <c r="O34" s="55"/>
      <c r="P34" s="43"/>
      <c r="Q34" s="43"/>
      <c r="R34" s="43"/>
    </row>
    <row r="35" spans="1:25" ht="16.5" customHeight="1">
      <c r="A35" s="90" t="s">
        <v>1230</v>
      </c>
      <c r="B35" s="49"/>
      <c r="C35" s="49"/>
      <c r="D35" s="49"/>
      <c r="E35" s="49"/>
      <c r="F35" s="49"/>
      <c r="G35" s="83" t="s">
        <v>1244</v>
      </c>
      <c r="H35" s="49"/>
      <c r="I35" s="55"/>
      <c r="J35" s="55"/>
      <c r="K35" s="55" t="s">
        <v>945</v>
      </c>
      <c r="L35" s="55"/>
      <c r="M35" s="55"/>
      <c r="N35" s="55"/>
      <c r="O35" s="55"/>
      <c r="P35" s="55"/>
      <c r="Q35" s="55"/>
      <c r="R35" s="55"/>
    </row>
    <row r="36" spans="1:25" ht="12.75" customHeight="1">
      <c r="A36" s="84" t="s">
        <v>1231</v>
      </c>
      <c r="B36" s="49"/>
      <c r="C36" s="76"/>
      <c r="D36" s="49"/>
      <c r="E36" s="49"/>
      <c r="F36" s="49"/>
      <c r="G36" s="84" t="s">
        <v>1245</v>
      </c>
      <c r="H36" s="49"/>
      <c r="I36" s="55"/>
      <c r="J36" s="55"/>
      <c r="K36" s="55" t="s">
        <v>1130</v>
      </c>
      <c r="L36" s="55"/>
      <c r="M36" s="55"/>
      <c r="N36" s="55"/>
      <c r="O36" s="55"/>
      <c r="P36" s="55"/>
      <c r="Q36" s="55"/>
      <c r="R36" s="55"/>
      <c r="T36" s="41"/>
    </row>
    <row r="37" spans="1:25">
      <c r="A37" s="83" t="s">
        <v>1252</v>
      </c>
      <c r="B37" s="49"/>
      <c r="C37" s="49"/>
      <c r="D37" s="49"/>
      <c r="E37" s="49"/>
      <c r="F37" s="76"/>
      <c r="G37" s="83" t="s">
        <v>1140</v>
      </c>
      <c r="H37" s="49"/>
      <c r="I37" s="55"/>
      <c r="J37" s="55"/>
      <c r="K37" s="77" t="s">
        <v>1261</v>
      </c>
      <c r="L37" s="55"/>
      <c r="M37" s="55"/>
      <c r="N37" s="55"/>
      <c r="O37" s="55"/>
      <c r="P37" s="55"/>
      <c r="Q37" s="55"/>
      <c r="R37" s="55"/>
      <c r="T37" s="41"/>
    </row>
    <row r="38" spans="1:25">
      <c r="A38" s="84" t="s">
        <v>1253</v>
      </c>
      <c r="B38" s="49"/>
      <c r="C38" s="49"/>
      <c r="D38" s="49"/>
      <c r="E38" s="49"/>
      <c r="F38" s="77"/>
      <c r="G38" s="84" t="s">
        <v>1246</v>
      </c>
      <c r="H38" s="49"/>
      <c r="I38" s="55"/>
      <c r="J38" s="55"/>
      <c r="K38" s="55" t="s">
        <v>1177</v>
      </c>
      <c r="L38" s="55"/>
      <c r="M38" s="55"/>
      <c r="N38" s="55"/>
      <c r="O38" s="55"/>
      <c r="P38" s="55"/>
      <c r="Q38" s="55"/>
      <c r="R38" s="55"/>
      <c r="T38" s="41"/>
    </row>
    <row r="39" spans="1:25">
      <c r="A39" s="90" t="s">
        <v>1232</v>
      </c>
      <c r="B39" s="49"/>
      <c r="C39" s="49"/>
      <c r="D39" s="49"/>
      <c r="E39" s="49"/>
      <c r="F39" s="77"/>
      <c r="G39" s="83" t="s">
        <v>1181</v>
      </c>
      <c r="H39" s="49"/>
      <c r="I39" s="55"/>
      <c r="J39" s="55"/>
      <c r="K39" s="55" t="s">
        <v>1225</v>
      </c>
      <c r="L39" s="55"/>
      <c r="M39" s="55"/>
      <c r="N39" s="55"/>
      <c r="O39" s="55"/>
      <c r="P39" s="55"/>
      <c r="Q39" s="55"/>
      <c r="R39" s="55"/>
      <c r="S39" s="49"/>
      <c r="T39" s="72"/>
      <c r="U39" s="71"/>
      <c r="V39" s="71"/>
      <c r="W39" s="71"/>
      <c r="X39" s="71"/>
      <c r="Y39" s="71"/>
    </row>
    <row r="40" spans="1:25">
      <c r="A40" s="92" t="s">
        <v>1233</v>
      </c>
      <c r="B40" s="49"/>
      <c r="C40" s="49"/>
      <c r="D40" s="49"/>
      <c r="E40" s="49"/>
      <c r="F40" s="77"/>
      <c r="G40" s="93" t="s">
        <v>1247</v>
      </c>
      <c r="H40" s="49"/>
      <c r="I40" s="55"/>
      <c r="J40" s="55"/>
      <c r="K40" s="55"/>
      <c r="L40" s="55"/>
      <c r="M40" s="55"/>
      <c r="N40" s="55"/>
      <c r="O40" s="55"/>
      <c r="P40" s="55"/>
      <c r="Q40" s="55"/>
      <c r="R40" s="55"/>
      <c r="S40" s="49"/>
      <c r="T40" s="72"/>
      <c r="U40" s="71"/>
      <c r="V40" s="71"/>
      <c r="W40" s="71"/>
      <c r="X40" s="71"/>
      <c r="Y40" s="71"/>
    </row>
    <row r="41" spans="1:25">
      <c r="A41" s="83" t="s">
        <v>1234</v>
      </c>
      <c r="B41" s="49"/>
      <c r="C41" s="49"/>
      <c r="D41" s="49"/>
      <c r="E41" s="49"/>
      <c r="F41" s="77"/>
      <c r="G41" s="83" t="s">
        <v>1180</v>
      </c>
      <c r="H41" s="49"/>
      <c r="I41" s="55"/>
      <c r="J41" s="55"/>
      <c r="K41" s="55"/>
      <c r="L41" s="55"/>
      <c r="M41" s="55"/>
      <c r="N41" s="55"/>
      <c r="O41" s="55"/>
      <c r="P41" s="55"/>
      <c r="Q41" s="55"/>
      <c r="R41" s="55"/>
      <c r="S41" s="49"/>
      <c r="T41" s="71"/>
      <c r="U41" s="71"/>
      <c r="V41" s="71"/>
      <c r="W41" s="71"/>
      <c r="X41" s="71"/>
      <c r="Y41" s="71"/>
    </row>
    <row r="42" spans="1:25">
      <c r="A42" s="92" t="s">
        <v>1181</v>
      </c>
      <c r="B42" s="49"/>
      <c r="C42" s="76"/>
      <c r="D42" s="49"/>
      <c r="E42" s="49"/>
      <c r="F42" s="49"/>
      <c r="G42" s="93" t="s">
        <v>1248</v>
      </c>
      <c r="H42" s="49"/>
      <c r="I42" s="55"/>
      <c r="J42" s="55"/>
      <c r="K42" s="55"/>
      <c r="L42" s="55"/>
      <c r="M42" s="55"/>
      <c r="N42" s="55"/>
      <c r="O42" s="55"/>
      <c r="P42" s="55"/>
      <c r="Q42" s="55"/>
      <c r="R42" s="55"/>
      <c r="S42" s="49"/>
      <c r="T42" s="71"/>
      <c r="U42" s="71"/>
      <c r="V42" s="71"/>
      <c r="W42" s="71"/>
      <c r="X42" s="71"/>
      <c r="Y42" s="71"/>
    </row>
    <row r="43" spans="1:25">
      <c r="A43" s="83" t="s">
        <v>1235</v>
      </c>
      <c r="B43" s="49"/>
      <c r="C43" s="49"/>
      <c r="D43" s="49"/>
      <c r="E43" s="49"/>
      <c r="F43" s="77"/>
      <c r="G43" s="83" t="s">
        <v>1257</v>
      </c>
      <c r="H43" s="49"/>
      <c r="I43" s="55"/>
      <c r="J43" s="55"/>
      <c r="K43" s="55"/>
      <c r="L43" s="55"/>
      <c r="M43" s="55"/>
      <c r="N43" s="55"/>
      <c r="O43" s="55"/>
      <c r="P43" s="55"/>
      <c r="Q43" s="55"/>
      <c r="R43" s="55"/>
      <c r="S43" s="49"/>
      <c r="T43" s="72"/>
      <c r="U43" s="71"/>
      <c r="V43" s="71"/>
      <c r="W43" s="71"/>
      <c r="X43" s="71"/>
      <c r="Y43" s="71"/>
    </row>
    <row r="44" spans="1:25">
      <c r="A44" s="92" t="s">
        <v>1254</v>
      </c>
      <c r="B44" s="50"/>
      <c r="C44" s="50"/>
      <c r="D44" s="50"/>
      <c r="E44" s="50"/>
      <c r="F44" s="75"/>
      <c r="G44" s="93" t="s">
        <v>1249</v>
      </c>
      <c r="H44" s="50"/>
      <c r="I44" s="55"/>
      <c r="J44" s="55"/>
      <c r="K44" s="55"/>
      <c r="L44" s="55"/>
      <c r="M44" s="55"/>
      <c r="N44" s="55"/>
      <c r="O44" s="55"/>
      <c r="P44" s="55"/>
      <c r="Q44" s="55"/>
      <c r="R44" s="55"/>
      <c r="S44" s="49"/>
      <c r="T44" s="72"/>
      <c r="U44" s="71"/>
      <c r="V44" s="71"/>
      <c r="W44" s="71"/>
      <c r="X44" s="71"/>
      <c r="Y44" s="71"/>
    </row>
    <row r="45" spans="1:25">
      <c r="A45" s="83" t="s">
        <v>1255</v>
      </c>
      <c r="B45" s="50"/>
      <c r="C45" s="50"/>
      <c r="D45" s="50"/>
      <c r="E45" s="50"/>
      <c r="F45" s="75"/>
      <c r="G45" s="83" t="s">
        <v>1259</v>
      </c>
      <c r="H45" s="50"/>
      <c r="I45" s="55"/>
      <c r="J45" s="55"/>
      <c r="K45" s="55"/>
      <c r="L45" s="55"/>
      <c r="M45" s="55"/>
      <c r="N45" s="55"/>
      <c r="O45" s="55"/>
      <c r="P45" s="55"/>
      <c r="Q45" s="55"/>
      <c r="R45" s="55"/>
      <c r="S45" s="49"/>
      <c r="T45" s="72"/>
      <c r="U45" s="71"/>
      <c r="V45" s="71"/>
      <c r="W45" s="71"/>
      <c r="X45" s="71"/>
      <c r="Y45" s="71"/>
    </row>
    <row r="46" spans="1:25">
      <c r="A46" s="92" t="s">
        <v>1180</v>
      </c>
      <c r="B46" s="50"/>
      <c r="C46" s="50"/>
      <c r="D46" s="50"/>
      <c r="E46" s="50"/>
      <c r="F46" s="50"/>
      <c r="G46" s="84" t="s">
        <v>1250</v>
      </c>
      <c r="H46" s="50"/>
      <c r="I46" s="55"/>
      <c r="J46" s="55"/>
      <c r="K46" s="55"/>
      <c r="L46" s="55"/>
      <c r="M46" s="55"/>
      <c r="N46" s="55"/>
      <c r="O46" s="55"/>
      <c r="P46" s="55"/>
      <c r="Q46" s="55"/>
      <c r="R46" s="55"/>
      <c r="S46" s="49"/>
      <c r="T46" s="71"/>
      <c r="U46" s="71"/>
      <c r="V46" s="71"/>
      <c r="W46" s="71"/>
      <c r="X46" s="71"/>
      <c r="Y46" s="71"/>
    </row>
    <row r="47" spans="1:25">
      <c r="A47" s="83" t="s">
        <v>1237</v>
      </c>
      <c r="B47" s="50"/>
      <c r="C47" s="50"/>
      <c r="D47" s="50"/>
      <c r="E47" s="50"/>
      <c r="F47" s="75"/>
      <c r="G47" s="88"/>
      <c r="H47" s="50"/>
      <c r="I47" s="55"/>
      <c r="J47" s="55"/>
      <c r="K47" s="55"/>
      <c r="L47" s="55"/>
      <c r="M47" s="55"/>
      <c r="N47" s="55"/>
      <c r="O47" s="55"/>
      <c r="P47" s="55"/>
      <c r="Q47" s="55"/>
      <c r="R47" s="55"/>
      <c r="S47" s="49"/>
      <c r="T47" s="72"/>
      <c r="U47" s="71"/>
      <c r="V47" s="71"/>
      <c r="W47" s="71"/>
      <c r="X47" s="71"/>
      <c r="Y47" s="71"/>
    </row>
    <row r="48" spans="1:25">
      <c r="A48" s="93" t="s">
        <v>1256</v>
      </c>
      <c r="B48" s="50"/>
      <c r="C48" s="50"/>
      <c r="D48" s="50"/>
      <c r="E48" s="50"/>
      <c r="F48" s="50"/>
      <c r="G48" s="84"/>
      <c r="H48" s="50"/>
      <c r="I48" s="55"/>
      <c r="J48" s="55"/>
      <c r="K48" s="55"/>
      <c r="L48" s="55"/>
      <c r="M48" s="55"/>
      <c r="N48" s="55"/>
      <c r="O48" s="55"/>
      <c r="P48" s="55"/>
      <c r="Q48" s="55"/>
      <c r="R48" s="55"/>
      <c r="S48" s="49"/>
      <c r="T48" s="72"/>
      <c r="U48" s="71"/>
      <c r="V48" s="71"/>
      <c r="W48" s="71"/>
      <c r="X48" s="71"/>
      <c r="Y48" s="71"/>
    </row>
    <row r="49" spans="1:25">
      <c r="A49" s="90" t="s">
        <v>1238</v>
      </c>
      <c r="B49" s="50"/>
      <c r="C49" s="50"/>
      <c r="D49" s="50"/>
      <c r="E49" s="50"/>
      <c r="F49" s="50"/>
      <c r="G49" s="83"/>
      <c r="H49" s="50"/>
      <c r="I49" s="49"/>
      <c r="J49" s="49"/>
      <c r="K49" s="49"/>
      <c r="L49" s="49"/>
      <c r="M49" s="49"/>
      <c r="N49" s="49"/>
      <c r="O49" s="49"/>
      <c r="P49" s="49"/>
      <c r="Q49" s="49"/>
      <c r="R49" s="49"/>
      <c r="S49" s="49"/>
      <c r="T49" s="72"/>
      <c r="U49" s="71"/>
      <c r="V49" s="71"/>
      <c r="W49" s="71"/>
      <c r="X49" s="71"/>
      <c r="Y49" s="71"/>
    </row>
    <row r="50" spans="1:25">
      <c r="A50" s="92" t="s">
        <v>1257</v>
      </c>
      <c r="B50" s="50"/>
      <c r="C50" s="50"/>
      <c r="D50" s="50"/>
      <c r="E50" s="50"/>
      <c r="F50" s="50"/>
      <c r="G50" s="84"/>
      <c r="H50" s="50"/>
      <c r="I50" s="49"/>
      <c r="J50" s="49"/>
      <c r="K50" s="49"/>
      <c r="L50" s="49"/>
      <c r="M50" s="49"/>
      <c r="N50" s="49"/>
      <c r="O50" s="49"/>
      <c r="P50" s="49"/>
      <c r="Q50" s="49"/>
      <c r="R50" s="49"/>
      <c r="S50" s="49"/>
      <c r="T50" s="71"/>
      <c r="U50" s="71"/>
      <c r="V50" s="71"/>
      <c r="W50" s="71"/>
      <c r="X50" s="71"/>
      <c r="Y50" s="71"/>
    </row>
    <row r="51" spans="1:25">
      <c r="A51" s="83" t="s">
        <v>1239</v>
      </c>
      <c r="B51" s="78"/>
      <c r="C51" s="50"/>
      <c r="D51" s="50"/>
      <c r="E51" s="50"/>
      <c r="F51" s="79"/>
      <c r="G51" s="50"/>
      <c r="H51" s="50"/>
      <c r="I51" s="49"/>
      <c r="J51" s="49"/>
      <c r="K51" s="49"/>
      <c r="L51" s="49"/>
      <c r="M51" s="49"/>
      <c r="N51" s="49"/>
      <c r="O51" s="49"/>
      <c r="P51" s="49"/>
      <c r="Q51" s="49"/>
      <c r="R51" s="49"/>
      <c r="S51" s="49"/>
      <c r="T51" s="71"/>
      <c r="U51" s="71"/>
      <c r="V51" s="71"/>
      <c r="W51" s="71"/>
      <c r="X51" s="71"/>
      <c r="Y51" s="71"/>
    </row>
    <row r="52" spans="1:25">
      <c r="A52" s="92" t="s">
        <v>1258</v>
      </c>
      <c r="B52" s="50"/>
      <c r="C52" s="50"/>
      <c r="D52" s="50"/>
      <c r="E52" s="50"/>
      <c r="F52" s="50"/>
      <c r="G52" s="50"/>
      <c r="H52" s="50"/>
      <c r="I52" s="49"/>
      <c r="J52" s="49"/>
      <c r="K52" s="49"/>
      <c r="L52" s="49"/>
      <c r="M52" s="49"/>
      <c r="N52" s="49"/>
      <c r="O52" s="49"/>
      <c r="P52" s="49"/>
      <c r="Q52" s="49"/>
      <c r="R52" s="49"/>
      <c r="S52" s="49"/>
      <c r="T52" s="71"/>
      <c r="U52" s="71"/>
      <c r="V52" s="71"/>
      <c r="W52" s="71"/>
      <c r="X52" s="71"/>
      <c r="Y52" s="71"/>
    </row>
    <row r="53" spans="1:25">
      <c r="A53" s="83" t="s">
        <v>1263</v>
      </c>
      <c r="B53" s="50"/>
      <c r="C53" s="50"/>
      <c r="D53" s="50"/>
      <c r="E53" s="50"/>
      <c r="F53" s="50"/>
      <c r="G53" s="50"/>
      <c r="H53" s="50"/>
      <c r="I53" s="49"/>
      <c r="J53" s="49"/>
      <c r="K53" s="49"/>
      <c r="L53" s="49"/>
      <c r="M53" s="49"/>
      <c r="N53" s="49"/>
      <c r="O53" s="49"/>
      <c r="P53" s="49"/>
      <c r="Q53" s="49"/>
      <c r="R53" s="49"/>
      <c r="S53" s="49"/>
      <c r="T53" s="71"/>
      <c r="U53" s="71"/>
      <c r="V53" s="71"/>
      <c r="W53" s="71"/>
      <c r="X53" s="71"/>
      <c r="Y53" s="71"/>
    </row>
    <row r="54" spans="1:25">
      <c r="A54" s="92" t="s">
        <v>1259</v>
      </c>
      <c r="B54" s="50"/>
      <c r="C54" s="50"/>
      <c r="D54" s="50"/>
      <c r="E54" s="50"/>
      <c r="F54" s="50"/>
      <c r="G54" s="50"/>
      <c r="H54" s="50"/>
      <c r="I54" s="49"/>
      <c r="J54" s="49"/>
      <c r="K54" s="49"/>
      <c r="L54" s="49"/>
      <c r="M54" s="49"/>
      <c r="N54" s="49"/>
      <c r="O54" s="49"/>
      <c r="P54" s="49"/>
      <c r="Q54" s="49"/>
      <c r="R54" s="49"/>
      <c r="S54" s="49"/>
      <c r="T54" s="71"/>
      <c r="U54" s="71"/>
      <c r="V54" s="71"/>
      <c r="W54" s="71"/>
      <c r="X54" s="71"/>
      <c r="Y54" s="71"/>
    </row>
    <row r="55" spans="1:25">
      <c r="A55" s="83" t="s">
        <v>1242</v>
      </c>
      <c r="B55" s="49"/>
      <c r="C55" s="49"/>
      <c r="D55" s="49"/>
      <c r="E55" s="49"/>
      <c r="F55" s="49"/>
      <c r="G55" s="49"/>
      <c r="H55" s="49"/>
      <c r="I55" s="49"/>
      <c r="J55" s="49"/>
      <c r="K55" s="49"/>
      <c r="L55" s="49"/>
      <c r="M55" s="49"/>
      <c r="N55" s="49"/>
      <c r="O55" s="49"/>
      <c r="P55" s="49"/>
      <c r="Q55" s="49"/>
      <c r="R55" s="49"/>
      <c r="S55" s="49"/>
      <c r="T55" s="71"/>
      <c r="U55" s="71"/>
      <c r="V55" s="71"/>
      <c r="W55" s="71"/>
      <c r="X55" s="71"/>
      <c r="Y55" s="71"/>
    </row>
    <row r="56" spans="1:25">
      <c r="A56" s="91" t="s">
        <v>2</v>
      </c>
      <c r="B56" s="49"/>
      <c r="C56" s="49"/>
      <c r="D56" s="49"/>
      <c r="E56" s="49"/>
      <c r="F56" s="49"/>
      <c r="G56" s="49"/>
      <c r="H56" s="49"/>
      <c r="I56" s="49"/>
      <c r="J56" s="49"/>
      <c r="K56" s="49"/>
      <c r="L56" s="49"/>
      <c r="M56" s="49"/>
      <c r="N56" s="49"/>
      <c r="O56" s="49"/>
      <c r="P56" s="49"/>
      <c r="Q56" s="49"/>
      <c r="R56" s="49"/>
      <c r="S56" s="49"/>
      <c r="T56" s="71"/>
      <c r="U56" s="71"/>
      <c r="V56" s="71"/>
      <c r="W56" s="71"/>
      <c r="X56" s="71"/>
      <c r="Y56" s="71"/>
    </row>
    <row r="57" spans="1:25">
      <c r="A57" s="94" t="s">
        <v>1260</v>
      </c>
      <c r="B57" s="49"/>
      <c r="C57" s="49"/>
      <c r="D57" s="49"/>
      <c r="E57" s="49"/>
      <c r="F57" s="49"/>
      <c r="G57" s="49"/>
      <c r="H57" s="49"/>
      <c r="I57" s="49"/>
      <c r="J57" s="49"/>
      <c r="K57" s="49"/>
      <c r="L57" s="49"/>
      <c r="M57" s="49"/>
      <c r="N57" s="49"/>
      <c r="O57" s="49"/>
      <c r="P57" s="49"/>
      <c r="Q57" s="49"/>
      <c r="R57" s="49"/>
      <c r="S57" s="49"/>
      <c r="T57" s="71"/>
      <c r="U57" s="71"/>
      <c r="V57" s="71"/>
      <c r="W57" s="71"/>
      <c r="X57" s="71"/>
      <c r="Y57" s="71"/>
    </row>
    <row r="58" spans="1:25">
      <c r="A58" s="91" t="s">
        <v>25</v>
      </c>
      <c r="B58" s="49"/>
      <c r="C58" s="49"/>
      <c r="D58" s="49"/>
      <c r="E58" s="49"/>
      <c r="F58" s="49"/>
      <c r="G58" s="49"/>
      <c r="H58" s="49"/>
      <c r="I58" s="49"/>
      <c r="J58" s="49"/>
      <c r="K58" s="49"/>
      <c r="L58" s="49"/>
      <c r="M58" s="49"/>
      <c r="N58" s="49"/>
      <c r="O58" s="49"/>
      <c r="P58" s="49"/>
      <c r="Q58" s="49"/>
      <c r="R58" s="49"/>
      <c r="S58" s="49"/>
      <c r="T58" s="71"/>
      <c r="U58" s="71"/>
      <c r="V58" s="71"/>
      <c r="W58" s="71"/>
      <c r="X58" s="71"/>
      <c r="Y58" s="71"/>
    </row>
    <row r="59" spans="1:25">
      <c r="A59" s="50" t="s">
        <v>1251</v>
      </c>
      <c r="B59" s="49"/>
      <c r="C59" s="49"/>
      <c r="D59" s="49"/>
      <c r="E59" s="49"/>
      <c r="F59" s="49"/>
      <c r="G59" s="49"/>
      <c r="H59" s="49"/>
      <c r="I59" s="49"/>
      <c r="J59" s="49"/>
      <c r="K59" s="49"/>
      <c r="L59" s="49"/>
      <c r="M59" s="49"/>
      <c r="N59" s="49"/>
      <c r="O59" s="49"/>
      <c r="P59" s="49"/>
      <c r="Q59" s="49"/>
      <c r="R59" s="49"/>
      <c r="S59" s="49"/>
      <c r="T59" s="71"/>
      <c r="U59" s="71"/>
      <c r="V59" s="71"/>
      <c r="W59" s="71"/>
      <c r="X59" s="71"/>
      <c r="Y59" s="71"/>
    </row>
    <row r="60" spans="1:25">
      <c r="A60" s="91"/>
      <c r="B60" s="49"/>
      <c r="C60" s="49"/>
      <c r="D60" s="49"/>
      <c r="E60" s="49"/>
      <c r="F60" s="49"/>
      <c r="G60" s="49"/>
      <c r="H60" s="49"/>
      <c r="I60" s="49"/>
      <c r="J60" s="49"/>
      <c r="K60" s="49"/>
      <c r="L60" s="49"/>
      <c r="M60" s="49"/>
      <c r="N60" s="49"/>
      <c r="O60" s="49"/>
      <c r="P60" s="49"/>
      <c r="Q60" s="49"/>
      <c r="R60" s="49"/>
      <c r="S60" s="49"/>
      <c r="T60" s="71"/>
      <c r="U60" s="71"/>
      <c r="V60" s="71"/>
      <c r="W60" s="71"/>
      <c r="X60" s="71"/>
      <c r="Y60" s="71"/>
    </row>
    <row r="61" spans="1:25">
      <c r="A61" s="79"/>
      <c r="B61" s="73"/>
      <c r="C61" s="73"/>
      <c r="D61" s="73"/>
      <c r="E61" s="73"/>
      <c r="F61" s="73"/>
      <c r="G61" s="73"/>
      <c r="H61" s="73"/>
      <c r="I61" s="73"/>
      <c r="J61" s="73"/>
      <c r="K61" s="73"/>
      <c r="L61" s="73"/>
      <c r="M61" s="73"/>
      <c r="N61" s="73"/>
      <c r="O61" s="73"/>
      <c r="P61" s="73"/>
      <c r="Q61" s="73"/>
      <c r="R61" s="73"/>
      <c r="S61" s="49"/>
      <c r="T61" s="71"/>
      <c r="U61" s="71"/>
      <c r="V61" s="71"/>
      <c r="W61" s="71"/>
      <c r="X61" s="71"/>
      <c r="Y61" s="71"/>
    </row>
    <row r="62" spans="1:25">
      <c r="A62" s="49"/>
      <c r="B62" s="73"/>
      <c r="C62" s="73"/>
      <c r="D62" s="73"/>
      <c r="E62" s="73"/>
      <c r="F62" s="73"/>
      <c r="G62" s="73"/>
      <c r="H62" s="73"/>
      <c r="I62" s="73"/>
      <c r="J62" s="73"/>
      <c r="K62" s="73"/>
      <c r="L62" s="73"/>
      <c r="M62" s="73"/>
      <c r="N62" s="73"/>
      <c r="O62" s="73"/>
      <c r="P62" s="73"/>
      <c r="Q62" s="73"/>
      <c r="R62" s="73"/>
      <c r="S62" s="49"/>
      <c r="T62" s="71"/>
      <c r="U62" s="71"/>
      <c r="V62" s="71"/>
      <c r="W62" s="71"/>
      <c r="X62" s="71"/>
      <c r="Y62" s="71"/>
    </row>
    <row r="63" spans="1:25">
      <c r="A63" s="73"/>
      <c r="B63" s="73"/>
      <c r="C63" s="73"/>
      <c r="D63" s="73"/>
      <c r="E63" s="73"/>
      <c r="F63" s="73"/>
      <c r="G63" s="73"/>
      <c r="H63" s="73"/>
      <c r="I63" s="73"/>
      <c r="J63" s="73"/>
      <c r="K63" s="73"/>
      <c r="L63" s="73"/>
      <c r="M63" s="73"/>
      <c r="N63" s="73"/>
      <c r="O63" s="73"/>
      <c r="P63" s="73"/>
      <c r="Q63" s="73"/>
      <c r="R63" s="73"/>
      <c r="S63" s="49"/>
      <c r="T63" s="71"/>
      <c r="U63" s="71"/>
      <c r="V63" s="71"/>
      <c r="W63" s="71"/>
      <c r="X63" s="71"/>
      <c r="Y63" s="71"/>
    </row>
    <row r="64" spans="1:25">
      <c r="A64" s="49"/>
      <c r="B64" s="73"/>
      <c r="C64" s="73"/>
      <c r="D64" s="73"/>
      <c r="E64" s="73"/>
      <c r="F64" s="73"/>
      <c r="G64" s="73"/>
      <c r="H64" s="73"/>
      <c r="I64" s="73"/>
      <c r="J64" s="73"/>
      <c r="K64" s="73"/>
      <c r="L64" s="73"/>
      <c r="M64" s="73"/>
      <c r="N64" s="73"/>
      <c r="O64" s="73"/>
      <c r="P64" s="73"/>
      <c r="Q64" s="73"/>
      <c r="R64" s="73"/>
      <c r="S64" s="49"/>
      <c r="T64" s="71"/>
      <c r="U64" s="71"/>
      <c r="V64" s="71"/>
      <c r="W64" s="71"/>
      <c r="X64" s="71"/>
      <c r="Y64" s="71"/>
    </row>
    <row r="65" spans="1:19">
      <c r="A65" s="73"/>
      <c r="B65" s="73"/>
      <c r="C65" s="73"/>
      <c r="D65" s="73"/>
      <c r="E65" s="73"/>
      <c r="F65" s="73"/>
      <c r="G65" s="73"/>
      <c r="H65" s="73"/>
      <c r="I65" s="73"/>
      <c r="J65" s="73"/>
      <c r="K65" s="73"/>
      <c r="L65" s="73"/>
      <c r="M65" s="73"/>
      <c r="N65" s="73"/>
      <c r="O65" s="73"/>
      <c r="P65" s="73"/>
      <c r="Q65" s="73"/>
      <c r="R65" s="73"/>
      <c r="S65" s="73"/>
    </row>
    <row r="66" spans="1:19">
      <c r="A66" s="73"/>
      <c r="B66" s="73"/>
      <c r="C66" s="73"/>
      <c r="D66" s="73"/>
      <c r="E66" s="73"/>
      <c r="F66" s="73"/>
      <c r="G66" s="73"/>
      <c r="H66" s="73"/>
      <c r="I66" s="73"/>
      <c r="J66" s="73"/>
      <c r="K66" s="73"/>
      <c r="L66" s="73"/>
      <c r="M66" s="73"/>
      <c r="N66" s="73"/>
      <c r="O66" s="73"/>
      <c r="P66" s="73"/>
      <c r="Q66" s="73"/>
      <c r="R66" s="73"/>
      <c r="S66" s="73"/>
    </row>
    <row r="67" spans="1:19">
      <c r="A67" s="73"/>
      <c r="B67" s="73"/>
      <c r="C67" s="73"/>
      <c r="D67" s="73"/>
      <c r="E67" s="73"/>
      <c r="F67" s="73"/>
      <c r="G67" s="73"/>
      <c r="H67" s="73"/>
      <c r="I67" s="73"/>
      <c r="J67" s="73"/>
      <c r="K67" s="73"/>
      <c r="L67" s="73"/>
      <c r="M67" s="73"/>
      <c r="N67" s="73"/>
      <c r="O67" s="73"/>
      <c r="P67" s="73"/>
      <c r="Q67" s="73"/>
      <c r="R67" s="73"/>
      <c r="S67" s="73"/>
    </row>
    <row r="68" spans="1:19">
      <c r="A68" s="73"/>
      <c r="B68" s="73"/>
      <c r="C68" s="73"/>
      <c r="D68" s="73"/>
      <c r="E68" s="73"/>
      <c r="F68" s="73"/>
      <c r="G68" s="73"/>
      <c r="H68" s="73"/>
      <c r="I68" s="73"/>
      <c r="J68" s="73"/>
      <c r="K68" s="73"/>
      <c r="L68" s="73"/>
      <c r="M68" s="73"/>
      <c r="N68" s="73"/>
      <c r="O68" s="73"/>
      <c r="P68" s="73"/>
      <c r="Q68" s="73"/>
      <c r="R68" s="73"/>
      <c r="S68" s="73"/>
    </row>
    <row r="69" spans="1:19">
      <c r="A69" s="73"/>
      <c r="B69" s="73"/>
      <c r="C69" s="73"/>
      <c r="D69" s="73"/>
      <c r="E69" s="73"/>
      <c r="F69" s="73"/>
      <c r="G69" s="73"/>
      <c r="H69" s="73"/>
      <c r="I69" s="73"/>
      <c r="J69" s="73"/>
      <c r="K69" s="73"/>
      <c r="L69" s="73"/>
      <c r="M69" s="73"/>
      <c r="N69" s="73"/>
      <c r="O69" s="73"/>
      <c r="P69" s="73"/>
      <c r="Q69" s="73"/>
      <c r="R69" s="73"/>
      <c r="S69" s="73"/>
    </row>
    <row r="70" spans="1:19">
      <c r="A70" s="73"/>
      <c r="B70" s="73"/>
      <c r="C70" s="73"/>
      <c r="D70" s="73"/>
      <c r="E70" s="73"/>
      <c r="F70" s="73"/>
      <c r="G70" s="73"/>
      <c r="H70" s="73"/>
      <c r="I70" s="73"/>
      <c r="J70" s="73"/>
      <c r="K70" s="73"/>
      <c r="L70" s="73"/>
      <c r="M70" s="73"/>
      <c r="N70" s="73"/>
      <c r="O70" s="73"/>
      <c r="P70" s="73"/>
      <c r="Q70" s="73"/>
      <c r="R70" s="73"/>
      <c r="S70" s="73"/>
    </row>
    <row r="71" spans="1:19">
      <c r="S71" s="73"/>
    </row>
    <row r="72" spans="1:19">
      <c r="S72" s="73"/>
    </row>
    <row r="73" spans="1:19">
      <c r="S73" s="73"/>
    </row>
    <row r="74" spans="1:19">
      <c r="S74" s="73"/>
    </row>
  </sheetData>
  <mergeCells count="2">
    <mergeCell ref="A1:R1"/>
    <mergeCell ref="Q31:R31"/>
  </mergeCells>
  <phoneticPr fontId="2"/>
  <pageMargins left="0.23622047244094491" right="0.23622047244094491" top="0" bottom="0" header="0.31496062992125984" footer="0.31496062992125984"/>
  <pageSetup paperSize="9" orientation="landscape" r:id="rId1"/>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B9F83-2AFE-4F5A-8AEE-14673F4895E4}">
  <dimension ref="A1:AE74"/>
  <sheetViews>
    <sheetView topLeftCell="A21" zoomScale="90" zoomScaleNormal="90" workbookViewId="0">
      <selection activeCell="O33" sqref="O33"/>
    </sheetView>
  </sheetViews>
  <sheetFormatPr defaultColWidth="9" defaultRowHeight="18.75"/>
  <cols>
    <col min="1" max="18" width="6.625" style="40" customWidth="1"/>
    <col min="19" max="19" width="3.625" style="40" customWidth="1"/>
    <col min="20" max="20" width="6.625" style="40" customWidth="1"/>
    <col min="21" max="21" width="3.625" style="40" customWidth="1"/>
    <col min="22" max="37" width="6.625" style="40" customWidth="1"/>
    <col min="38" max="38" width="3.625" style="40" customWidth="1"/>
    <col min="39" max="16384" width="9" style="40"/>
  </cols>
  <sheetData>
    <row r="1" spans="1:31">
      <c r="A1" s="147" t="s">
        <v>1224</v>
      </c>
      <c r="B1" s="147"/>
      <c r="C1" s="147"/>
      <c r="D1" s="147"/>
      <c r="E1" s="147"/>
      <c r="F1" s="147"/>
      <c r="G1" s="147"/>
      <c r="H1" s="147"/>
      <c r="I1" s="147"/>
      <c r="J1" s="147"/>
      <c r="K1" s="147"/>
      <c r="L1" s="147"/>
      <c r="M1" s="147"/>
      <c r="N1" s="147"/>
      <c r="O1" s="147"/>
      <c r="P1" s="147"/>
      <c r="Q1" s="147"/>
      <c r="R1" s="147"/>
      <c r="X1" s="40" t="s">
        <v>167</v>
      </c>
    </row>
    <row r="2" spans="1:31" ht="16.5" customHeight="1">
      <c r="A2" s="26" t="s">
        <v>216</v>
      </c>
      <c r="B2" s="27">
        <v>45525</v>
      </c>
      <c r="C2" s="27">
        <v>45526</v>
      </c>
      <c r="D2" s="27">
        <v>45527</v>
      </c>
      <c r="E2" s="31">
        <v>45528</v>
      </c>
      <c r="F2" s="31">
        <v>45529</v>
      </c>
      <c r="G2" s="27">
        <v>45530</v>
      </c>
      <c r="H2" s="27">
        <v>45531</v>
      </c>
      <c r="I2" s="27">
        <v>45532</v>
      </c>
      <c r="J2" s="27">
        <v>45533</v>
      </c>
      <c r="K2" s="27">
        <v>45534</v>
      </c>
      <c r="L2" s="31">
        <v>45535</v>
      </c>
      <c r="M2" s="23" t="s">
        <v>217</v>
      </c>
      <c r="N2" s="30">
        <v>45536</v>
      </c>
      <c r="O2" s="25">
        <v>45537</v>
      </c>
      <c r="P2" s="25">
        <v>45538</v>
      </c>
      <c r="Q2" s="25">
        <v>45539</v>
      </c>
      <c r="R2" s="25">
        <v>45540</v>
      </c>
      <c r="V2" s="40" t="s">
        <v>63</v>
      </c>
      <c r="X2" s="40" t="s">
        <v>64</v>
      </c>
      <c r="Z2" s="40" t="s">
        <v>65</v>
      </c>
      <c r="AB2" s="40" t="s">
        <v>169</v>
      </c>
      <c r="AD2" s="40" t="s">
        <v>874</v>
      </c>
    </row>
    <row r="3" spans="1:31" ht="16.5" customHeight="1">
      <c r="A3" s="28">
        <v>1</v>
      </c>
      <c r="B3" s="19"/>
      <c r="C3" s="19"/>
      <c r="D3" s="19"/>
      <c r="E3" s="19" t="s">
        <v>25</v>
      </c>
      <c r="F3" s="19" t="s">
        <v>516</v>
      </c>
      <c r="G3" s="19"/>
      <c r="H3" s="19"/>
      <c r="I3" s="19"/>
      <c r="J3" s="19"/>
      <c r="K3" s="19"/>
      <c r="L3" s="19" t="s">
        <v>107</v>
      </c>
      <c r="M3" s="36"/>
      <c r="N3" s="19" t="s">
        <v>7</v>
      </c>
      <c r="O3" s="19"/>
      <c r="P3" s="19"/>
      <c r="Q3" s="19"/>
      <c r="R3" s="19"/>
      <c r="V3" s="40" t="s">
        <v>25</v>
      </c>
      <c r="W3" s="40">
        <v>2</v>
      </c>
      <c r="X3" s="40" t="s">
        <v>93</v>
      </c>
      <c r="Y3" s="40">
        <v>2</v>
      </c>
      <c r="Z3" s="40" t="s">
        <v>1159</v>
      </c>
      <c r="AA3" s="40">
        <v>2</v>
      </c>
      <c r="AB3" s="40" t="s">
        <v>153</v>
      </c>
      <c r="AC3" s="40">
        <v>9</v>
      </c>
      <c r="AD3" s="40" t="s">
        <v>37</v>
      </c>
      <c r="AE3" s="40">
        <v>3</v>
      </c>
    </row>
    <row r="4" spans="1:31" ht="16.5" customHeight="1">
      <c r="A4" s="28">
        <v>2</v>
      </c>
      <c r="B4" s="19"/>
      <c r="C4" s="19"/>
      <c r="D4" s="19"/>
      <c r="E4" s="19" t="s">
        <v>1032</v>
      </c>
      <c r="F4" s="19" t="s">
        <v>1129</v>
      </c>
      <c r="G4" s="61"/>
      <c r="H4" s="19"/>
      <c r="I4" s="19"/>
      <c r="J4" s="19"/>
      <c r="K4" s="19"/>
      <c r="L4" s="19" t="s">
        <v>14</v>
      </c>
      <c r="M4" s="36"/>
      <c r="N4" s="19" t="s">
        <v>93</v>
      </c>
      <c r="O4" s="19"/>
      <c r="P4" s="19"/>
      <c r="Q4" s="19"/>
      <c r="R4" s="19"/>
      <c r="T4" s="41"/>
      <c r="U4" s="41"/>
      <c r="V4" s="40" t="s">
        <v>2</v>
      </c>
      <c r="W4" s="40">
        <v>1</v>
      </c>
      <c r="X4" s="40" t="s">
        <v>14</v>
      </c>
      <c r="Y4" s="40">
        <v>2</v>
      </c>
      <c r="Z4" s="40" t="s">
        <v>1065</v>
      </c>
      <c r="AA4" s="40">
        <v>3</v>
      </c>
      <c r="AB4" s="40" t="s">
        <v>26</v>
      </c>
      <c r="AC4" s="40">
        <v>6</v>
      </c>
      <c r="AD4" s="40" t="s">
        <v>863</v>
      </c>
      <c r="AE4" s="40">
        <v>2</v>
      </c>
    </row>
    <row r="5" spans="1:31" ht="16.5" customHeight="1">
      <c r="A5" s="28">
        <v>3</v>
      </c>
      <c r="B5" s="19"/>
      <c r="C5" s="19"/>
      <c r="D5" s="19"/>
      <c r="E5" s="19" t="s">
        <v>37</v>
      </c>
      <c r="F5" s="19" t="s">
        <v>1065</v>
      </c>
      <c r="G5" s="19"/>
      <c r="H5" s="19"/>
      <c r="I5" s="19"/>
      <c r="J5" s="19"/>
      <c r="K5" s="19"/>
      <c r="L5" s="19" t="s">
        <v>1186</v>
      </c>
      <c r="M5" s="36"/>
      <c r="N5" s="19" t="s">
        <v>1157</v>
      </c>
      <c r="O5" s="19"/>
      <c r="P5" s="19"/>
      <c r="Q5" s="19"/>
      <c r="R5" s="19"/>
      <c r="T5" s="41"/>
      <c r="U5" s="41"/>
      <c r="V5" s="40" t="s">
        <v>516</v>
      </c>
      <c r="W5" s="40">
        <v>2</v>
      </c>
      <c r="X5" s="40" t="s">
        <v>23</v>
      </c>
      <c r="Y5" s="40">
        <v>0</v>
      </c>
      <c r="Z5" s="40" t="s">
        <v>863</v>
      </c>
      <c r="AA5" s="40">
        <v>2</v>
      </c>
      <c r="AB5" s="40" t="s">
        <v>1032</v>
      </c>
      <c r="AC5" s="40">
        <v>3</v>
      </c>
      <c r="AD5" s="40" t="s">
        <v>875</v>
      </c>
      <c r="AE5" s="40">
        <v>6</v>
      </c>
    </row>
    <row r="6" spans="1:31" ht="16.5" customHeight="1">
      <c r="A6" s="28" t="s">
        <v>20</v>
      </c>
      <c r="B6" s="19" t="s">
        <v>153</v>
      </c>
      <c r="C6" s="19" t="s">
        <v>13</v>
      </c>
      <c r="D6" s="19" t="s">
        <v>13</v>
      </c>
      <c r="E6" s="19" t="s">
        <v>13</v>
      </c>
      <c r="F6" s="19" t="s">
        <v>13</v>
      </c>
      <c r="G6" s="19" t="s">
        <v>774</v>
      </c>
      <c r="H6" s="19" t="s">
        <v>13</v>
      </c>
      <c r="I6" s="19" t="s">
        <v>13</v>
      </c>
      <c r="J6" s="19" t="s">
        <v>13</v>
      </c>
      <c r="K6" s="19" t="s">
        <v>13</v>
      </c>
      <c r="L6" s="19" t="s">
        <v>13</v>
      </c>
      <c r="M6" s="36"/>
      <c r="N6" s="19" t="s">
        <v>774</v>
      </c>
      <c r="O6" s="19" t="s">
        <v>864</v>
      </c>
      <c r="P6" s="19" t="s">
        <v>13</v>
      </c>
      <c r="Q6" s="19" t="s">
        <v>13</v>
      </c>
      <c r="R6" s="19" t="s">
        <v>13</v>
      </c>
      <c r="T6" s="41"/>
      <c r="U6" s="41"/>
      <c r="V6" s="40" t="s">
        <v>7</v>
      </c>
      <c r="W6" s="40">
        <v>2</v>
      </c>
      <c r="X6" s="40" t="s">
        <v>153</v>
      </c>
      <c r="Y6" s="40">
        <v>2</v>
      </c>
      <c r="Z6" s="40" t="s">
        <v>37</v>
      </c>
      <c r="AA6" s="68">
        <v>2</v>
      </c>
      <c r="AB6" s="40" t="s">
        <v>23</v>
      </c>
      <c r="AC6" s="68">
        <v>5</v>
      </c>
      <c r="AD6" s="40" t="s">
        <v>356</v>
      </c>
      <c r="AE6" s="40" t="s">
        <v>1219</v>
      </c>
    </row>
    <row r="7" spans="1:31" ht="16.5" customHeight="1">
      <c r="A7" s="28" t="s">
        <v>0</v>
      </c>
      <c r="B7" s="19" t="s">
        <v>356</v>
      </c>
      <c r="C7" s="19" t="s">
        <v>13</v>
      </c>
      <c r="D7" s="19" t="s">
        <v>13</v>
      </c>
      <c r="E7" s="19" t="s">
        <v>13</v>
      </c>
      <c r="F7" s="19" t="s">
        <v>13</v>
      </c>
      <c r="G7" s="19" t="s">
        <v>875</v>
      </c>
      <c r="H7" s="19" t="s">
        <v>13</v>
      </c>
      <c r="I7" s="19" t="s">
        <v>13</v>
      </c>
      <c r="J7" s="19" t="s">
        <v>13</v>
      </c>
      <c r="K7" s="19" t="s">
        <v>13</v>
      </c>
      <c r="L7" s="19" t="s">
        <v>13</v>
      </c>
      <c r="M7" s="36"/>
      <c r="N7" s="19" t="s">
        <v>875</v>
      </c>
      <c r="O7" s="19" t="s">
        <v>356</v>
      </c>
      <c r="P7" s="19" t="s">
        <v>13</v>
      </c>
      <c r="Q7" s="19" t="s">
        <v>13</v>
      </c>
      <c r="R7" s="19" t="s">
        <v>13</v>
      </c>
      <c r="T7" s="41"/>
      <c r="U7" s="41"/>
      <c r="V7" s="40" t="s">
        <v>21</v>
      </c>
      <c r="W7" s="40">
        <v>3</v>
      </c>
      <c r="X7" s="40" t="s">
        <v>327</v>
      </c>
      <c r="Y7" s="40">
        <v>2</v>
      </c>
      <c r="Z7" s="40" t="s">
        <v>875</v>
      </c>
      <c r="AA7" s="40">
        <v>2</v>
      </c>
      <c r="AB7" s="40" t="s">
        <v>25</v>
      </c>
      <c r="AC7" s="40">
        <v>7</v>
      </c>
      <c r="AD7" s="40" t="s">
        <v>1159</v>
      </c>
      <c r="AE7" s="40">
        <v>8</v>
      </c>
    </row>
    <row r="8" spans="1:31" ht="16.5" customHeight="1">
      <c r="A8" s="28" t="s">
        <v>1</v>
      </c>
      <c r="B8" s="19"/>
      <c r="C8" s="19"/>
      <c r="D8" s="19"/>
      <c r="E8" s="19"/>
      <c r="F8" s="19"/>
      <c r="G8" s="19"/>
      <c r="H8" s="19"/>
      <c r="I8" s="19"/>
      <c r="J8" s="19"/>
      <c r="K8" s="19"/>
      <c r="L8" s="19"/>
      <c r="M8" s="36"/>
      <c r="N8" s="19"/>
      <c r="O8" s="19"/>
      <c r="P8" s="19"/>
      <c r="Q8" s="19"/>
      <c r="R8" s="19"/>
      <c r="T8" s="41"/>
      <c r="V8" s="40" t="s">
        <v>26</v>
      </c>
      <c r="W8" s="40">
        <v>1</v>
      </c>
      <c r="X8" s="40" t="s">
        <v>152</v>
      </c>
      <c r="Y8" s="40">
        <v>2</v>
      </c>
      <c r="Z8" s="40" t="s">
        <v>1186</v>
      </c>
      <c r="AA8" s="64">
        <v>2</v>
      </c>
      <c r="AB8" s="40" t="s">
        <v>327</v>
      </c>
      <c r="AC8" s="64">
        <v>2</v>
      </c>
      <c r="AD8" s="40" t="s">
        <v>1186</v>
      </c>
      <c r="AE8" s="40">
        <v>5</v>
      </c>
    </row>
    <row r="9" spans="1:31" ht="16.5" customHeight="1">
      <c r="A9" s="23" t="s">
        <v>217</v>
      </c>
      <c r="B9" s="25">
        <v>45541</v>
      </c>
      <c r="C9" s="30">
        <v>45542</v>
      </c>
      <c r="D9" s="30">
        <v>45543</v>
      </c>
      <c r="E9" s="25">
        <v>45544</v>
      </c>
      <c r="F9" s="25">
        <v>45545</v>
      </c>
      <c r="G9" s="25">
        <v>45546</v>
      </c>
      <c r="H9" s="25">
        <v>45547</v>
      </c>
      <c r="I9" s="25">
        <v>45548</v>
      </c>
      <c r="J9" s="30">
        <v>45549</v>
      </c>
      <c r="K9" s="30">
        <v>45550</v>
      </c>
      <c r="L9" s="25">
        <v>45551</v>
      </c>
      <c r="M9" s="25">
        <v>45552</v>
      </c>
      <c r="N9" s="25">
        <v>45553</v>
      </c>
      <c r="O9" s="25">
        <v>45554</v>
      </c>
      <c r="P9" s="25">
        <v>45555</v>
      </c>
      <c r="Q9" s="19"/>
      <c r="R9" s="19"/>
      <c r="T9" s="41"/>
      <c r="V9" s="40" t="s">
        <v>27</v>
      </c>
      <c r="W9" s="40">
        <v>2</v>
      </c>
      <c r="X9" s="40" t="s">
        <v>864</v>
      </c>
      <c r="Y9" s="40">
        <v>0</v>
      </c>
      <c r="Z9" s="40" t="s">
        <v>843</v>
      </c>
      <c r="AA9" s="40">
        <v>3</v>
      </c>
      <c r="AB9" s="40" t="s">
        <v>516</v>
      </c>
      <c r="AC9" s="40">
        <v>4</v>
      </c>
      <c r="AD9" s="40" t="s">
        <v>1187</v>
      </c>
    </row>
    <row r="10" spans="1:31" ht="16.5" customHeight="1">
      <c r="A10" s="36">
        <v>1</v>
      </c>
      <c r="B10" s="19"/>
      <c r="C10" s="19" t="s">
        <v>312</v>
      </c>
      <c r="D10" s="19" t="s">
        <v>315</v>
      </c>
      <c r="E10" s="19"/>
      <c r="F10" s="19"/>
      <c r="G10" s="19"/>
      <c r="H10" s="19"/>
      <c r="I10" s="19"/>
      <c r="J10" s="19" t="s">
        <v>774</v>
      </c>
      <c r="K10" s="19" t="s">
        <v>2</v>
      </c>
      <c r="L10" s="19"/>
      <c r="N10" s="19"/>
      <c r="O10" s="19"/>
      <c r="P10" s="19"/>
      <c r="Q10" s="19"/>
      <c r="R10" s="19"/>
      <c r="T10" s="41"/>
      <c r="V10" s="40" t="s">
        <v>774</v>
      </c>
      <c r="W10" s="40">
        <v>0</v>
      </c>
      <c r="X10" s="40" t="s">
        <v>1032</v>
      </c>
      <c r="Y10" s="40">
        <v>2</v>
      </c>
      <c r="Z10" s="40" t="s">
        <v>1205</v>
      </c>
      <c r="AA10" s="40" t="s">
        <v>1208</v>
      </c>
      <c r="AB10" s="40" t="s">
        <v>864</v>
      </c>
      <c r="AC10" s="40">
        <v>1</v>
      </c>
    </row>
    <row r="11" spans="1:31" ht="16.5" customHeight="1">
      <c r="A11" s="36">
        <v>2</v>
      </c>
      <c r="B11" s="19"/>
      <c r="C11" s="19" t="s">
        <v>153</v>
      </c>
      <c r="D11" s="19" t="s">
        <v>769</v>
      </c>
      <c r="E11" s="19"/>
      <c r="F11" s="19"/>
      <c r="G11" s="19"/>
      <c r="H11" s="19"/>
      <c r="I11" s="19"/>
      <c r="J11" s="19" t="s">
        <v>1129</v>
      </c>
      <c r="K11" s="19" t="s">
        <v>314</v>
      </c>
      <c r="L11" s="19"/>
      <c r="M11" s="19"/>
      <c r="N11" s="19"/>
      <c r="O11" s="19"/>
      <c r="P11" s="19"/>
      <c r="Q11" s="19"/>
      <c r="R11" s="19"/>
      <c r="T11" s="41"/>
      <c r="V11" s="40" t="s">
        <v>769</v>
      </c>
      <c r="W11" s="40">
        <v>0</v>
      </c>
      <c r="X11" s="40" t="s">
        <v>516</v>
      </c>
      <c r="Y11" s="40">
        <v>0</v>
      </c>
      <c r="AB11" s="40" t="s">
        <v>1114</v>
      </c>
      <c r="AC11" s="40">
        <v>8</v>
      </c>
    </row>
    <row r="12" spans="1:31" ht="16.5" customHeight="1">
      <c r="A12" s="36">
        <v>3</v>
      </c>
      <c r="B12" s="19"/>
      <c r="C12" s="19" t="s">
        <v>843</v>
      </c>
      <c r="D12" s="19" t="s">
        <v>1065</v>
      </c>
      <c r="E12" s="19"/>
      <c r="F12" s="19"/>
      <c r="G12" s="19"/>
      <c r="H12" s="19"/>
      <c r="I12" s="19"/>
      <c r="J12" s="19" t="s">
        <v>37</v>
      </c>
      <c r="K12" s="19" t="s">
        <v>875</v>
      </c>
      <c r="L12" s="19"/>
      <c r="M12" s="19"/>
      <c r="N12" s="19"/>
      <c r="O12" s="19"/>
      <c r="P12" s="19"/>
      <c r="Q12" s="19"/>
      <c r="R12" s="19"/>
      <c r="T12" s="41"/>
      <c r="V12" s="40" t="s">
        <v>864</v>
      </c>
      <c r="W12" s="40">
        <v>2</v>
      </c>
      <c r="X12" s="40" t="s">
        <v>1114</v>
      </c>
      <c r="Y12" s="40">
        <v>2</v>
      </c>
    </row>
    <row r="13" spans="1:31" ht="16.5" customHeight="1">
      <c r="A13" s="36" t="s">
        <v>20</v>
      </c>
      <c r="B13" s="19" t="s">
        <v>864</v>
      </c>
      <c r="C13" s="19" t="s">
        <v>13</v>
      </c>
      <c r="D13" s="19" t="s">
        <v>13</v>
      </c>
      <c r="E13" s="19" t="s">
        <v>516</v>
      </c>
      <c r="F13" s="19" t="s">
        <v>13</v>
      </c>
      <c r="G13" s="19" t="s">
        <v>13</v>
      </c>
      <c r="H13" s="19" t="s">
        <v>13</v>
      </c>
      <c r="I13" s="19" t="s">
        <v>13</v>
      </c>
      <c r="J13" s="19" t="s">
        <v>13</v>
      </c>
      <c r="K13" s="19" t="s">
        <v>13</v>
      </c>
      <c r="L13" s="19" t="s">
        <v>1032</v>
      </c>
      <c r="M13" s="19" t="s">
        <v>13</v>
      </c>
      <c r="N13" s="19" t="s">
        <v>13</v>
      </c>
      <c r="O13" s="19" t="s">
        <v>13</v>
      </c>
      <c r="P13" s="19" t="s">
        <v>13</v>
      </c>
      <c r="Q13" s="19"/>
      <c r="R13" s="19"/>
      <c r="T13" s="41"/>
      <c r="V13" s="40" t="s">
        <v>1032</v>
      </c>
      <c r="W13" s="40">
        <v>1</v>
      </c>
      <c r="X13" s="40" t="s">
        <v>7</v>
      </c>
      <c r="Y13" s="40">
        <v>1</v>
      </c>
    </row>
    <row r="14" spans="1:31" ht="16.5" customHeight="1">
      <c r="A14" s="36" t="s">
        <v>0</v>
      </c>
      <c r="B14" s="19" t="s">
        <v>356</v>
      </c>
      <c r="C14" s="19" t="s">
        <v>13</v>
      </c>
      <c r="D14" s="19" t="s">
        <v>13</v>
      </c>
      <c r="E14" s="19" t="s">
        <v>1157</v>
      </c>
      <c r="F14" s="19" t="s">
        <v>13</v>
      </c>
      <c r="G14" s="19" t="s">
        <v>13</v>
      </c>
      <c r="H14" s="19" t="s">
        <v>13</v>
      </c>
      <c r="I14" s="19" t="s">
        <v>13</v>
      </c>
      <c r="J14" s="19" t="s">
        <v>13</v>
      </c>
      <c r="K14" s="19" t="s">
        <v>13</v>
      </c>
      <c r="L14" s="19" t="s">
        <v>1186</v>
      </c>
      <c r="M14" s="19" t="s">
        <v>13</v>
      </c>
      <c r="N14" s="19" t="s">
        <v>13</v>
      </c>
      <c r="O14" s="19" t="s">
        <v>13</v>
      </c>
      <c r="P14" s="19" t="s">
        <v>13</v>
      </c>
      <c r="Q14" s="19"/>
      <c r="R14" s="19"/>
      <c r="T14" s="41"/>
      <c r="X14" s="40" t="s">
        <v>2</v>
      </c>
      <c r="Y14" s="40">
        <v>1</v>
      </c>
    </row>
    <row r="15" spans="1:31" ht="16.5" customHeight="1">
      <c r="A15" s="36" t="s">
        <v>1</v>
      </c>
      <c r="B15" s="19"/>
      <c r="C15" s="19"/>
      <c r="D15" s="19"/>
      <c r="E15" s="19"/>
      <c r="F15" s="19"/>
      <c r="G15" s="19"/>
      <c r="H15" s="19"/>
      <c r="I15" s="19"/>
      <c r="J15" s="19"/>
      <c r="K15" s="19"/>
      <c r="L15" s="19"/>
      <c r="M15" s="19"/>
      <c r="N15" s="19"/>
      <c r="O15" s="19"/>
      <c r="P15" s="19"/>
      <c r="Q15" s="19"/>
      <c r="R15" s="19"/>
      <c r="T15" s="41"/>
      <c r="V15" s="40" t="s">
        <v>696</v>
      </c>
      <c r="W15" s="40">
        <f>SUM(W2:W14)</f>
        <v>16</v>
      </c>
      <c r="Y15" s="40">
        <f>SUM(Y2:Y14)</f>
        <v>16</v>
      </c>
      <c r="AA15" s="40">
        <f>SUM(AA2:AA14)</f>
        <v>16</v>
      </c>
    </row>
    <row r="16" spans="1:31" ht="16.5" customHeight="1">
      <c r="A16" s="42"/>
      <c r="B16" s="37"/>
      <c r="C16" s="37"/>
      <c r="D16" s="37"/>
      <c r="E16" s="37"/>
      <c r="F16" s="37"/>
      <c r="G16" s="37"/>
      <c r="H16" s="38"/>
      <c r="I16" s="38"/>
      <c r="J16" s="38"/>
      <c r="K16" s="38"/>
      <c r="L16" s="38"/>
      <c r="M16" s="38"/>
      <c r="N16" s="38"/>
      <c r="O16" s="38"/>
      <c r="P16" s="37"/>
      <c r="Q16" s="37"/>
      <c r="R16" s="39"/>
      <c r="T16" s="41"/>
    </row>
    <row r="17" spans="1:31" ht="16.5" customHeight="1">
      <c r="A17" s="23" t="s">
        <v>217</v>
      </c>
      <c r="B17" s="30">
        <v>45556</v>
      </c>
      <c r="C17" s="30">
        <v>45557</v>
      </c>
      <c r="D17" s="25">
        <v>45558</v>
      </c>
      <c r="E17" s="25">
        <v>45559</v>
      </c>
      <c r="F17" s="25">
        <v>45560</v>
      </c>
      <c r="G17" s="25">
        <v>45561</v>
      </c>
      <c r="H17" s="25">
        <v>45562</v>
      </c>
      <c r="I17" s="30">
        <v>45563</v>
      </c>
      <c r="J17" s="30">
        <v>45564</v>
      </c>
      <c r="K17" s="25">
        <v>45565</v>
      </c>
      <c r="L17" s="25"/>
      <c r="M17" s="26" t="s">
        <v>218</v>
      </c>
      <c r="N17" s="27">
        <v>45566</v>
      </c>
      <c r="O17" s="27">
        <v>45567</v>
      </c>
      <c r="P17" s="27">
        <v>45568</v>
      </c>
      <c r="Q17" s="27">
        <v>45569</v>
      </c>
      <c r="R17" s="31">
        <v>45570</v>
      </c>
      <c r="T17" s="41"/>
    </row>
    <row r="18" spans="1:31" ht="16.5" customHeight="1">
      <c r="A18" s="36">
        <v>1</v>
      </c>
      <c r="B18" s="19" t="s">
        <v>864</v>
      </c>
      <c r="C18" s="19" t="s">
        <v>25</v>
      </c>
      <c r="D18" s="19"/>
      <c r="E18" s="19"/>
      <c r="F18" s="19"/>
      <c r="G18" s="19"/>
      <c r="H18" s="19"/>
      <c r="I18" s="19" t="s">
        <v>312</v>
      </c>
      <c r="J18" s="19" t="s">
        <v>107</v>
      </c>
      <c r="K18" s="19"/>
      <c r="L18" s="19"/>
      <c r="M18" s="28"/>
      <c r="N18" s="19"/>
      <c r="O18" s="19"/>
      <c r="P18" s="19"/>
      <c r="Q18" s="19"/>
      <c r="R18" s="19" t="s">
        <v>315</v>
      </c>
      <c r="T18" s="41"/>
      <c r="X18" s="40" t="s">
        <v>80</v>
      </c>
    </row>
    <row r="19" spans="1:31" ht="16.5" customHeight="1">
      <c r="A19" s="36">
        <v>2</v>
      </c>
      <c r="B19" s="19" t="s">
        <v>93</v>
      </c>
      <c r="C19" s="19" t="s">
        <v>14</v>
      </c>
      <c r="D19" s="19"/>
      <c r="F19" s="19"/>
      <c r="G19" s="19"/>
      <c r="H19" s="19"/>
      <c r="I19" s="19" t="s">
        <v>7</v>
      </c>
      <c r="J19" s="19" t="s">
        <v>153</v>
      </c>
      <c r="K19" s="19"/>
      <c r="L19" s="61"/>
      <c r="M19" s="28"/>
      <c r="N19" s="19"/>
      <c r="O19" s="19"/>
      <c r="P19" s="19"/>
      <c r="Q19" s="19"/>
      <c r="R19" s="19" t="s">
        <v>1032</v>
      </c>
      <c r="T19" s="41"/>
      <c r="V19" s="40" t="s">
        <v>63</v>
      </c>
      <c r="X19" s="40" t="s">
        <v>64</v>
      </c>
      <c r="Z19" s="40" t="s">
        <v>65</v>
      </c>
      <c r="AB19" s="40" t="s">
        <v>169</v>
      </c>
      <c r="AD19" s="40" t="s">
        <v>874</v>
      </c>
    </row>
    <row r="20" spans="1:31" ht="16.5" customHeight="1">
      <c r="A20" s="36">
        <v>3</v>
      </c>
      <c r="B20" s="19" t="s">
        <v>1065</v>
      </c>
      <c r="C20" s="19" t="s">
        <v>843</v>
      </c>
      <c r="D20" s="19"/>
      <c r="E20" s="19"/>
      <c r="F20" s="19"/>
      <c r="G20" s="19"/>
      <c r="H20" s="19"/>
      <c r="I20" s="19" t="s">
        <v>1157</v>
      </c>
      <c r="J20" s="19" t="s">
        <v>37</v>
      </c>
      <c r="K20" s="19"/>
      <c r="L20" s="19"/>
      <c r="M20" s="28"/>
      <c r="N20" s="19"/>
      <c r="O20" s="19"/>
      <c r="P20" s="19"/>
      <c r="Q20" s="19"/>
      <c r="R20" s="19" t="s">
        <v>1229</v>
      </c>
      <c r="T20" s="41"/>
      <c r="V20" s="40" t="s">
        <v>25</v>
      </c>
      <c r="W20" s="40">
        <v>2</v>
      </c>
      <c r="X20" s="40" t="s">
        <v>93</v>
      </c>
      <c r="Y20" s="40">
        <v>3</v>
      </c>
      <c r="Z20" s="40" t="s">
        <v>1159</v>
      </c>
      <c r="AA20" s="40">
        <v>2</v>
      </c>
      <c r="AB20" s="40" t="s">
        <v>153</v>
      </c>
      <c r="AC20" s="40">
        <v>1</v>
      </c>
      <c r="AD20" s="40" t="s">
        <v>37</v>
      </c>
      <c r="AE20" s="40" t="s">
        <v>1208</v>
      </c>
    </row>
    <row r="21" spans="1:31" ht="16.5" customHeight="1">
      <c r="A21" s="36" t="s">
        <v>20</v>
      </c>
      <c r="B21" s="19" t="s">
        <v>1032</v>
      </c>
      <c r="C21" s="19" t="s">
        <v>13</v>
      </c>
      <c r="D21" s="19" t="s">
        <v>769</v>
      </c>
      <c r="E21" s="19" t="s">
        <v>13</v>
      </c>
      <c r="F21" s="19" t="s">
        <v>13</v>
      </c>
      <c r="G21" s="19" t="s">
        <v>13</v>
      </c>
      <c r="H21" s="19" t="s">
        <v>13</v>
      </c>
      <c r="I21" s="19" t="s">
        <v>13</v>
      </c>
      <c r="J21" s="19" t="s">
        <v>13</v>
      </c>
      <c r="K21" s="19" t="s">
        <v>25</v>
      </c>
      <c r="L21" s="19"/>
      <c r="M21" s="28"/>
      <c r="N21" s="19" t="s">
        <v>25</v>
      </c>
      <c r="O21" s="19" t="s">
        <v>13</v>
      </c>
      <c r="P21" s="19" t="s">
        <v>13</v>
      </c>
      <c r="Q21" s="19" t="s">
        <v>13</v>
      </c>
      <c r="R21" s="19" t="s">
        <v>13</v>
      </c>
      <c r="T21" s="41"/>
      <c r="V21" s="40" t="s">
        <v>2</v>
      </c>
      <c r="W21" s="40">
        <v>2</v>
      </c>
      <c r="X21" s="40" t="s">
        <v>14</v>
      </c>
      <c r="Y21" s="40">
        <v>2</v>
      </c>
      <c r="Z21" s="40" t="s">
        <v>1065</v>
      </c>
      <c r="AA21" s="40">
        <v>4</v>
      </c>
      <c r="AB21" s="40" t="s">
        <v>26</v>
      </c>
      <c r="AC21" s="40">
        <v>8</v>
      </c>
      <c r="AD21" s="40" t="s">
        <v>863</v>
      </c>
      <c r="AE21" s="40" t="s">
        <v>1208</v>
      </c>
    </row>
    <row r="22" spans="1:31" ht="16.5" customHeight="1">
      <c r="A22" s="36" t="s">
        <v>0</v>
      </c>
      <c r="B22" s="19" t="s">
        <v>1186</v>
      </c>
      <c r="C22" s="19" t="s">
        <v>13</v>
      </c>
      <c r="D22" s="19" t="s">
        <v>356</v>
      </c>
      <c r="E22" s="19" t="s">
        <v>13</v>
      </c>
      <c r="F22" s="19" t="s">
        <v>13</v>
      </c>
      <c r="G22" s="19" t="s">
        <v>13</v>
      </c>
      <c r="H22" s="19" t="s">
        <v>13</v>
      </c>
      <c r="I22" s="19" t="s">
        <v>13</v>
      </c>
      <c r="J22" s="19" t="s">
        <v>13</v>
      </c>
      <c r="K22" s="19" t="s">
        <v>875</v>
      </c>
      <c r="L22" s="19"/>
      <c r="M22" s="28"/>
      <c r="N22" s="19" t="s">
        <v>875</v>
      </c>
      <c r="O22" s="19" t="s">
        <v>13</v>
      </c>
      <c r="P22" s="19" t="s">
        <v>13</v>
      </c>
      <c r="Q22" s="19" t="s">
        <v>13</v>
      </c>
      <c r="R22" s="19" t="s">
        <v>13</v>
      </c>
      <c r="T22" s="41"/>
      <c r="V22" s="40" t="s">
        <v>516</v>
      </c>
      <c r="W22" s="40">
        <v>2</v>
      </c>
      <c r="X22" s="40" t="s">
        <v>23</v>
      </c>
      <c r="Y22" s="40">
        <v>1</v>
      </c>
      <c r="Z22" s="40" t="s">
        <v>863</v>
      </c>
      <c r="AA22" s="40" t="s">
        <v>1208</v>
      </c>
      <c r="AB22" s="40" t="s">
        <v>1032</v>
      </c>
      <c r="AC22" s="40">
        <v>5</v>
      </c>
      <c r="AD22" s="40" t="s">
        <v>875</v>
      </c>
      <c r="AE22" s="40" t="s">
        <v>1226</v>
      </c>
    </row>
    <row r="23" spans="1:31" ht="16.5" customHeight="1">
      <c r="A23" s="36" t="s">
        <v>1</v>
      </c>
      <c r="B23" s="19"/>
      <c r="C23" s="19"/>
      <c r="D23" s="19"/>
      <c r="E23" s="19"/>
      <c r="F23" s="19"/>
      <c r="G23" s="19"/>
      <c r="H23" s="19"/>
      <c r="I23" s="19"/>
      <c r="J23" s="19"/>
      <c r="K23" s="19"/>
      <c r="L23" s="19"/>
      <c r="M23" s="28"/>
      <c r="N23" s="19" t="s">
        <v>1227</v>
      </c>
      <c r="O23" s="19"/>
      <c r="P23" s="19"/>
      <c r="Q23" s="19"/>
      <c r="R23" s="19"/>
      <c r="T23" s="41"/>
      <c r="V23" s="40" t="s">
        <v>7</v>
      </c>
      <c r="W23" s="40">
        <v>1</v>
      </c>
      <c r="X23" s="40" t="s">
        <v>153</v>
      </c>
      <c r="Y23" s="40">
        <v>3</v>
      </c>
      <c r="Z23" s="40" t="s">
        <v>37</v>
      </c>
      <c r="AA23" s="68">
        <v>4</v>
      </c>
      <c r="AB23" s="40" t="s">
        <v>23</v>
      </c>
      <c r="AC23" s="68">
        <v>6</v>
      </c>
      <c r="AD23" s="40" t="s">
        <v>356</v>
      </c>
      <c r="AE23" s="40" t="s">
        <v>1228</v>
      </c>
    </row>
    <row r="24" spans="1:31" ht="16.5" customHeight="1">
      <c r="A24" s="26" t="s">
        <v>218</v>
      </c>
      <c r="B24" s="31">
        <v>45571</v>
      </c>
      <c r="C24" s="27">
        <v>45572</v>
      </c>
      <c r="D24" s="27">
        <v>45573</v>
      </c>
      <c r="E24" s="27">
        <v>45574</v>
      </c>
      <c r="F24" s="27">
        <v>45575</v>
      </c>
      <c r="G24" s="27">
        <v>45576</v>
      </c>
      <c r="H24" s="31">
        <v>45577</v>
      </c>
      <c r="I24" s="31">
        <v>45578</v>
      </c>
      <c r="J24" s="27">
        <v>45579</v>
      </c>
      <c r="K24" s="27">
        <v>45580</v>
      </c>
      <c r="L24" s="27">
        <v>45581</v>
      </c>
      <c r="M24" s="27">
        <v>45582</v>
      </c>
      <c r="N24" s="27">
        <v>45583</v>
      </c>
      <c r="O24" s="31">
        <v>45584</v>
      </c>
      <c r="P24" s="31">
        <v>45585</v>
      </c>
      <c r="Q24" s="19"/>
      <c r="R24" s="19"/>
      <c r="T24" s="41"/>
      <c r="V24" s="40" t="s">
        <v>21</v>
      </c>
      <c r="W24" s="40">
        <v>2</v>
      </c>
      <c r="X24" s="40" t="s">
        <v>327</v>
      </c>
      <c r="Y24" s="40">
        <v>1</v>
      </c>
      <c r="Z24" s="40" t="s">
        <v>875</v>
      </c>
      <c r="AA24" s="40">
        <v>2</v>
      </c>
      <c r="AB24" s="40" t="s">
        <v>25</v>
      </c>
      <c r="AC24" s="40">
        <v>7</v>
      </c>
      <c r="AD24" s="40" t="s">
        <v>1159</v>
      </c>
      <c r="AE24" s="40" t="s">
        <v>1160</v>
      </c>
    </row>
    <row r="25" spans="1:31" ht="16.5" customHeight="1">
      <c r="A25" s="28">
        <v>1</v>
      </c>
      <c r="B25" s="19" t="s">
        <v>516</v>
      </c>
      <c r="C25" s="19"/>
      <c r="D25" s="19"/>
      <c r="F25" s="19"/>
      <c r="G25" s="19"/>
      <c r="H25" s="19" t="s">
        <v>2</v>
      </c>
      <c r="I25" s="19" t="s">
        <v>769</v>
      </c>
      <c r="J25" s="19"/>
      <c r="K25" s="19"/>
      <c r="L25" s="19"/>
      <c r="M25" s="19"/>
      <c r="N25" s="19"/>
      <c r="O25" s="19" t="s">
        <v>107</v>
      </c>
      <c r="P25" s="19" t="s">
        <v>864</v>
      </c>
      <c r="Q25" s="19"/>
      <c r="R25" s="19"/>
      <c r="T25" s="41"/>
      <c r="V25" s="40" t="s">
        <v>26</v>
      </c>
      <c r="W25" s="40">
        <v>2</v>
      </c>
      <c r="X25" s="40" t="s">
        <v>152</v>
      </c>
      <c r="Y25" s="40">
        <v>2</v>
      </c>
      <c r="Z25" s="40" t="s">
        <v>1186</v>
      </c>
      <c r="AA25" s="64">
        <v>3</v>
      </c>
      <c r="AB25" s="40" t="s">
        <v>327</v>
      </c>
      <c r="AC25" s="64">
        <v>2</v>
      </c>
      <c r="AD25" s="40" t="s">
        <v>1186</v>
      </c>
      <c r="AE25" s="40">
        <v>5</v>
      </c>
    </row>
    <row r="26" spans="1:31" ht="16.5" customHeight="1">
      <c r="A26" s="28">
        <v>2</v>
      </c>
      <c r="B26" s="19" t="s">
        <v>1129</v>
      </c>
      <c r="C26" s="19"/>
      <c r="D26" s="19"/>
      <c r="E26" s="19"/>
      <c r="F26" s="19"/>
      <c r="G26" s="19"/>
      <c r="H26" s="19" t="s">
        <v>314</v>
      </c>
      <c r="I26" s="19" t="s">
        <v>774</v>
      </c>
      <c r="J26" s="19"/>
      <c r="K26" s="19"/>
      <c r="L26" s="19"/>
      <c r="M26" s="19"/>
      <c r="N26" s="19"/>
      <c r="O26" s="19" t="s">
        <v>153</v>
      </c>
      <c r="P26" s="19" t="s">
        <v>93</v>
      </c>
      <c r="Q26" s="19"/>
      <c r="R26" s="19"/>
      <c r="T26" s="41"/>
      <c r="V26" s="40" t="s">
        <v>27</v>
      </c>
      <c r="W26" s="40">
        <v>3</v>
      </c>
      <c r="X26" s="40" t="s">
        <v>864</v>
      </c>
      <c r="Y26" s="40">
        <v>0</v>
      </c>
      <c r="Z26" s="40" t="s">
        <v>843</v>
      </c>
      <c r="AA26" s="40">
        <v>3</v>
      </c>
      <c r="AB26" s="40" t="s">
        <v>516</v>
      </c>
      <c r="AC26" s="40">
        <v>4</v>
      </c>
      <c r="AD26" s="40" t="s">
        <v>1187</v>
      </c>
      <c r="AE26" s="40" t="s">
        <v>1208</v>
      </c>
    </row>
    <row r="27" spans="1:31" ht="16.5" customHeight="1">
      <c r="A27" s="28">
        <v>3</v>
      </c>
      <c r="B27" s="19" t="s">
        <v>843</v>
      </c>
      <c r="C27" s="19"/>
      <c r="D27" s="19"/>
      <c r="E27" s="19"/>
      <c r="F27" s="19"/>
      <c r="G27" s="19"/>
      <c r="H27" s="19" t="s">
        <v>37</v>
      </c>
      <c r="I27" s="19" t="s">
        <v>1065</v>
      </c>
      <c r="J27" s="19"/>
      <c r="K27" s="19"/>
      <c r="L27" s="19"/>
      <c r="M27" s="19"/>
      <c r="N27" s="19"/>
      <c r="O27" s="19" t="s">
        <v>875</v>
      </c>
      <c r="P27" s="19" t="s">
        <v>1186</v>
      </c>
      <c r="Q27" s="19"/>
      <c r="R27" s="19"/>
      <c r="T27" s="41"/>
      <c r="V27" s="40" t="s">
        <v>774</v>
      </c>
      <c r="W27" s="40">
        <v>1</v>
      </c>
      <c r="X27" s="40" t="s">
        <v>1032</v>
      </c>
      <c r="Y27" s="40">
        <v>2</v>
      </c>
      <c r="Z27" s="40" t="s">
        <v>1205</v>
      </c>
      <c r="AA27" s="40" t="s">
        <v>1208</v>
      </c>
      <c r="AB27" s="40" t="s">
        <v>864</v>
      </c>
      <c r="AC27" s="40">
        <v>3</v>
      </c>
    </row>
    <row r="28" spans="1:31" ht="16.5" customHeight="1">
      <c r="A28" s="28" t="s">
        <v>20</v>
      </c>
      <c r="B28" s="19" t="s">
        <v>25</v>
      </c>
      <c r="C28" s="19" t="s">
        <v>312</v>
      </c>
      <c r="D28" s="19" t="s">
        <v>13</v>
      </c>
      <c r="E28" s="19" t="s">
        <v>13</v>
      </c>
      <c r="F28" s="19" t="s">
        <v>13</v>
      </c>
      <c r="G28" s="19" t="s">
        <v>13</v>
      </c>
      <c r="H28" s="19" t="s">
        <v>13</v>
      </c>
      <c r="I28" s="19" t="s">
        <v>13</v>
      </c>
      <c r="J28" s="19" t="s">
        <v>1129</v>
      </c>
      <c r="K28" s="19" t="s">
        <v>13</v>
      </c>
      <c r="L28" s="19" t="s">
        <v>13</v>
      </c>
      <c r="M28" s="19" t="s">
        <v>13</v>
      </c>
      <c r="N28" s="19" t="s">
        <v>13</v>
      </c>
      <c r="O28" s="19" t="s">
        <v>13</v>
      </c>
      <c r="P28" s="19" t="s">
        <v>13</v>
      </c>
      <c r="Q28" s="19"/>
      <c r="R28" s="19"/>
      <c r="T28" s="41"/>
      <c r="V28" s="40" t="s">
        <v>769</v>
      </c>
      <c r="W28" s="40">
        <v>1</v>
      </c>
      <c r="X28" s="40" t="s">
        <v>1114</v>
      </c>
      <c r="Y28" s="40">
        <v>3</v>
      </c>
      <c r="AB28" s="40" t="s">
        <v>1114</v>
      </c>
      <c r="AC28" s="40">
        <v>9</v>
      </c>
    </row>
    <row r="29" spans="1:31" ht="16.5" customHeight="1">
      <c r="A29" s="28" t="s">
        <v>0</v>
      </c>
      <c r="B29" s="19" t="s">
        <v>875</v>
      </c>
      <c r="C29" s="19" t="s">
        <v>1157</v>
      </c>
      <c r="D29" s="19" t="s">
        <v>13</v>
      </c>
      <c r="E29" s="19" t="s">
        <v>13</v>
      </c>
      <c r="F29" s="19" t="s">
        <v>13</v>
      </c>
      <c r="G29" s="19" t="s">
        <v>13</v>
      </c>
      <c r="H29" s="19" t="s">
        <v>13</v>
      </c>
      <c r="I29" s="19" t="s">
        <v>13</v>
      </c>
      <c r="J29" s="19" t="s">
        <v>356</v>
      </c>
      <c r="K29" s="19" t="s">
        <v>13</v>
      </c>
      <c r="L29" s="19" t="s">
        <v>13</v>
      </c>
      <c r="M29" s="19" t="s">
        <v>13</v>
      </c>
      <c r="N29" s="19" t="s">
        <v>13</v>
      </c>
      <c r="O29" s="19" t="s">
        <v>13</v>
      </c>
      <c r="P29" s="19" t="s">
        <v>13</v>
      </c>
      <c r="Q29" s="19"/>
      <c r="R29" s="19"/>
      <c r="T29" s="41"/>
      <c r="V29" s="40" t="s">
        <v>864</v>
      </c>
      <c r="W29" s="40">
        <v>2</v>
      </c>
      <c r="X29" s="40" t="s">
        <v>7</v>
      </c>
      <c r="Y29" s="40">
        <v>1</v>
      </c>
    </row>
    <row r="30" spans="1:31" ht="16.5" customHeight="1">
      <c r="A30" s="28" t="s">
        <v>1</v>
      </c>
      <c r="B30" s="19"/>
      <c r="C30" s="19"/>
      <c r="D30" s="19"/>
      <c r="E30" s="19"/>
      <c r="F30" s="19"/>
      <c r="G30" s="19"/>
      <c r="H30" s="19"/>
      <c r="I30" s="19"/>
      <c r="J30" s="19"/>
      <c r="K30" s="19"/>
      <c r="L30" s="19"/>
      <c r="M30" s="19"/>
      <c r="N30" s="19"/>
      <c r="O30" s="19"/>
      <c r="P30" s="19"/>
      <c r="Q30" s="19"/>
      <c r="R30" s="19"/>
      <c r="T30" s="41"/>
    </row>
    <row r="31" spans="1:31" ht="16.5" customHeight="1">
      <c r="Q31" s="145" t="s">
        <v>82</v>
      </c>
      <c r="R31" s="145"/>
      <c r="T31" s="41"/>
    </row>
    <row r="32" spans="1:31" ht="16.5" customHeight="1">
      <c r="Q32" s="85"/>
      <c r="R32" s="85"/>
      <c r="T32" s="41"/>
      <c r="V32" s="40" t="s">
        <v>567</v>
      </c>
      <c r="W32" s="40">
        <f>SUM(W18:W30)</f>
        <v>18</v>
      </c>
      <c r="Y32" s="40">
        <f>SUM(Y18:Y30)</f>
        <v>18</v>
      </c>
      <c r="AA32" s="40">
        <f>SUM(AA18:AA30)</f>
        <v>18</v>
      </c>
    </row>
    <row r="33" spans="1:25" ht="16.5" customHeight="1">
      <c r="A33" s="40" t="s">
        <v>322</v>
      </c>
      <c r="B33" s="49"/>
      <c r="C33" s="49"/>
      <c r="D33" s="49"/>
      <c r="E33" s="49"/>
      <c r="F33" s="49"/>
      <c r="G33" s="49"/>
      <c r="H33" s="55"/>
      <c r="I33" s="49"/>
      <c r="J33" s="49"/>
      <c r="K33" s="49"/>
      <c r="L33" s="49"/>
      <c r="M33" s="49"/>
      <c r="N33" s="49"/>
      <c r="O33" s="49"/>
      <c r="T33" s="41"/>
    </row>
    <row r="34" spans="1:25" ht="16.5" customHeight="1">
      <c r="A34" s="49" t="s">
        <v>1062</v>
      </c>
      <c r="B34" s="49" t="s">
        <v>1063</v>
      </c>
      <c r="C34" s="49"/>
      <c r="D34" s="49"/>
      <c r="E34" s="49"/>
      <c r="F34" s="49"/>
      <c r="G34" s="49" t="s">
        <v>1000</v>
      </c>
      <c r="H34" s="49"/>
      <c r="I34" s="55"/>
      <c r="J34" s="55"/>
      <c r="K34" s="55" t="s">
        <v>1108</v>
      </c>
      <c r="L34" s="55"/>
      <c r="M34" s="55"/>
      <c r="N34" s="55"/>
      <c r="O34" s="55"/>
      <c r="P34" s="43"/>
      <c r="Q34" s="43"/>
      <c r="R34" s="43"/>
    </row>
    <row r="35" spans="1:25" ht="16.5" customHeight="1">
      <c r="A35" s="86" t="s">
        <v>1230</v>
      </c>
      <c r="B35" s="49"/>
      <c r="C35" s="49"/>
      <c r="D35" s="49"/>
      <c r="E35" s="49"/>
      <c r="F35" s="49"/>
      <c r="G35" s="88" t="s">
        <v>1244</v>
      </c>
      <c r="H35" s="49"/>
      <c r="I35" s="55"/>
      <c r="J35" s="55"/>
      <c r="K35" s="55" t="s">
        <v>945</v>
      </c>
      <c r="L35" s="55"/>
      <c r="M35" s="55"/>
      <c r="N35" s="55"/>
      <c r="O35" s="55"/>
      <c r="P35" s="55"/>
      <c r="Q35" s="55"/>
      <c r="R35" s="55"/>
    </row>
    <row r="36" spans="1:25" ht="12.75" customHeight="1">
      <c r="A36" s="87" t="s">
        <v>1231</v>
      </c>
      <c r="B36" s="49"/>
      <c r="C36" s="76"/>
      <c r="D36" s="49"/>
      <c r="E36" s="49"/>
      <c r="F36" s="49"/>
      <c r="G36" s="87" t="s">
        <v>1245</v>
      </c>
      <c r="H36" s="49"/>
      <c r="I36" s="55"/>
      <c r="J36" s="55"/>
      <c r="K36" s="55" t="s">
        <v>1130</v>
      </c>
      <c r="L36" s="55"/>
      <c r="M36" s="55"/>
      <c r="N36" s="55"/>
      <c r="O36" s="55"/>
      <c r="P36" s="55"/>
      <c r="Q36" s="55"/>
      <c r="R36" s="55"/>
      <c r="T36" s="41"/>
    </row>
    <row r="37" spans="1:25">
      <c r="A37" s="88" t="s">
        <v>1243</v>
      </c>
      <c r="B37" s="49"/>
      <c r="C37" s="49"/>
      <c r="D37" s="49"/>
      <c r="E37" s="49"/>
      <c r="F37" s="76"/>
      <c r="G37" s="88" t="s">
        <v>1140</v>
      </c>
      <c r="H37" s="49"/>
      <c r="I37" s="55"/>
      <c r="J37" s="55"/>
      <c r="K37" s="77" t="s">
        <v>1188</v>
      </c>
      <c r="L37" s="55"/>
      <c r="M37" s="55"/>
      <c r="N37" s="55"/>
      <c r="O37" s="55"/>
      <c r="P37" s="55"/>
      <c r="Q37" s="55"/>
      <c r="R37" s="55"/>
      <c r="T37" s="41"/>
    </row>
    <row r="38" spans="1:25">
      <c r="A38" s="87" t="s">
        <v>1140</v>
      </c>
      <c r="B38" s="49"/>
      <c r="C38" s="49"/>
      <c r="D38" s="49"/>
      <c r="E38" s="49"/>
      <c r="F38" s="77"/>
      <c r="G38" s="87" t="s">
        <v>1246</v>
      </c>
      <c r="H38" s="49"/>
      <c r="I38" s="55"/>
      <c r="J38" s="55"/>
      <c r="K38" s="55" t="s">
        <v>1177</v>
      </c>
      <c r="L38" s="55"/>
      <c r="M38" s="55"/>
      <c r="N38" s="55"/>
      <c r="O38" s="55"/>
      <c r="P38" s="55"/>
      <c r="Q38" s="55"/>
      <c r="R38" s="55"/>
      <c r="T38" s="41"/>
    </row>
    <row r="39" spans="1:25">
      <c r="A39" s="86" t="s">
        <v>1232</v>
      </c>
      <c r="B39" s="49"/>
      <c r="C39" s="49"/>
      <c r="D39" s="49"/>
      <c r="E39" s="49"/>
      <c r="F39" s="77"/>
      <c r="G39" s="88" t="s">
        <v>1142</v>
      </c>
      <c r="H39" s="49"/>
      <c r="I39" s="55"/>
      <c r="J39" s="55"/>
      <c r="K39" s="55" t="s">
        <v>1225</v>
      </c>
      <c r="L39" s="55"/>
      <c r="M39" s="55"/>
      <c r="N39" s="55"/>
      <c r="O39" s="55"/>
      <c r="P39" s="55"/>
      <c r="Q39" s="55"/>
      <c r="R39" s="55"/>
      <c r="S39" s="49"/>
      <c r="T39" s="72"/>
      <c r="U39" s="71"/>
      <c r="V39" s="71"/>
      <c r="W39" s="71"/>
      <c r="X39" s="71"/>
      <c r="Y39" s="71"/>
    </row>
    <row r="40" spans="1:25">
      <c r="A40" s="87" t="s">
        <v>1233</v>
      </c>
      <c r="B40" s="49"/>
      <c r="C40" s="49"/>
      <c r="D40" s="49"/>
      <c r="E40" s="49"/>
      <c r="F40" s="77"/>
      <c r="G40" s="89" t="s">
        <v>1247</v>
      </c>
      <c r="H40" s="49"/>
      <c r="I40" s="55"/>
      <c r="J40" s="55"/>
      <c r="K40" s="55"/>
      <c r="L40" s="55"/>
      <c r="M40" s="55"/>
      <c r="N40" s="55"/>
      <c r="O40" s="55"/>
      <c r="P40" s="55"/>
      <c r="Q40" s="55"/>
      <c r="R40" s="55"/>
      <c r="S40" s="49"/>
      <c r="T40" s="72"/>
      <c r="U40" s="71"/>
      <c r="V40" s="71"/>
      <c r="W40" s="71"/>
      <c r="X40" s="71"/>
      <c r="Y40" s="71"/>
    </row>
    <row r="41" spans="1:25">
      <c r="A41" s="86" t="s">
        <v>1234</v>
      </c>
      <c r="B41" s="49"/>
      <c r="C41" s="49"/>
      <c r="D41" s="49"/>
      <c r="E41" s="49"/>
      <c r="F41" s="77"/>
      <c r="G41" s="88" t="s">
        <v>1049</v>
      </c>
      <c r="H41" s="49"/>
      <c r="I41" s="55"/>
      <c r="J41" s="55"/>
      <c r="K41" s="55"/>
      <c r="L41" s="55"/>
      <c r="M41" s="55"/>
      <c r="N41" s="55"/>
      <c r="O41" s="55"/>
      <c r="P41" s="55"/>
      <c r="Q41" s="55"/>
      <c r="R41" s="55"/>
      <c r="S41" s="49"/>
      <c r="T41" s="71"/>
      <c r="U41" s="71"/>
      <c r="V41" s="71"/>
      <c r="W41" s="71"/>
      <c r="X41" s="71"/>
      <c r="Y41" s="71"/>
    </row>
    <row r="42" spans="1:25">
      <c r="A42" s="87" t="s">
        <v>1142</v>
      </c>
      <c r="B42" s="49"/>
      <c r="C42" s="76"/>
      <c r="D42" s="49"/>
      <c r="E42" s="49"/>
      <c r="F42" s="49"/>
      <c r="G42" s="89" t="s">
        <v>1248</v>
      </c>
      <c r="H42" s="49"/>
      <c r="I42" s="55"/>
      <c r="J42" s="55"/>
      <c r="K42" s="55"/>
      <c r="L42" s="55"/>
      <c r="M42" s="55"/>
      <c r="N42" s="55"/>
      <c r="O42" s="55"/>
      <c r="P42" s="55"/>
      <c r="Q42" s="55"/>
      <c r="R42" s="55"/>
      <c r="S42" s="49"/>
      <c r="T42" s="71"/>
      <c r="U42" s="71"/>
      <c r="V42" s="71"/>
      <c r="W42" s="71"/>
      <c r="X42" s="71"/>
      <c r="Y42" s="71"/>
    </row>
    <row r="43" spans="1:25">
      <c r="A43" s="86" t="s">
        <v>1235</v>
      </c>
      <c r="B43" s="49"/>
      <c r="C43" s="49"/>
      <c r="D43" s="49"/>
      <c r="E43" s="49"/>
      <c r="F43" s="77"/>
      <c r="G43" s="88" t="s">
        <v>1052</v>
      </c>
      <c r="H43" s="49"/>
      <c r="I43" s="55"/>
      <c r="J43" s="55"/>
      <c r="K43" s="55"/>
      <c r="L43" s="55"/>
      <c r="M43" s="55"/>
      <c r="N43" s="55"/>
      <c r="O43" s="55"/>
      <c r="P43" s="55"/>
      <c r="Q43" s="55"/>
      <c r="R43" s="55"/>
      <c r="S43" s="49"/>
      <c r="T43" s="72"/>
      <c r="U43" s="71"/>
      <c r="V43" s="71"/>
      <c r="W43" s="71"/>
      <c r="X43" s="71"/>
      <c r="Y43" s="71"/>
    </row>
    <row r="44" spans="1:25">
      <c r="A44" s="87" t="s">
        <v>1050</v>
      </c>
      <c r="B44" s="50"/>
      <c r="C44" s="50"/>
      <c r="D44" s="50"/>
      <c r="E44" s="50"/>
      <c r="F44" s="75"/>
      <c r="G44" s="89" t="s">
        <v>1249</v>
      </c>
      <c r="H44" s="50"/>
      <c r="I44" s="55"/>
      <c r="J44" s="55"/>
      <c r="K44" s="55"/>
      <c r="L44" s="55"/>
      <c r="M44" s="55"/>
      <c r="N44" s="55"/>
      <c r="O44" s="55"/>
      <c r="P44" s="55"/>
      <c r="Q44" s="55"/>
      <c r="R44" s="55"/>
      <c r="S44" s="49"/>
      <c r="T44" s="72"/>
      <c r="U44" s="71"/>
      <c r="V44" s="71"/>
      <c r="W44" s="71"/>
      <c r="X44" s="71"/>
      <c r="Y44" s="71"/>
    </row>
    <row r="45" spans="1:25">
      <c r="A45" s="86" t="s">
        <v>1236</v>
      </c>
      <c r="B45" s="50"/>
      <c r="C45" s="50"/>
      <c r="D45" s="50"/>
      <c r="E45" s="50"/>
      <c r="F45" s="75"/>
      <c r="G45" s="88" t="s">
        <v>1048</v>
      </c>
      <c r="H45" s="50"/>
      <c r="I45" s="55"/>
      <c r="J45" s="55"/>
      <c r="K45" s="55"/>
      <c r="L45" s="55"/>
      <c r="M45" s="55"/>
      <c r="N45" s="55"/>
      <c r="O45" s="55"/>
      <c r="P45" s="55"/>
      <c r="Q45" s="55"/>
      <c r="R45" s="55"/>
      <c r="S45" s="49"/>
      <c r="T45" s="72"/>
      <c r="U45" s="71"/>
      <c r="V45" s="71"/>
      <c r="W45" s="71"/>
      <c r="X45" s="71"/>
      <c r="Y45" s="71"/>
    </row>
    <row r="46" spans="1:25">
      <c r="A46" s="87" t="s">
        <v>1049</v>
      </c>
      <c r="B46" s="50"/>
      <c r="C46" s="50"/>
      <c r="D46" s="50"/>
      <c r="E46" s="50"/>
      <c r="F46" s="50"/>
      <c r="G46" s="87" t="s">
        <v>1250</v>
      </c>
      <c r="H46" s="50"/>
      <c r="I46" s="55"/>
      <c r="J46" s="55"/>
      <c r="K46" s="55"/>
      <c r="L46" s="55"/>
      <c r="M46" s="55"/>
      <c r="N46" s="55"/>
      <c r="O46" s="55"/>
      <c r="P46" s="55"/>
      <c r="Q46" s="55"/>
      <c r="R46" s="55"/>
      <c r="S46" s="49"/>
      <c r="T46" s="71"/>
      <c r="U46" s="71"/>
      <c r="V46" s="71"/>
      <c r="W46" s="71"/>
      <c r="X46" s="71"/>
      <c r="Y46" s="71"/>
    </row>
    <row r="47" spans="1:25">
      <c r="A47" s="86" t="s">
        <v>1237</v>
      </c>
      <c r="B47" s="50"/>
      <c r="C47" s="50"/>
      <c r="D47" s="50"/>
      <c r="E47" s="50"/>
      <c r="F47" s="75"/>
      <c r="G47" s="88"/>
      <c r="H47" s="50"/>
      <c r="I47" s="55"/>
      <c r="J47" s="55"/>
      <c r="K47" s="55"/>
      <c r="L47" s="55"/>
      <c r="M47" s="55"/>
      <c r="N47" s="55"/>
      <c r="O47" s="55"/>
      <c r="P47" s="55"/>
      <c r="Q47" s="55"/>
      <c r="R47" s="55"/>
      <c r="S47" s="49"/>
      <c r="T47" s="72"/>
      <c r="U47" s="71"/>
      <c r="V47" s="71"/>
      <c r="W47" s="71"/>
      <c r="X47" s="71"/>
      <c r="Y47" s="71"/>
    </row>
    <row r="48" spans="1:25">
      <c r="A48" s="89" t="s">
        <v>1141</v>
      </c>
      <c r="B48" s="50"/>
      <c r="C48" s="50"/>
      <c r="D48" s="50"/>
      <c r="E48" s="50"/>
      <c r="F48" s="50"/>
      <c r="G48" s="84"/>
      <c r="H48" s="50"/>
      <c r="I48" s="55"/>
      <c r="J48" s="55"/>
      <c r="K48" s="55"/>
      <c r="L48" s="55"/>
      <c r="M48" s="55"/>
      <c r="N48" s="55"/>
      <c r="O48" s="55"/>
      <c r="P48" s="55"/>
      <c r="Q48" s="55"/>
      <c r="R48" s="55"/>
      <c r="S48" s="49"/>
      <c r="T48" s="72"/>
      <c r="U48" s="71"/>
      <c r="V48" s="71"/>
      <c r="W48" s="71"/>
      <c r="X48" s="71"/>
      <c r="Y48" s="71"/>
    </row>
    <row r="49" spans="1:25">
      <c r="A49" s="86" t="s">
        <v>1238</v>
      </c>
      <c r="B49" s="50"/>
      <c r="C49" s="50"/>
      <c r="D49" s="50"/>
      <c r="E49" s="50"/>
      <c r="F49" s="50"/>
      <c r="G49" s="83"/>
      <c r="H49" s="50"/>
      <c r="I49" s="49"/>
      <c r="J49" s="49"/>
      <c r="K49" s="49"/>
      <c r="L49" s="49"/>
      <c r="M49" s="49"/>
      <c r="N49" s="49"/>
      <c r="O49" s="49"/>
      <c r="P49" s="49"/>
      <c r="Q49" s="49"/>
      <c r="R49" s="49"/>
      <c r="S49" s="49"/>
      <c r="T49" s="72"/>
      <c r="U49" s="71"/>
      <c r="V49" s="71"/>
      <c r="W49" s="71"/>
      <c r="X49" s="71"/>
      <c r="Y49" s="71"/>
    </row>
    <row r="50" spans="1:25">
      <c r="A50" s="87" t="s">
        <v>1052</v>
      </c>
      <c r="B50" s="50"/>
      <c r="C50" s="50"/>
      <c r="D50" s="50"/>
      <c r="E50" s="50"/>
      <c r="F50" s="50"/>
      <c r="G50" s="84"/>
      <c r="H50" s="50"/>
      <c r="I50" s="49"/>
      <c r="J50" s="49"/>
      <c r="K50" s="49"/>
      <c r="L50" s="49"/>
      <c r="M50" s="49"/>
      <c r="N50" s="49"/>
      <c r="O50" s="49"/>
      <c r="P50" s="49"/>
      <c r="Q50" s="49"/>
      <c r="R50" s="49"/>
      <c r="S50" s="49"/>
      <c r="T50" s="71"/>
      <c r="U50" s="71"/>
      <c r="V50" s="71"/>
      <c r="W50" s="71"/>
      <c r="X50" s="71"/>
      <c r="Y50" s="71"/>
    </row>
    <row r="51" spans="1:25">
      <c r="A51" s="86" t="s">
        <v>1239</v>
      </c>
      <c r="B51" s="78"/>
      <c r="C51" s="50"/>
      <c r="D51" s="50"/>
      <c r="E51" s="50"/>
      <c r="F51" s="79"/>
      <c r="G51" s="50"/>
      <c r="H51" s="50"/>
      <c r="I51" s="49"/>
      <c r="J51" s="49"/>
      <c r="K51" s="49"/>
      <c r="L51" s="49"/>
      <c r="M51" s="49"/>
      <c r="N51" s="49"/>
      <c r="O51" s="49"/>
      <c r="P51" s="49"/>
      <c r="Q51" s="49"/>
      <c r="R51" s="49"/>
      <c r="S51" s="49"/>
      <c r="T51" s="71"/>
      <c r="U51" s="71"/>
      <c r="V51" s="71"/>
      <c r="W51" s="71"/>
      <c r="X51" s="71"/>
      <c r="Y51" s="71"/>
    </row>
    <row r="52" spans="1:25">
      <c r="A52" s="87" t="s">
        <v>1240</v>
      </c>
      <c r="B52" s="50"/>
      <c r="C52" s="50"/>
      <c r="D52" s="50"/>
      <c r="E52" s="50"/>
      <c r="F52" s="50"/>
      <c r="G52" s="50"/>
      <c r="H52" s="50"/>
      <c r="I52" s="49"/>
      <c r="J52" s="49"/>
      <c r="K52" s="49"/>
      <c r="L52" s="49"/>
      <c r="M52" s="49"/>
      <c r="N52" s="49"/>
      <c r="O52" s="49"/>
      <c r="P52" s="49"/>
      <c r="Q52" s="49"/>
      <c r="R52" s="49"/>
      <c r="S52" s="49"/>
      <c r="T52" s="71"/>
      <c r="U52" s="71"/>
      <c r="V52" s="71"/>
      <c r="W52" s="71"/>
      <c r="X52" s="71"/>
      <c r="Y52" s="71"/>
    </row>
    <row r="53" spans="1:25">
      <c r="A53" s="86" t="s">
        <v>1241</v>
      </c>
      <c r="B53" s="50"/>
      <c r="C53" s="50"/>
      <c r="D53" s="50"/>
      <c r="E53" s="50"/>
      <c r="F53" s="50"/>
      <c r="G53" s="50"/>
      <c r="H53" s="50"/>
      <c r="I53" s="49"/>
      <c r="J53" s="49"/>
      <c r="K53" s="49"/>
      <c r="L53" s="49"/>
      <c r="M53" s="49"/>
      <c r="N53" s="49"/>
      <c r="O53" s="49"/>
      <c r="P53" s="49"/>
      <c r="Q53" s="49"/>
      <c r="R53" s="49"/>
      <c r="S53" s="49"/>
      <c r="T53" s="71"/>
      <c r="U53" s="71"/>
      <c r="V53" s="71"/>
      <c r="W53" s="71"/>
      <c r="X53" s="71"/>
      <c r="Y53" s="71"/>
    </row>
    <row r="54" spans="1:25">
      <c r="A54" s="87" t="s">
        <v>1048</v>
      </c>
      <c r="B54" s="50"/>
      <c r="C54" s="50"/>
      <c r="D54" s="50"/>
      <c r="E54" s="50"/>
      <c r="F54" s="50"/>
      <c r="G54" s="50"/>
      <c r="H54" s="50"/>
      <c r="I54" s="49"/>
      <c r="J54" s="49"/>
      <c r="K54" s="49"/>
      <c r="L54" s="49"/>
      <c r="M54" s="49"/>
      <c r="N54" s="49"/>
      <c r="O54" s="49"/>
      <c r="P54" s="49"/>
      <c r="Q54" s="49"/>
      <c r="R54" s="49"/>
      <c r="S54" s="49"/>
      <c r="T54" s="71"/>
      <c r="U54" s="71"/>
      <c r="V54" s="71"/>
      <c r="W54" s="71"/>
      <c r="X54" s="71"/>
      <c r="Y54" s="71"/>
    </row>
    <row r="55" spans="1:25">
      <c r="A55" s="86" t="s">
        <v>1242</v>
      </c>
      <c r="B55" s="49"/>
      <c r="C55" s="49"/>
      <c r="D55" s="49"/>
      <c r="E55" s="49"/>
      <c r="F55" s="49"/>
      <c r="G55" s="49"/>
      <c r="H55" s="49"/>
      <c r="I55" s="49"/>
      <c r="J55" s="49"/>
      <c r="K55" s="49"/>
      <c r="L55" s="49"/>
      <c r="M55" s="49"/>
      <c r="N55" s="49"/>
      <c r="O55" s="49"/>
      <c r="P55" s="49"/>
      <c r="Q55" s="49"/>
      <c r="R55" s="49"/>
      <c r="S55" s="49"/>
      <c r="T55" s="71"/>
      <c r="U55" s="71"/>
      <c r="V55" s="71"/>
      <c r="W55" s="71"/>
      <c r="X55" s="71"/>
      <c r="Y55" s="71"/>
    </row>
    <row r="56" spans="1:25">
      <c r="A56" s="84"/>
      <c r="B56" s="49"/>
      <c r="C56" s="49"/>
      <c r="D56" s="49"/>
      <c r="E56" s="49"/>
      <c r="F56" s="49"/>
      <c r="G56" s="49"/>
      <c r="H56" s="49"/>
      <c r="I56" s="49"/>
      <c r="J56" s="49"/>
      <c r="K56" s="49"/>
      <c r="L56" s="49"/>
      <c r="M56" s="49"/>
      <c r="N56" s="49"/>
      <c r="O56" s="49"/>
      <c r="P56" s="49"/>
      <c r="Q56" s="49"/>
      <c r="R56" s="49"/>
      <c r="S56" s="49"/>
      <c r="T56" s="71"/>
      <c r="U56" s="71"/>
      <c r="V56" s="71"/>
      <c r="W56" s="71"/>
      <c r="X56" s="71"/>
      <c r="Y56" s="71"/>
    </row>
    <row r="57" spans="1:25">
      <c r="A57" s="83"/>
      <c r="B57" s="49"/>
      <c r="C57" s="49"/>
      <c r="D57" s="49"/>
      <c r="E57" s="49"/>
      <c r="F57" s="49"/>
      <c r="G57" s="49"/>
      <c r="H57" s="49"/>
      <c r="I57" s="49"/>
      <c r="J57" s="49"/>
      <c r="K57" s="49"/>
      <c r="L57" s="49"/>
      <c r="M57" s="49"/>
      <c r="N57" s="49"/>
      <c r="O57" s="49"/>
      <c r="P57" s="49"/>
      <c r="Q57" s="49"/>
      <c r="R57" s="49"/>
      <c r="S57" s="49"/>
      <c r="T57" s="71"/>
      <c r="U57" s="71"/>
      <c r="V57" s="71"/>
      <c r="W57" s="71"/>
      <c r="X57" s="71"/>
      <c r="Y57" s="71"/>
    </row>
    <row r="58" spans="1:25">
      <c r="A58" s="84"/>
      <c r="B58" s="49"/>
      <c r="C58" s="49"/>
      <c r="D58" s="49"/>
      <c r="E58" s="49"/>
      <c r="F58" s="49"/>
      <c r="G58" s="49"/>
      <c r="H58" s="49"/>
      <c r="I58" s="49"/>
      <c r="J58" s="49"/>
      <c r="K58" s="49"/>
      <c r="L58" s="49"/>
      <c r="M58" s="49"/>
      <c r="N58" s="49"/>
      <c r="O58" s="49"/>
      <c r="P58" s="49"/>
      <c r="Q58" s="49"/>
      <c r="R58" s="49"/>
      <c r="S58" s="49"/>
      <c r="T58" s="71"/>
      <c r="U58" s="71"/>
      <c r="V58" s="71"/>
      <c r="W58" s="71"/>
      <c r="X58" s="71"/>
      <c r="Y58" s="71"/>
    </row>
    <row r="59" spans="1:25">
      <c r="A59" s="49"/>
      <c r="B59" s="49"/>
      <c r="C59" s="49"/>
      <c r="D59" s="49"/>
      <c r="E59" s="49"/>
      <c r="F59" s="49"/>
      <c r="G59" s="49"/>
      <c r="H59" s="49"/>
      <c r="I59" s="49"/>
      <c r="J59" s="49"/>
      <c r="K59" s="49"/>
      <c r="L59" s="49"/>
      <c r="M59" s="49"/>
      <c r="N59" s="49"/>
      <c r="O59" s="49"/>
      <c r="P59" s="49"/>
      <c r="Q59" s="49"/>
      <c r="R59" s="49"/>
      <c r="S59" s="49"/>
      <c r="T59" s="71"/>
      <c r="U59" s="71"/>
      <c r="V59" s="71"/>
      <c r="W59" s="71"/>
      <c r="X59" s="71"/>
      <c r="Y59" s="71"/>
    </row>
    <row r="60" spans="1:25">
      <c r="A60" s="49"/>
      <c r="B60" s="49"/>
      <c r="C60" s="49"/>
      <c r="D60" s="49"/>
      <c r="E60" s="49"/>
      <c r="F60" s="49"/>
      <c r="G60" s="49"/>
      <c r="H60" s="49"/>
      <c r="I60" s="49"/>
      <c r="J60" s="49"/>
      <c r="K60" s="49"/>
      <c r="L60" s="49"/>
      <c r="M60" s="49"/>
      <c r="N60" s="49"/>
      <c r="O60" s="49"/>
      <c r="P60" s="49"/>
      <c r="Q60" s="49"/>
      <c r="R60" s="49"/>
      <c r="S60" s="49"/>
      <c r="T60" s="71"/>
      <c r="U60" s="71"/>
      <c r="V60" s="71"/>
      <c r="W60" s="71"/>
      <c r="X60" s="71"/>
      <c r="Y60" s="71"/>
    </row>
    <row r="61" spans="1:25">
      <c r="A61" s="73"/>
      <c r="B61" s="73"/>
      <c r="C61" s="73"/>
      <c r="D61" s="73"/>
      <c r="E61" s="73"/>
      <c r="F61" s="73"/>
      <c r="G61" s="73"/>
      <c r="H61" s="73"/>
      <c r="I61" s="73"/>
      <c r="J61" s="73"/>
      <c r="K61" s="73"/>
      <c r="L61" s="73"/>
      <c r="M61" s="73"/>
      <c r="N61" s="73"/>
      <c r="O61" s="73"/>
      <c r="P61" s="73"/>
      <c r="Q61" s="73"/>
      <c r="R61" s="73"/>
      <c r="S61" s="49"/>
      <c r="T61" s="71"/>
      <c r="U61" s="71"/>
      <c r="V61" s="71"/>
      <c r="W61" s="71"/>
      <c r="X61" s="71"/>
      <c r="Y61" s="71"/>
    </row>
    <row r="62" spans="1:25">
      <c r="A62" s="49"/>
      <c r="B62" s="73"/>
      <c r="C62" s="73"/>
      <c r="D62" s="73"/>
      <c r="E62" s="73"/>
      <c r="F62" s="73"/>
      <c r="G62" s="73"/>
      <c r="H62" s="73"/>
      <c r="I62" s="73"/>
      <c r="J62" s="73"/>
      <c r="K62" s="73"/>
      <c r="L62" s="73"/>
      <c r="M62" s="73"/>
      <c r="N62" s="73"/>
      <c r="O62" s="73"/>
      <c r="P62" s="73"/>
      <c r="Q62" s="73"/>
      <c r="R62" s="73"/>
      <c r="S62" s="49"/>
      <c r="T62" s="71"/>
      <c r="U62" s="71"/>
      <c r="V62" s="71"/>
      <c r="W62" s="71"/>
      <c r="X62" s="71"/>
      <c r="Y62" s="71"/>
    </row>
    <row r="63" spans="1:25">
      <c r="A63" s="73"/>
      <c r="B63" s="73"/>
      <c r="C63" s="73"/>
      <c r="D63" s="73"/>
      <c r="E63" s="73"/>
      <c r="F63" s="73"/>
      <c r="G63" s="73"/>
      <c r="H63" s="73"/>
      <c r="I63" s="73"/>
      <c r="J63" s="73"/>
      <c r="K63" s="73"/>
      <c r="L63" s="73"/>
      <c r="M63" s="73"/>
      <c r="N63" s="73"/>
      <c r="O63" s="73"/>
      <c r="P63" s="73"/>
      <c r="Q63" s="73"/>
      <c r="R63" s="73"/>
      <c r="S63" s="49"/>
      <c r="T63" s="71"/>
      <c r="U63" s="71"/>
      <c r="V63" s="71"/>
      <c r="W63" s="71"/>
      <c r="X63" s="71"/>
      <c r="Y63" s="71"/>
    </row>
    <row r="64" spans="1:25">
      <c r="A64" s="49"/>
      <c r="B64" s="73"/>
      <c r="C64" s="73"/>
      <c r="D64" s="73"/>
      <c r="E64" s="73"/>
      <c r="F64" s="73"/>
      <c r="G64" s="73"/>
      <c r="H64" s="73"/>
      <c r="I64" s="73"/>
      <c r="J64" s="73"/>
      <c r="K64" s="73"/>
      <c r="L64" s="73"/>
      <c r="M64" s="73"/>
      <c r="N64" s="73"/>
      <c r="O64" s="73"/>
      <c r="P64" s="73"/>
      <c r="Q64" s="73"/>
      <c r="R64" s="73"/>
      <c r="S64" s="49"/>
      <c r="T64" s="71"/>
      <c r="U64" s="71"/>
      <c r="V64" s="71"/>
      <c r="W64" s="71"/>
      <c r="X64" s="71"/>
      <c r="Y64" s="71"/>
    </row>
    <row r="65" spans="1:19">
      <c r="A65" s="73"/>
      <c r="B65" s="73"/>
      <c r="C65" s="73"/>
      <c r="D65" s="73"/>
      <c r="E65" s="73"/>
      <c r="F65" s="73"/>
      <c r="G65" s="73"/>
      <c r="H65" s="73"/>
      <c r="I65" s="73"/>
      <c r="J65" s="73"/>
      <c r="K65" s="73"/>
      <c r="L65" s="73"/>
      <c r="M65" s="73"/>
      <c r="N65" s="73"/>
      <c r="O65" s="73"/>
      <c r="P65" s="73"/>
      <c r="Q65" s="73"/>
      <c r="R65" s="73"/>
      <c r="S65" s="73"/>
    </row>
    <row r="66" spans="1:19">
      <c r="A66" s="73"/>
      <c r="B66" s="73"/>
      <c r="C66" s="73"/>
      <c r="D66" s="73"/>
      <c r="E66" s="73"/>
      <c r="F66" s="73"/>
      <c r="G66" s="73"/>
      <c r="H66" s="73"/>
      <c r="I66" s="73"/>
      <c r="J66" s="73"/>
      <c r="K66" s="73"/>
      <c r="L66" s="73"/>
      <c r="M66" s="73"/>
      <c r="N66" s="73"/>
      <c r="O66" s="73"/>
      <c r="P66" s="73"/>
      <c r="Q66" s="73"/>
      <c r="R66" s="73"/>
      <c r="S66" s="73"/>
    </row>
    <row r="67" spans="1:19">
      <c r="A67" s="73"/>
      <c r="B67" s="73"/>
      <c r="C67" s="73"/>
      <c r="D67" s="73"/>
      <c r="E67" s="73"/>
      <c r="F67" s="73"/>
      <c r="G67" s="73"/>
      <c r="H67" s="73"/>
      <c r="I67" s="73"/>
      <c r="J67" s="73"/>
      <c r="K67" s="73"/>
      <c r="L67" s="73"/>
      <c r="M67" s="73"/>
      <c r="N67" s="73"/>
      <c r="O67" s="73"/>
      <c r="P67" s="73"/>
      <c r="Q67" s="73"/>
      <c r="R67" s="73"/>
      <c r="S67" s="73"/>
    </row>
    <row r="68" spans="1:19">
      <c r="A68" s="73"/>
      <c r="B68" s="73"/>
      <c r="C68" s="73"/>
      <c r="D68" s="73"/>
      <c r="E68" s="73"/>
      <c r="F68" s="73"/>
      <c r="G68" s="73"/>
      <c r="H68" s="73"/>
      <c r="I68" s="73"/>
      <c r="J68" s="73"/>
      <c r="K68" s="73"/>
      <c r="L68" s="73"/>
      <c r="M68" s="73"/>
      <c r="N68" s="73"/>
      <c r="O68" s="73"/>
      <c r="P68" s="73"/>
      <c r="Q68" s="73"/>
      <c r="R68" s="73"/>
      <c r="S68" s="73"/>
    </row>
    <row r="69" spans="1:19">
      <c r="A69" s="73"/>
      <c r="B69" s="73"/>
      <c r="C69" s="73"/>
      <c r="D69" s="73"/>
      <c r="E69" s="73"/>
      <c r="F69" s="73"/>
      <c r="G69" s="73"/>
      <c r="H69" s="73"/>
      <c r="I69" s="73"/>
      <c r="J69" s="73"/>
      <c r="K69" s="73"/>
      <c r="L69" s="73"/>
      <c r="M69" s="73"/>
      <c r="N69" s="73"/>
      <c r="O69" s="73"/>
      <c r="P69" s="73"/>
      <c r="Q69" s="73"/>
      <c r="R69" s="73"/>
      <c r="S69" s="73"/>
    </row>
    <row r="70" spans="1:19">
      <c r="A70" s="73"/>
      <c r="B70" s="73"/>
      <c r="C70" s="73"/>
      <c r="D70" s="73"/>
      <c r="E70" s="73"/>
      <c r="F70" s="73"/>
      <c r="G70" s="73"/>
      <c r="H70" s="73"/>
      <c r="I70" s="73"/>
      <c r="J70" s="73"/>
      <c r="K70" s="73"/>
      <c r="L70" s="73"/>
      <c r="M70" s="73"/>
      <c r="N70" s="73"/>
      <c r="O70" s="73"/>
      <c r="P70" s="73"/>
      <c r="Q70" s="73"/>
      <c r="R70" s="73"/>
      <c r="S70" s="73"/>
    </row>
    <row r="71" spans="1:19">
      <c r="S71" s="73"/>
    </row>
    <row r="72" spans="1:19">
      <c r="S72" s="73"/>
    </row>
    <row r="73" spans="1:19">
      <c r="S73" s="73"/>
    </row>
    <row r="74" spans="1:19">
      <c r="S74" s="73"/>
    </row>
  </sheetData>
  <mergeCells count="2">
    <mergeCell ref="A1:R1"/>
    <mergeCell ref="Q31:R31"/>
  </mergeCells>
  <phoneticPr fontId="2"/>
  <pageMargins left="0.23622047244094491" right="0.23622047244094491" top="0" bottom="0" header="0.31496062992125984" footer="0.31496062992125984"/>
  <pageSetup paperSize="9" orientation="landscape" r:id="rId1"/>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F1930-C2C6-442B-AD84-CECE20A988FB}">
  <dimension ref="A1:AE73"/>
  <sheetViews>
    <sheetView zoomScale="90" zoomScaleNormal="90" workbookViewId="0">
      <selection activeCell="A20" sqref="A20:XFD20"/>
    </sheetView>
  </sheetViews>
  <sheetFormatPr defaultColWidth="9" defaultRowHeight="18.75"/>
  <cols>
    <col min="1" max="18" width="6.625" style="40" customWidth="1"/>
    <col min="19" max="19" width="3.625" style="40" customWidth="1"/>
    <col min="20" max="20" width="6.625" style="40" customWidth="1"/>
    <col min="21" max="21" width="3.625" style="40" customWidth="1"/>
    <col min="22" max="37" width="6.625" style="40" customWidth="1"/>
    <col min="38" max="38" width="3.625" style="40" customWidth="1"/>
    <col min="39" max="16384" width="9" style="40"/>
  </cols>
  <sheetData>
    <row r="1" spans="1:31">
      <c r="A1" s="147" t="s">
        <v>1178</v>
      </c>
      <c r="B1" s="147"/>
      <c r="C1" s="147"/>
      <c r="D1" s="147"/>
      <c r="E1" s="147"/>
      <c r="F1" s="147"/>
      <c r="G1" s="147"/>
      <c r="H1" s="147"/>
      <c r="I1" s="147"/>
      <c r="J1" s="147"/>
      <c r="K1" s="147"/>
      <c r="L1" s="147"/>
      <c r="M1" s="147"/>
      <c r="N1" s="147"/>
      <c r="O1" s="147"/>
      <c r="P1" s="147"/>
      <c r="Q1" s="147"/>
      <c r="R1" s="147"/>
      <c r="X1" s="40" t="s">
        <v>116</v>
      </c>
    </row>
    <row r="2" spans="1:31" ht="16.5" customHeight="1">
      <c r="A2" s="26" t="s">
        <v>355</v>
      </c>
      <c r="B2" s="27">
        <v>45464</v>
      </c>
      <c r="C2" s="31">
        <v>45465</v>
      </c>
      <c r="D2" s="31">
        <v>45466</v>
      </c>
      <c r="E2" s="27">
        <v>45467</v>
      </c>
      <c r="F2" s="27">
        <v>45468</v>
      </c>
      <c r="G2" s="27">
        <v>45469</v>
      </c>
      <c r="H2" s="27">
        <v>45470</v>
      </c>
      <c r="I2" s="27">
        <v>45471</v>
      </c>
      <c r="J2" s="31">
        <v>45472</v>
      </c>
      <c r="K2" s="31">
        <v>45473</v>
      </c>
      <c r="L2" s="27"/>
      <c r="M2" s="23" t="s">
        <v>368</v>
      </c>
      <c r="N2" s="25">
        <v>45474</v>
      </c>
      <c r="O2" s="25">
        <v>45475</v>
      </c>
      <c r="P2" s="25">
        <v>45476</v>
      </c>
      <c r="Q2" s="25">
        <v>45477</v>
      </c>
      <c r="R2" s="25">
        <v>45478</v>
      </c>
      <c r="V2" s="40" t="s">
        <v>63</v>
      </c>
      <c r="X2" s="40" t="s">
        <v>64</v>
      </c>
      <c r="Z2" s="40" t="s">
        <v>65</v>
      </c>
      <c r="AB2" s="40" t="s">
        <v>169</v>
      </c>
      <c r="AD2" s="40" t="s">
        <v>874</v>
      </c>
    </row>
    <row r="3" spans="1:31" ht="16.5" customHeight="1">
      <c r="A3" s="28">
        <v>1</v>
      </c>
      <c r="B3" s="19"/>
      <c r="C3" s="19" t="s">
        <v>25</v>
      </c>
      <c r="D3" s="19" t="s">
        <v>315</v>
      </c>
      <c r="E3" s="19"/>
      <c r="F3" s="19"/>
      <c r="G3" s="19"/>
      <c r="H3" s="19"/>
      <c r="I3" s="19"/>
      <c r="J3" s="19" t="s">
        <v>7</v>
      </c>
      <c r="K3" s="19" t="s">
        <v>107</v>
      </c>
      <c r="L3" s="19"/>
      <c r="M3" s="36"/>
      <c r="N3" s="19"/>
      <c r="O3" s="19"/>
      <c r="P3" s="19"/>
      <c r="Q3" s="19"/>
      <c r="R3" s="19"/>
      <c r="V3" s="40" t="s">
        <v>25</v>
      </c>
      <c r="W3" s="40">
        <v>1</v>
      </c>
      <c r="X3" s="40" t="s">
        <v>93</v>
      </c>
      <c r="Y3" s="40">
        <v>2</v>
      </c>
      <c r="Z3" s="40" t="s">
        <v>1159</v>
      </c>
      <c r="AA3" s="40">
        <v>3</v>
      </c>
      <c r="AB3" s="40" t="s">
        <v>153</v>
      </c>
      <c r="AC3" s="40">
        <v>8</v>
      </c>
      <c r="AD3" s="40" t="s">
        <v>37</v>
      </c>
      <c r="AE3" s="40">
        <v>2</v>
      </c>
    </row>
    <row r="4" spans="1:31" ht="16.5" customHeight="1">
      <c r="A4" s="28">
        <v>2</v>
      </c>
      <c r="B4" s="19"/>
      <c r="C4" s="19" t="s">
        <v>1032</v>
      </c>
      <c r="D4" s="19" t="s">
        <v>1195</v>
      </c>
      <c r="E4" s="19"/>
      <c r="F4" s="19"/>
      <c r="G4" s="61"/>
      <c r="H4" s="19"/>
      <c r="I4" s="19"/>
      <c r="J4" s="19" t="s">
        <v>93</v>
      </c>
      <c r="K4" s="19" t="s">
        <v>1204</v>
      </c>
      <c r="L4" s="19"/>
      <c r="M4" s="36"/>
      <c r="N4" s="19"/>
      <c r="O4" s="19"/>
      <c r="P4" s="19"/>
      <c r="Q4" s="19"/>
      <c r="R4" s="19"/>
      <c r="T4" s="41"/>
      <c r="U4" s="41"/>
      <c r="V4" s="40" t="s">
        <v>2</v>
      </c>
      <c r="W4" s="40">
        <v>2</v>
      </c>
      <c r="X4" s="40" t="s">
        <v>14</v>
      </c>
      <c r="Y4" s="40">
        <v>2</v>
      </c>
      <c r="Z4" s="40" t="s">
        <v>1065</v>
      </c>
      <c r="AA4" s="40">
        <v>3</v>
      </c>
      <c r="AB4" s="40" t="s">
        <v>26</v>
      </c>
      <c r="AC4" s="40">
        <v>5</v>
      </c>
      <c r="AD4" s="40" t="s">
        <v>863</v>
      </c>
    </row>
    <row r="5" spans="1:31" ht="16.5" customHeight="1">
      <c r="A5" s="28">
        <v>3</v>
      </c>
      <c r="B5" s="19"/>
      <c r="C5" s="19" t="s">
        <v>843</v>
      </c>
      <c r="D5" s="19" t="s">
        <v>37</v>
      </c>
      <c r="E5" s="19"/>
      <c r="F5" s="19"/>
      <c r="G5" s="19"/>
      <c r="H5" s="19"/>
      <c r="I5" s="19"/>
      <c r="J5" s="19" t="s">
        <v>1210</v>
      </c>
      <c r="K5" s="19" t="s">
        <v>1211</v>
      </c>
      <c r="L5" s="19"/>
      <c r="M5" s="36"/>
      <c r="N5" s="19"/>
      <c r="O5" s="19"/>
      <c r="P5" s="19"/>
      <c r="Q5" s="19"/>
      <c r="R5" s="19"/>
      <c r="T5" s="41"/>
      <c r="U5" s="41"/>
      <c r="V5" s="40" t="s">
        <v>516</v>
      </c>
      <c r="W5" s="40">
        <v>2</v>
      </c>
      <c r="X5" s="40" t="s">
        <v>23</v>
      </c>
      <c r="Y5" s="40">
        <v>0</v>
      </c>
      <c r="Z5" s="40" t="s">
        <v>863</v>
      </c>
      <c r="AA5" s="40">
        <v>2</v>
      </c>
      <c r="AB5" s="40" t="s">
        <v>1032</v>
      </c>
      <c r="AC5" s="40">
        <v>6</v>
      </c>
      <c r="AD5" s="40" t="s">
        <v>875</v>
      </c>
      <c r="AE5" s="40" t="s">
        <v>1160</v>
      </c>
    </row>
    <row r="6" spans="1:31" ht="16.5" customHeight="1">
      <c r="A6" s="28" t="s">
        <v>20</v>
      </c>
      <c r="B6" s="19" t="s">
        <v>864</v>
      </c>
      <c r="C6" s="19" t="s">
        <v>13</v>
      </c>
      <c r="D6" s="19" t="s">
        <v>13</v>
      </c>
      <c r="E6" s="19" t="s">
        <v>774</v>
      </c>
      <c r="F6" s="19" t="s">
        <v>13</v>
      </c>
      <c r="G6" s="19" t="s">
        <v>13</v>
      </c>
      <c r="H6" s="19" t="s">
        <v>13</v>
      </c>
      <c r="I6" s="19" t="s">
        <v>13</v>
      </c>
      <c r="J6" s="19" t="s">
        <v>13</v>
      </c>
      <c r="K6" s="19" t="s">
        <v>13</v>
      </c>
      <c r="L6" s="19"/>
      <c r="M6" s="36"/>
      <c r="N6" s="19" t="s">
        <v>1032</v>
      </c>
      <c r="O6" s="19" t="s">
        <v>13</v>
      </c>
      <c r="P6" s="19" t="s">
        <v>13</v>
      </c>
      <c r="Q6" s="19" t="s">
        <v>13</v>
      </c>
      <c r="R6" s="19" t="s">
        <v>13</v>
      </c>
      <c r="T6" s="41"/>
      <c r="U6" s="41"/>
      <c r="V6" s="40" t="s">
        <v>7</v>
      </c>
      <c r="W6" s="40">
        <v>2</v>
      </c>
      <c r="X6" s="40" t="s">
        <v>153</v>
      </c>
      <c r="Y6" s="40">
        <v>2</v>
      </c>
      <c r="Z6" s="40" t="s">
        <v>37</v>
      </c>
      <c r="AA6" s="68">
        <v>2</v>
      </c>
      <c r="AB6" s="40" t="s">
        <v>23</v>
      </c>
      <c r="AC6" s="68">
        <v>1</v>
      </c>
      <c r="AD6" s="40" t="s">
        <v>356</v>
      </c>
      <c r="AE6" s="40" t="s">
        <v>1091</v>
      </c>
    </row>
    <row r="7" spans="1:31" ht="16.5" customHeight="1">
      <c r="A7" s="28" t="s">
        <v>0</v>
      </c>
      <c r="B7" s="19" t="s">
        <v>1189</v>
      </c>
      <c r="C7" s="19" t="s">
        <v>13</v>
      </c>
      <c r="D7" s="19" t="s">
        <v>13</v>
      </c>
      <c r="E7" s="19" t="s">
        <v>1190</v>
      </c>
      <c r="F7" s="19" t="s">
        <v>13</v>
      </c>
      <c r="G7" s="19" t="s">
        <v>13</v>
      </c>
      <c r="H7" s="19" t="s">
        <v>13</v>
      </c>
      <c r="I7" s="19" t="s">
        <v>13</v>
      </c>
      <c r="J7" s="19" t="s">
        <v>13</v>
      </c>
      <c r="K7" s="19" t="s">
        <v>13</v>
      </c>
      <c r="L7" s="19"/>
      <c r="M7" s="36"/>
      <c r="N7" s="19" t="s">
        <v>1191</v>
      </c>
      <c r="O7" s="19" t="s">
        <v>13</v>
      </c>
      <c r="P7" s="19" t="s">
        <v>13</v>
      </c>
      <c r="Q7" s="19" t="s">
        <v>13</v>
      </c>
      <c r="R7" s="19" t="s">
        <v>13</v>
      </c>
      <c r="T7" s="41"/>
      <c r="U7" s="41"/>
      <c r="V7" s="40" t="s">
        <v>21</v>
      </c>
      <c r="W7" s="40">
        <v>2</v>
      </c>
      <c r="X7" s="40" t="s">
        <v>327</v>
      </c>
      <c r="Y7" s="40">
        <v>1</v>
      </c>
      <c r="Z7" s="40" t="s">
        <v>875</v>
      </c>
      <c r="AA7" s="40">
        <v>2</v>
      </c>
      <c r="AB7" s="40" t="s">
        <v>25</v>
      </c>
      <c r="AC7" s="40">
        <v>8</v>
      </c>
      <c r="AD7" s="40" t="s">
        <v>1159</v>
      </c>
      <c r="AE7" s="40">
        <v>6</v>
      </c>
    </row>
    <row r="8" spans="1:31" ht="16.5" customHeight="1">
      <c r="A8" s="28" t="s">
        <v>1</v>
      </c>
      <c r="B8" s="19"/>
      <c r="C8" s="19"/>
      <c r="D8" s="19"/>
      <c r="E8" s="19"/>
      <c r="F8" s="19"/>
      <c r="G8" s="19"/>
      <c r="H8" s="19"/>
      <c r="I8" s="19"/>
      <c r="J8" s="19"/>
      <c r="K8" s="19"/>
      <c r="L8" s="19"/>
      <c r="M8" s="36"/>
      <c r="N8" s="19"/>
      <c r="O8" s="19"/>
      <c r="P8" s="19"/>
      <c r="Q8" s="19"/>
      <c r="R8" s="19"/>
      <c r="T8" s="41"/>
      <c r="V8" s="40" t="s">
        <v>26</v>
      </c>
      <c r="W8" s="40">
        <v>1</v>
      </c>
      <c r="X8" s="40" t="s">
        <v>28</v>
      </c>
      <c r="Y8" s="40">
        <v>2</v>
      </c>
      <c r="Z8" s="40" t="s">
        <v>36</v>
      </c>
      <c r="AA8" s="64">
        <v>3</v>
      </c>
      <c r="AB8" s="40" t="s">
        <v>327</v>
      </c>
      <c r="AC8" s="64" t="s">
        <v>1152</v>
      </c>
    </row>
    <row r="9" spans="1:31" ht="16.5" customHeight="1">
      <c r="A9" s="28" t="s">
        <v>366</v>
      </c>
      <c r="B9" s="19"/>
      <c r="C9" s="19"/>
      <c r="D9" s="19"/>
      <c r="E9" s="19"/>
      <c r="F9" s="19"/>
      <c r="G9" s="19"/>
      <c r="H9" s="19"/>
      <c r="I9" s="19"/>
      <c r="J9" s="19"/>
      <c r="K9" s="19"/>
      <c r="L9" s="19"/>
      <c r="M9" s="36"/>
      <c r="N9" s="19"/>
      <c r="O9" s="19"/>
      <c r="P9" s="19"/>
      <c r="Q9" s="19"/>
      <c r="R9" s="19"/>
      <c r="T9" s="41"/>
      <c r="V9" s="40" t="s">
        <v>27</v>
      </c>
      <c r="W9" s="40">
        <v>2</v>
      </c>
      <c r="X9" s="40" t="s">
        <v>152</v>
      </c>
      <c r="Y9" s="40">
        <v>2</v>
      </c>
      <c r="AB9" s="40" t="s">
        <v>516</v>
      </c>
      <c r="AC9" s="40">
        <v>2</v>
      </c>
    </row>
    <row r="10" spans="1:31" ht="16.5" customHeight="1">
      <c r="A10" s="23" t="s">
        <v>368</v>
      </c>
      <c r="B10" s="30">
        <v>45479</v>
      </c>
      <c r="C10" s="30">
        <v>45480</v>
      </c>
      <c r="D10" s="25">
        <v>45481</v>
      </c>
      <c r="E10" s="25">
        <v>45482</v>
      </c>
      <c r="F10" s="25">
        <v>45483</v>
      </c>
      <c r="G10" s="25">
        <v>45484</v>
      </c>
      <c r="H10" s="25">
        <v>45485</v>
      </c>
      <c r="I10" s="30">
        <v>45486</v>
      </c>
      <c r="J10" s="30">
        <v>45487</v>
      </c>
      <c r="K10" s="25">
        <v>45488</v>
      </c>
      <c r="L10" s="25">
        <v>45489</v>
      </c>
      <c r="M10" s="25">
        <v>45490</v>
      </c>
      <c r="N10" s="25">
        <v>45491</v>
      </c>
      <c r="O10" s="25">
        <v>45492</v>
      </c>
      <c r="P10" s="30">
        <v>45493</v>
      </c>
      <c r="Q10" s="19"/>
      <c r="R10" s="19"/>
      <c r="T10" s="41"/>
      <c r="V10" s="40" t="s">
        <v>774</v>
      </c>
      <c r="W10" s="40">
        <v>0</v>
      </c>
      <c r="X10" s="40" t="s">
        <v>864</v>
      </c>
      <c r="Y10" s="40">
        <v>2</v>
      </c>
      <c r="AB10" s="40" t="s">
        <v>864</v>
      </c>
      <c r="AC10" s="40">
        <v>9</v>
      </c>
    </row>
    <row r="11" spans="1:31" ht="16.5" customHeight="1">
      <c r="A11" s="36">
        <v>1</v>
      </c>
      <c r="B11" s="19" t="s">
        <v>864</v>
      </c>
      <c r="C11" s="19" t="s">
        <v>516</v>
      </c>
      <c r="D11" s="19"/>
      <c r="E11" s="19"/>
      <c r="F11" s="19"/>
      <c r="G11" s="19"/>
      <c r="H11" s="19"/>
      <c r="I11" s="19" t="s">
        <v>315</v>
      </c>
      <c r="J11" s="19" t="s">
        <v>1197</v>
      </c>
      <c r="K11" s="19"/>
      <c r="L11" s="19"/>
      <c r="N11" s="19"/>
      <c r="O11" s="19"/>
      <c r="P11" s="19" t="s">
        <v>1199</v>
      </c>
      <c r="Q11" s="19"/>
      <c r="R11" s="19"/>
      <c r="T11" s="41"/>
      <c r="V11" s="40" t="s">
        <v>769</v>
      </c>
      <c r="W11" s="40">
        <v>2</v>
      </c>
      <c r="X11" s="40" t="s">
        <v>1032</v>
      </c>
      <c r="Y11" s="40">
        <v>0</v>
      </c>
      <c r="AB11" s="40" t="s">
        <v>1114</v>
      </c>
      <c r="AC11" s="40">
        <v>7</v>
      </c>
    </row>
    <row r="12" spans="1:31" ht="16.5" customHeight="1">
      <c r="A12" s="36">
        <v>2</v>
      </c>
      <c r="B12" s="19" t="s">
        <v>153</v>
      </c>
      <c r="C12" s="19" t="s">
        <v>1129</v>
      </c>
      <c r="D12" s="19"/>
      <c r="E12" s="19"/>
      <c r="F12" s="19"/>
      <c r="G12" s="19"/>
      <c r="H12" s="19"/>
      <c r="I12" s="19" t="s">
        <v>14</v>
      </c>
      <c r="J12" s="19" t="s">
        <v>1196</v>
      </c>
      <c r="K12" s="19"/>
      <c r="L12" s="19"/>
      <c r="M12" s="19"/>
      <c r="N12" s="19"/>
      <c r="O12" s="19"/>
      <c r="P12" s="19" t="s">
        <v>1198</v>
      </c>
      <c r="Q12" s="19"/>
      <c r="R12" s="19"/>
      <c r="T12" s="41"/>
      <c r="V12" s="40" t="s">
        <v>864</v>
      </c>
      <c r="W12" s="40">
        <v>0</v>
      </c>
      <c r="X12" s="40" t="s">
        <v>516</v>
      </c>
      <c r="Y12" s="40">
        <v>0</v>
      </c>
    </row>
    <row r="13" spans="1:31" ht="16.5" customHeight="1">
      <c r="A13" s="36">
        <v>3</v>
      </c>
      <c r="B13" s="19" t="s">
        <v>1209</v>
      </c>
      <c r="C13" s="19" t="s">
        <v>1207</v>
      </c>
      <c r="D13" s="19"/>
      <c r="E13" s="19"/>
      <c r="F13" s="19"/>
      <c r="G13" s="19"/>
      <c r="H13" s="19"/>
      <c r="I13" s="19" t="s">
        <v>1216</v>
      </c>
      <c r="J13" s="19" t="s">
        <v>1212</v>
      </c>
      <c r="K13" s="19"/>
      <c r="L13" s="19"/>
      <c r="M13" s="19"/>
      <c r="N13" s="19"/>
      <c r="O13" s="19"/>
      <c r="P13" s="19" t="s">
        <v>1217</v>
      </c>
      <c r="Q13" s="19"/>
      <c r="R13" s="19"/>
      <c r="T13" s="41"/>
      <c r="V13" s="40" t="s">
        <v>1032</v>
      </c>
      <c r="W13" s="40">
        <v>1</v>
      </c>
      <c r="X13" s="40" t="s">
        <v>1114</v>
      </c>
      <c r="Y13" s="40">
        <v>2</v>
      </c>
    </row>
    <row r="14" spans="1:31" ht="16.5" customHeight="1">
      <c r="A14" s="36" t="s">
        <v>20</v>
      </c>
      <c r="B14" s="19" t="s">
        <v>1032</v>
      </c>
      <c r="C14" s="19" t="s">
        <v>13</v>
      </c>
      <c r="D14" s="19" t="s">
        <v>516</v>
      </c>
      <c r="E14" s="19" t="s">
        <v>13</v>
      </c>
      <c r="F14" s="19" t="s">
        <v>13</v>
      </c>
      <c r="G14" s="19" t="s">
        <v>13</v>
      </c>
      <c r="H14" s="19" t="s">
        <v>13</v>
      </c>
      <c r="I14" s="19" t="s">
        <v>13</v>
      </c>
      <c r="J14" s="19" t="s">
        <v>13</v>
      </c>
      <c r="K14" s="19" t="s">
        <v>769</v>
      </c>
      <c r="L14" s="19" t="s">
        <v>13</v>
      </c>
      <c r="M14" s="19" t="s">
        <v>13</v>
      </c>
      <c r="N14" s="19" t="s">
        <v>13</v>
      </c>
      <c r="O14" s="19" t="s">
        <v>13</v>
      </c>
      <c r="P14" s="19" t="s">
        <v>13</v>
      </c>
      <c r="Q14" s="19"/>
      <c r="R14" s="19"/>
      <c r="T14" s="41"/>
      <c r="X14" s="40" t="s">
        <v>25</v>
      </c>
      <c r="Y14" s="40">
        <v>0</v>
      </c>
    </row>
    <row r="15" spans="1:31" ht="16.5" customHeight="1">
      <c r="A15" s="36" t="s">
        <v>0</v>
      </c>
      <c r="B15" s="19" t="s">
        <v>1191</v>
      </c>
      <c r="C15" s="19" t="s">
        <v>13</v>
      </c>
      <c r="D15" s="19" t="s">
        <v>1189</v>
      </c>
      <c r="E15" s="19" t="s">
        <v>13</v>
      </c>
      <c r="F15" s="19" t="s">
        <v>13</v>
      </c>
      <c r="G15" s="19" t="s">
        <v>13</v>
      </c>
      <c r="H15" s="19" t="s">
        <v>13</v>
      </c>
      <c r="I15" s="19" t="s">
        <v>13</v>
      </c>
      <c r="J15" s="19" t="s">
        <v>13</v>
      </c>
      <c r="K15" s="19" t="s">
        <v>1194</v>
      </c>
      <c r="L15" s="19" t="s">
        <v>13</v>
      </c>
      <c r="M15" s="19" t="s">
        <v>13</v>
      </c>
      <c r="N15" s="19" t="s">
        <v>13</v>
      </c>
      <c r="O15" s="19" t="s">
        <v>13</v>
      </c>
      <c r="P15" s="19" t="s">
        <v>13</v>
      </c>
      <c r="Q15" s="19"/>
      <c r="R15" s="19"/>
      <c r="T15" s="41"/>
      <c r="V15" s="40" t="s">
        <v>602</v>
      </c>
      <c r="W15" s="40">
        <f>SUM(W2:W14)</f>
        <v>15</v>
      </c>
      <c r="Y15" s="40">
        <f>SUM(Y2:Y14)</f>
        <v>15</v>
      </c>
      <c r="AA15" s="40">
        <f>SUM(AA2:AA14)</f>
        <v>15</v>
      </c>
    </row>
    <row r="16" spans="1:31" ht="16.5" customHeight="1">
      <c r="A16" s="36" t="s">
        <v>1</v>
      </c>
      <c r="B16" s="19"/>
      <c r="C16" s="19"/>
      <c r="D16" s="19"/>
      <c r="E16" s="19"/>
      <c r="F16" s="19"/>
      <c r="G16" s="19"/>
      <c r="H16" s="19"/>
      <c r="I16" s="19"/>
      <c r="J16" s="19"/>
      <c r="K16" s="19"/>
      <c r="L16" s="19"/>
      <c r="M16" s="19"/>
      <c r="N16" s="19"/>
      <c r="O16" s="19"/>
      <c r="P16" s="19"/>
      <c r="Q16" s="19"/>
      <c r="R16" s="19"/>
      <c r="T16" s="41"/>
    </row>
    <row r="17" spans="1:31" ht="16.5" customHeight="1">
      <c r="A17" s="36" t="s">
        <v>366</v>
      </c>
      <c r="B17" s="19"/>
      <c r="C17" s="19"/>
      <c r="D17" s="19"/>
      <c r="E17" s="19"/>
      <c r="F17" s="19"/>
      <c r="G17" s="19"/>
      <c r="H17" s="19"/>
      <c r="I17" s="19"/>
      <c r="J17" s="19"/>
      <c r="K17" s="19"/>
      <c r="L17" s="19"/>
      <c r="M17" s="19"/>
      <c r="N17" s="19"/>
      <c r="O17" s="19"/>
      <c r="P17" s="19"/>
      <c r="Q17" s="19"/>
      <c r="R17" s="19"/>
      <c r="T17" s="41"/>
    </row>
    <row r="18" spans="1:31" ht="11.25" customHeight="1">
      <c r="A18" s="42"/>
      <c r="B18" s="37"/>
      <c r="C18" s="37"/>
      <c r="D18" s="37"/>
      <c r="E18" s="37"/>
      <c r="F18" s="37"/>
      <c r="G18" s="37"/>
      <c r="H18" s="38"/>
      <c r="I18" s="38"/>
      <c r="J18" s="38"/>
      <c r="K18" s="38"/>
      <c r="L18" s="38"/>
      <c r="M18" s="38"/>
      <c r="N18" s="38"/>
      <c r="O18" s="38"/>
      <c r="P18" s="37"/>
      <c r="Q18" s="37"/>
      <c r="R18" s="39"/>
      <c r="T18" s="41"/>
      <c r="X18" s="40" t="s">
        <v>167</v>
      </c>
    </row>
    <row r="19" spans="1:31" ht="16.5" customHeight="1">
      <c r="A19" s="23" t="s">
        <v>368</v>
      </c>
      <c r="B19" s="30">
        <v>45494</v>
      </c>
      <c r="C19" s="25">
        <v>45495</v>
      </c>
      <c r="D19" s="25">
        <v>45496</v>
      </c>
      <c r="E19" s="25">
        <v>45497</v>
      </c>
      <c r="F19" s="25">
        <v>45498</v>
      </c>
      <c r="G19" s="25">
        <v>45499</v>
      </c>
      <c r="H19" s="30">
        <v>45500</v>
      </c>
      <c r="I19" s="30">
        <v>45501</v>
      </c>
      <c r="J19" s="25">
        <v>45502</v>
      </c>
      <c r="K19" s="25">
        <v>45503</v>
      </c>
      <c r="L19" s="25">
        <v>45504</v>
      </c>
      <c r="M19" s="26" t="s">
        <v>216</v>
      </c>
      <c r="N19" s="27">
        <v>45505</v>
      </c>
      <c r="O19" s="27">
        <v>45506</v>
      </c>
      <c r="P19" s="31">
        <v>45507</v>
      </c>
      <c r="Q19" s="31">
        <v>45508</v>
      </c>
      <c r="R19" s="27">
        <v>45509</v>
      </c>
      <c r="T19" s="41"/>
      <c r="V19" s="40" t="s">
        <v>63</v>
      </c>
      <c r="X19" s="40" t="s">
        <v>64</v>
      </c>
      <c r="Z19" s="40" t="s">
        <v>65</v>
      </c>
      <c r="AB19" s="40" t="s">
        <v>169</v>
      </c>
      <c r="AD19" s="40" t="s">
        <v>874</v>
      </c>
    </row>
    <row r="20" spans="1:31" ht="16.5" customHeight="1">
      <c r="A20" s="36">
        <v>1</v>
      </c>
      <c r="B20" s="19" t="s">
        <v>25</v>
      </c>
      <c r="C20" s="19"/>
      <c r="D20" s="19"/>
      <c r="E20" s="19"/>
      <c r="F20" s="19"/>
      <c r="G20" s="19"/>
      <c r="H20" s="19" t="s">
        <v>769</v>
      </c>
      <c r="I20" s="19" t="s">
        <v>1200</v>
      </c>
      <c r="J20" s="19"/>
      <c r="K20" s="19"/>
      <c r="L20" s="19"/>
      <c r="M20" s="28"/>
      <c r="N20" s="19"/>
      <c r="O20" s="19"/>
      <c r="P20" s="19" t="s">
        <v>7</v>
      </c>
      <c r="Q20" s="19" t="s">
        <v>516</v>
      </c>
      <c r="R20" s="19"/>
      <c r="T20" s="41"/>
      <c r="V20" s="40" t="s">
        <v>25</v>
      </c>
      <c r="W20" s="40">
        <v>2</v>
      </c>
      <c r="X20" s="40" t="s">
        <v>93</v>
      </c>
      <c r="Y20" s="40">
        <v>2</v>
      </c>
      <c r="Z20" s="40" t="s">
        <v>1159</v>
      </c>
      <c r="AA20" s="40">
        <v>2</v>
      </c>
      <c r="AB20" s="40" t="s">
        <v>153</v>
      </c>
      <c r="AC20" s="40">
        <v>9</v>
      </c>
      <c r="AD20" s="40" t="s">
        <v>37</v>
      </c>
      <c r="AE20" s="40">
        <v>3</v>
      </c>
    </row>
    <row r="21" spans="1:31" ht="16.5" customHeight="1">
      <c r="A21" s="36">
        <v>2</v>
      </c>
      <c r="B21" s="19" t="s">
        <v>93</v>
      </c>
      <c r="C21" s="19"/>
      <c r="D21" s="19"/>
      <c r="F21" s="19"/>
      <c r="G21" s="19"/>
      <c r="H21" s="19" t="s">
        <v>1129</v>
      </c>
      <c r="I21" s="19" t="s">
        <v>153</v>
      </c>
      <c r="J21" s="19"/>
      <c r="K21" s="19"/>
      <c r="L21" s="61"/>
      <c r="M21" s="28"/>
      <c r="N21" s="19"/>
      <c r="O21" s="19"/>
      <c r="P21" s="19" t="s">
        <v>314</v>
      </c>
      <c r="Q21" s="19" t="s">
        <v>1201</v>
      </c>
      <c r="R21" s="19"/>
      <c r="T21" s="41"/>
      <c r="V21" s="40" t="s">
        <v>2</v>
      </c>
      <c r="W21" s="40">
        <v>1</v>
      </c>
      <c r="X21" s="40" t="s">
        <v>14</v>
      </c>
      <c r="Y21" s="40">
        <v>2</v>
      </c>
      <c r="Z21" s="40" t="s">
        <v>1065</v>
      </c>
      <c r="AA21" s="40">
        <v>3</v>
      </c>
      <c r="AB21" s="40" t="s">
        <v>26</v>
      </c>
      <c r="AC21" s="40">
        <v>6</v>
      </c>
      <c r="AD21" s="40" t="s">
        <v>863</v>
      </c>
      <c r="AE21" s="40">
        <v>2</v>
      </c>
    </row>
    <row r="22" spans="1:31" ht="16.5" customHeight="1">
      <c r="A22" s="36">
        <v>3</v>
      </c>
      <c r="B22" s="19" t="s">
        <v>37</v>
      </c>
      <c r="C22" s="19"/>
      <c r="D22" s="19"/>
      <c r="E22" s="19"/>
      <c r="F22" s="19"/>
      <c r="G22" s="19"/>
      <c r="H22" s="19" t="s">
        <v>1218</v>
      </c>
      <c r="I22" s="19" t="s">
        <v>1215</v>
      </c>
      <c r="J22" s="19"/>
      <c r="K22" s="19"/>
      <c r="L22" s="19"/>
      <c r="M22" s="28"/>
      <c r="N22" s="19"/>
      <c r="O22" s="19"/>
      <c r="P22" s="19" t="s">
        <v>1216</v>
      </c>
      <c r="Q22" s="19" t="s">
        <v>1214</v>
      </c>
      <c r="R22" s="19"/>
      <c r="T22" s="41"/>
      <c r="V22" s="40" t="s">
        <v>516</v>
      </c>
      <c r="W22" s="40">
        <v>2</v>
      </c>
      <c r="X22" s="40" t="s">
        <v>23</v>
      </c>
      <c r="Y22" s="40">
        <v>0</v>
      </c>
      <c r="Z22" s="40" t="s">
        <v>863</v>
      </c>
      <c r="AA22" s="40">
        <v>2</v>
      </c>
      <c r="AB22" s="40" t="s">
        <v>1032</v>
      </c>
      <c r="AC22" s="40">
        <v>3</v>
      </c>
      <c r="AD22" s="40" t="s">
        <v>875</v>
      </c>
      <c r="AE22" s="40">
        <v>6</v>
      </c>
    </row>
    <row r="23" spans="1:31" ht="16.5" customHeight="1">
      <c r="A23" s="36" t="s">
        <v>20</v>
      </c>
      <c r="B23" s="19" t="s">
        <v>516</v>
      </c>
      <c r="C23" s="19" t="s">
        <v>312</v>
      </c>
      <c r="D23" s="19" t="s">
        <v>13</v>
      </c>
      <c r="E23" s="19" t="s">
        <v>13</v>
      </c>
      <c r="F23" s="19" t="s">
        <v>13</v>
      </c>
      <c r="G23" s="19" t="s">
        <v>13</v>
      </c>
      <c r="H23" s="19" t="s">
        <v>13</v>
      </c>
      <c r="I23" s="19" t="s">
        <v>13</v>
      </c>
      <c r="J23" s="19" t="s">
        <v>25</v>
      </c>
      <c r="K23" s="19" t="s">
        <v>13</v>
      </c>
      <c r="L23" s="19" t="s">
        <v>13</v>
      </c>
      <c r="M23" s="28"/>
      <c r="N23" s="19" t="s">
        <v>25</v>
      </c>
      <c r="O23" s="19" t="s">
        <v>13</v>
      </c>
      <c r="P23" s="19" t="s">
        <v>13</v>
      </c>
      <c r="Q23" s="19" t="s">
        <v>13</v>
      </c>
      <c r="R23" s="19" t="s">
        <v>1129</v>
      </c>
      <c r="T23" s="41"/>
      <c r="V23" s="40" t="s">
        <v>7</v>
      </c>
      <c r="W23" s="40">
        <v>2</v>
      </c>
      <c r="X23" s="40" t="s">
        <v>153</v>
      </c>
      <c r="Y23" s="40">
        <v>2</v>
      </c>
      <c r="Z23" s="40" t="s">
        <v>37</v>
      </c>
      <c r="AA23" s="68">
        <v>2</v>
      </c>
      <c r="AB23" s="40" t="s">
        <v>23</v>
      </c>
      <c r="AC23" s="68">
        <v>5</v>
      </c>
      <c r="AD23" s="40" t="s">
        <v>356</v>
      </c>
      <c r="AE23" s="40" t="s">
        <v>1219</v>
      </c>
    </row>
    <row r="24" spans="1:31" ht="16.5" customHeight="1">
      <c r="A24" s="36" t="s">
        <v>0</v>
      </c>
      <c r="B24" s="19" t="s">
        <v>1194</v>
      </c>
      <c r="C24" s="19" t="s">
        <v>1192</v>
      </c>
      <c r="D24" s="19" t="s">
        <v>13</v>
      </c>
      <c r="E24" s="19" t="s">
        <v>13</v>
      </c>
      <c r="F24" s="19" t="s">
        <v>13</v>
      </c>
      <c r="G24" s="19" t="s">
        <v>13</v>
      </c>
      <c r="H24" s="19" t="s">
        <v>13</v>
      </c>
      <c r="I24" s="19" t="s">
        <v>13</v>
      </c>
      <c r="J24" s="19" t="s">
        <v>1189</v>
      </c>
      <c r="K24" s="19" t="s">
        <v>13</v>
      </c>
      <c r="L24" s="19" t="s">
        <v>13</v>
      </c>
      <c r="M24" s="28"/>
      <c r="N24" s="19" t="s">
        <v>1189</v>
      </c>
      <c r="O24" s="19" t="s">
        <v>13</v>
      </c>
      <c r="P24" s="19" t="s">
        <v>13</v>
      </c>
      <c r="Q24" s="19" t="s">
        <v>13</v>
      </c>
      <c r="R24" s="19" t="s">
        <v>1193</v>
      </c>
      <c r="T24" s="41"/>
      <c r="V24" s="40" t="s">
        <v>21</v>
      </c>
      <c r="W24" s="40">
        <v>3</v>
      </c>
      <c r="X24" s="40" t="s">
        <v>327</v>
      </c>
      <c r="Y24" s="40">
        <v>2</v>
      </c>
      <c r="Z24" s="40" t="s">
        <v>875</v>
      </c>
      <c r="AA24" s="40">
        <v>2</v>
      </c>
      <c r="AB24" s="40" t="s">
        <v>25</v>
      </c>
      <c r="AC24" s="40">
        <v>7</v>
      </c>
      <c r="AD24" s="40" t="s">
        <v>1159</v>
      </c>
      <c r="AE24" s="40">
        <v>8</v>
      </c>
    </row>
    <row r="25" spans="1:31" ht="16.5" customHeight="1">
      <c r="A25" s="36" t="s">
        <v>1</v>
      </c>
      <c r="B25" s="19"/>
      <c r="C25" s="19"/>
      <c r="D25" s="19"/>
      <c r="E25" s="19"/>
      <c r="F25" s="19"/>
      <c r="G25" s="19"/>
      <c r="H25" s="19"/>
      <c r="I25" s="19"/>
      <c r="J25" s="19"/>
      <c r="K25" s="19"/>
      <c r="L25" s="19"/>
      <c r="M25" s="28"/>
      <c r="N25" s="19"/>
      <c r="O25" s="19"/>
      <c r="P25" s="19"/>
      <c r="Q25" s="19"/>
      <c r="R25" s="19"/>
      <c r="T25" s="41"/>
      <c r="V25" s="40" t="s">
        <v>26</v>
      </c>
      <c r="W25" s="40">
        <v>1</v>
      </c>
      <c r="X25" s="40" t="s">
        <v>152</v>
      </c>
      <c r="Y25" s="40">
        <v>2</v>
      </c>
      <c r="Z25" s="40" t="s">
        <v>1186</v>
      </c>
      <c r="AA25" s="64">
        <v>2</v>
      </c>
      <c r="AB25" s="40" t="s">
        <v>327</v>
      </c>
      <c r="AC25" s="64">
        <v>2</v>
      </c>
      <c r="AD25" s="40" t="s">
        <v>1186</v>
      </c>
      <c r="AE25" s="40">
        <v>5</v>
      </c>
    </row>
    <row r="26" spans="1:31" ht="16.5" customHeight="1">
      <c r="A26" s="36" t="s">
        <v>366</v>
      </c>
      <c r="B26" s="19"/>
      <c r="C26" s="19"/>
      <c r="D26" s="19"/>
      <c r="E26" s="19"/>
      <c r="F26" s="19"/>
      <c r="G26" s="19"/>
      <c r="H26" s="19"/>
      <c r="I26" s="19"/>
      <c r="J26" s="19"/>
      <c r="K26" s="19"/>
      <c r="L26" s="19"/>
      <c r="M26" s="28"/>
      <c r="N26" s="19"/>
      <c r="O26" s="19"/>
      <c r="P26" s="19"/>
      <c r="Q26" s="19"/>
      <c r="R26" s="19"/>
      <c r="T26" s="41"/>
      <c r="V26" s="40" t="s">
        <v>27</v>
      </c>
      <c r="W26" s="40">
        <v>2</v>
      </c>
      <c r="X26" s="40" t="s">
        <v>864</v>
      </c>
      <c r="Y26" s="40">
        <v>0</v>
      </c>
      <c r="Z26" s="40" t="s">
        <v>843</v>
      </c>
      <c r="AA26" s="40">
        <v>3</v>
      </c>
      <c r="AB26" s="40" t="s">
        <v>516</v>
      </c>
      <c r="AC26" s="40">
        <v>4</v>
      </c>
      <c r="AD26" s="40" t="s">
        <v>1187</v>
      </c>
    </row>
    <row r="27" spans="1:31" ht="16.5" customHeight="1">
      <c r="A27" s="26" t="s">
        <v>216</v>
      </c>
      <c r="B27" s="27">
        <v>45510</v>
      </c>
      <c r="C27" s="27">
        <v>45511</v>
      </c>
      <c r="D27" s="27">
        <v>45512</v>
      </c>
      <c r="E27" s="27">
        <v>45513</v>
      </c>
      <c r="F27" s="31">
        <v>45514</v>
      </c>
      <c r="G27" s="31">
        <v>45515</v>
      </c>
      <c r="H27" s="27">
        <v>45516</v>
      </c>
      <c r="I27" s="27">
        <v>45517</v>
      </c>
      <c r="J27" s="27">
        <v>45518</v>
      </c>
      <c r="K27" s="27">
        <v>45519</v>
      </c>
      <c r="L27" s="27">
        <v>45520</v>
      </c>
      <c r="M27" s="27">
        <v>45521</v>
      </c>
      <c r="N27" s="27">
        <v>45522</v>
      </c>
      <c r="O27" s="27">
        <v>45523</v>
      </c>
      <c r="P27" s="27">
        <v>45524</v>
      </c>
      <c r="Q27" s="19"/>
      <c r="R27" s="19"/>
      <c r="T27" s="41"/>
      <c r="V27" s="40" t="s">
        <v>774</v>
      </c>
      <c r="W27" s="40">
        <v>0</v>
      </c>
      <c r="X27" s="40" t="s">
        <v>1032</v>
      </c>
      <c r="Y27" s="40">
        <v>2</v>
      </c>
      <c r="Z27" s="40" t="s">
        <v>1205</v>
      </c>
      <c r="AA27" s="40" t="s">
        <v>1208</v>
      </c>
      <c r="AB27" s="40" t="s">
        <v>864</v>
      </c>
      <c r="AC27" s="40">
        <v>1</v>
      </c>
    </row>
    <row r="28" spans="1:31" ht="16.5" customHeight="1">
      <c r="A28" s="28">
        <v>1</v>
      </c>
      <c r="B28" s="19"/>
      <c r="C28" s="19"/>
      <c r="D28" s="19"/>
      <c r="F28" s="19" t="s">
        <v>315</v>
      </c>
      <c r="G28" s="19" t="s">
        <v>918</v>
      </c>
      <c r="H28" s="19"/>
      <c r="I28" s="81"/>
      <c r="J28" s="81"/>
      <c r="K28" s="81"/>
      <c r="L28" s="81"/>
      <c r="M28" s="81"/>
      <c r="N28" s="81"/>
      <c r="O28" s="19"/>
      <c r="P28" s="19"/>
      <c r="Q28" s="19"/>
      <c r="R28" s="19"/>
      <c r="T28" s="41"/>
      <c r="V28" s="40" t="s">
        <v>769</v>
      </c>
      <c r="W28" s="40">
        <v>0</v>
      </c>
      <c r="X28" s="40" t="s">
        <v>516</v>
      </c>
      <c r="Y28" s="40">
        <v>0</v>
      </c>
      <c r="AB28" s="40" t="s">
        <v>1114</v>
      </c>
      <c r="AC28" s="40">
        <v>8</v>
      </c>
    </row>
    <row r="29" spans="1:31" ht="16.5" customHeight="1">
      <c r="A29" s="28">
        <v>2</v>
      </c>
      <c r="B29" s="19"/>
      <c r="C29" s="19"/>
      <c r="D29" s="19"/>
      <c r="E29" s="19"/>
      <c r="F29" s="19" t="s">
        <v>2</v>
      </c>
      <c r="G29" s="19" t="s">
        <v>936</v>
      </c>
      <c r="H29" s="19"/>
      <c r="I29" s="81"/>
      <c r="J29" s="81"/>
      <c r="K29" s="81"/>
      <c r="L29" s="81"/>
      <c r="M29" s="81"/>
      <c r="N29" s="81"/>
      <c r="O29" s="19"/>
      <c r="P29" s="19"/>
      <c r="Q29" s="19"/>
      <c r="R29" s="19"/>
      <c r="T29" s="41"/>
      <c r="V29" s="40" t="s">
        <v>864</v>
      </c>
      <c r="W29" s="40">
        <v>2</v>
      </c>
      <c r="X29" s="40" t="s">
        <v>1114</v>
      </c>
      <c r="Y29" s="40">
        <v>2</v>
      </c>
    </row>
    <row r="30" spans="1:31" ht="16.5" customHeight="1">
      <c r="A30" s="28">
        <v>3</v>
      </c>
      <c r="B30" s="19"/>
      <c r="C30" s="19"/>
      <c r="D30" s="19"/>
      <c r="E30" s="19"/>
      <c r="F30" s="19" t="s">
        <v>1213</v>
      </c>
      <c r="G30" s="19" t="s">
        <v>1217</v>
      </c>
      <c r="H30" s="19"/>
      <c r="I30" s="81"/>
      <c r="J30" s="81"/>
      <c r="K30" s="81"/>
      <c r="L30" s="81"/>
      <c r="M30" s="81"/>
      <c r="N30" s="81"/>
      <c r="O30" s="19"/>
      <c r="P30" s="19"/>
      <c r="Q30" s="19"/>
      <c r="R30" s="19"/>
      <c r="T30" s="41"/>
      <c r="V30" s="40" t="s">
        <v>1032</v>
      </c>
      <c r="W30" s="40">
        <v>1</v>
      </c>
      <c r="X30" s="40" t="s">
        <v>7</v>
      </c>
      <c r="Y30" s="40">
        <v>1</v>
      </c>
    </row>
    <row r="31" spans="1:31" ht="16.5" customHeight="1">
      <c r="A31" s="28" t="s">
        <v>20</v>
      </c>
      <c r="B31" s="19" t="s">
        <v>1129</v>
      </c>
      <c r="C31" s="19" t="s">
        <v>13</v>
      </c>
      <c r="D31" s="19" t="s">
        <v>13</v>
      </c>
      <c r="E31" s="19" t="s">
        <v>13</v>
      </c>
      <c r="F31" s="19" t="s">
        <v>13</v>
      </c>
      <c r="G31" s="19" t="s">
        <v>13</v>
      </c>
      <c r="H31" s="19" t="s">
        <v>153</v>
      </c>
      <c r="I31" s="81"/>
      <c r="J31" s="81"/>
      <c r="K31" s="81"/>
      <c r="L31" s="81"/>
      <c r="M31" s="81"/>
      <c r="N31" s="81"/>
      <c r="O31" s="19" t="s">
        <v>153</v>
      </c>
      <c r="P31" s="19" t="s">
        <v>13</v>
      </c>
      <c r="Q31" s="19"/>
      <c r="R31" s="19"/>
      <c r="T31" s="41"/>
      <c r="X31" s="40" t="s">
        <v>1197</v>
      </c>
      <c r="Y31" s="40">
        <v>1</v>
      </c>
    </row>
    <row r="32" spans="1:31" ht="16.5" customHeight="1">
      <c r="A32" s="28" t="s">
        <v>0</v>
      </c>
      <c r="B32" s="19" t="s">
        <v>1193</v>
      </c>
      <c r="C32" s="19" t="s">
        <v>13</v>
      </c>
      <c r="D32" s="19" t="s">
        <v>13</v>
      </c>
      <c r="E32" s="19" t="s">
        <v>13</v>
      </c>
      <c r="F32" s="19" t="s">
        <v>13</v>
      </c>
      <c r="G32" s="19" t="s">
        <v>13</v>
      </c>
      <c r="H32" s="19" t="s">
        <v>356</v>
      </c>
      <c r="I32" s="81"/>
      <c r="J32" s="81"/>
      <c r="K32" s="81"/>
      <c r="L32" s="81"/>
      <c r="M32" s="81"/>
      <c r="N32" s="81"/>
      <c r="O32" s="19" t="s">
        <v>1206</v>
      </c>
      <c r="P32" s="19" t="s">
        <v>13</v>
      </c>
      <c r="Q32" s="19"/>
      <c r="R32" s="19"/>
      <c r="T32" s="41"/>
      <c r="V32" s="40" t="s">
        <v>696</v>
      </c>
      <c r="W32" s="40">
        <f>SUM(W19:W31)</f>
        <v>16</v>
      </c>
      <c r="Y32" s="40">
        <f>SUM(Y19:Y31)</f>
        <v>16</v>
      </c>
      <c r="AA32" s="40">
        <f>SUM(AA19:AA31)</f>
        <v>16</v>
      </c>
    </row>
    <row r="33" spans="1:25" ht="16.5" customHeight="1">
      <c r="A33" s="28" t="s">
        <v>1</v>
      </c>
      <c r="B33" s="19"/>
      <c r="C33" s="19"/>
      <c r="D33" s="19"/>
      <c r="E33" s="19"/>
      <c r="F33" s="19"/>
      <c r="G33" s="19"/>
      <c r="H33" s="19"/>
      <c r="I33" s="81"/>
      <c r="J33" s="81"/>
      <c r="K33" s="81"/>
      <c r="L33" s="81"/>
      <c r="M33" s="81"/>
      <c r="N33" s="81"/>
      <c r="O33" s="19"/>
      <c r="P33" s="19"/>
      <c r="Q33" s="19"/>
      <c r="R33" s="19"/>
    </row>
    <row r="34" spans="1:25" ht="16.5" customHeight="1">
      <c r="A34" s="28" t="s">
        <v>366</v>
      </c>
      <c r="B34" s="19"/>
      <c r="C34" s="19"/>
      <c r="D34" s="19"/>
      <c r="E34" s="19"/>
      <c r="F34" s="19"/>
      <c r="G34" s="19"/>
      <c r="H34" s="19"/>
      <c r="I34" s="81"/>
      <c r="J34" s="81"/>
      <c r="K34" s="81"/>
      <c r="L34" s="81"/>
      <c r="M34" s="81"/>
      <c r="N34" s="81"/>
      <c r="O34" s="19"/>
      <c r="P34" s="19"/>
      <c r="Q34" s="19"/>
      <c r="R34" s="19"/>
    </row>
    <row r="35" spans="1:25" ht="12.75" customHeight="1">
      <c r="Q35" s="145" t="s">
        <v>82</v>
      </c>
      <c r="R35" s="145"/>
      <c r="T35" s="41"/>
    </row>
    <row r="36" spans="1:25">
      <c r="A36" s="40" t="s">
        <v>322</v>
      </c>
      <c r="B36" s="49"/>
      <c r="C36" s="49"/>
      <c r="D36" s="49"/>
      <c r="E36" s="49"/>
      <c r="F36" s="49"/>
      <c r="G36" s="49"/>
      <c r="H36" s="55"/>
      <c r="I36" s="49"/>
      <c r="J36" s="49"/>
      <c r="K36" s="49"/>
      <c r="L36" s="49"/>
      <c r="M36" s="49"/>
      <c r="N36" s="49"/>
      <c r="O36" s="49"/>
      <c r="T36" s="41"/>
    </row>
    <row r="37" spans="1:25">
      <c r="A37" s="49" t="s">
        <v>1062</v>
      </c>
      <c r="B37" s="49" t="s">
        <v>1063</v>
      </c>
      <c r="C37" s="49"/>
      <c r="D37" s="49"/>
      <c r="E37" s="49"/>
      <c r="F37" s="49"/>
      <c r="G37" s="49" t="s">
        <v>1000</v>
      </c>
      <c r="H37" s="49"/>
      <c r="I37" s="55"/>
      <c r="J37" s="55"/>
      <c r="K37" s="55" t="s">
        <v>1108</v>
      </c>
      <c r="L37" s="55"/>
      <c r="M37" s="55"/>
      <c r="N37" s="55"/>
      <c r="O37" s="55"/>
      <c r="P37" s="43"/>
      <c r="Q37" s="43"/>
      <c r="R37" s="43"/>
      <c r="T37" s="41"/>
    </row>
    <row r="38" spans="1:25">
      <c r="A38" s="50" t="s">
        <v>1050</v>
      </c>
      <c r="B38" s="49"/>
      <c r="C38" s="49"/>
      <c r="D38" s="49"/>
      <c r="E38" s="49"/>
      <c r="F38" s="49"/>
      <c r="G38" s="50" t="s">
        <v>1140</v>
      </c>
      <c r="H38" s="49"/>
      <c r="I38" s="55"/>
      <c r="J38" s="55"/>
      <c r="K38" s="55" t="s">
        <v>945</v>
      </c>
      <c r="L38" s="55"/>
      <c r="M38" s="55"/>
      <c r="N38" s="55"/>
      <c r="O38" s="55"/>
      <c r="P38" s="55"/>
      <c r="Q38" s="55"/>
      <c r="R38" s="55"/>
      <c r="S38" s="49"/>
      <c r="T38" s="72"/>
      <c r="U38" s="71"/>
      <c r="V38" s="71"/>
      <c r="W38" s="71"/>
      <c r="X38" s="71"/>
      <c r="Y38" s="71"/>
    </row>
    <row r="39" spans="1:25">
      <c r="A39" s="50" t="s">
        <v>1165</v>
      </c>
      <c r="B39" s="49"/>
      <c r="C39" s="76"/>
      <c r="D39" s="49"/>
      <c r="E39" s="49"/>
      <c r="F39" s="49"/>
      <c r="G39" s="75" t="s">
        <v>1175</v>
      </c>
      <c r="H39" s="49"/>
      <c r="I39" s="55"/>
      <c r="J39" s="55"/>
      <c r="K39" s="55" t="s">
        <v>1130</v>
      </c>
      <c r="L39" s="55"/>
      <c r="M39" s="55"/>
      <c r="N39" s="55"/>
      <c r="O39" s="55"/>
      <c r="P39" s="55"/>
      <c r="Q39" s="55"/>
      <c r="R39" s="55"/>
      <c r="S39" s="49"/>
      <c r="T39" s="72"/>
      <c r="U39" s="71"/>
      <c r="V39" s="71"/>
      <c r="W39" s="71"/>
      <c r="X39" s="71"/>
      <c r="Y39" s="71"/>
    </row>
    <row r="40" spans="1:25">
      <c r="A40" s="50" t="s">
        <v>1081</v>
      </c>
      <c r="B40" s="49"/>
      <c r="C40" s="49"/>
      <c r="D40" s="49"/>
      <c r="E40" s="49"/>
      <c r="F40" s="76"/>
      <c r="G40" s="50" t="s">
        <v>1180</v>
      </c>
      <c r="H40" s="49"/>
      <c r="I40" s="55"/>
      <c r="J40" s="55"/>
      <c r="K40" s="77" t="s">
        <v>1188</v>
      </c>
      <c r="L40" s="55"/>
      <c r="M40" s="55"/>
      <c r="N40" s="55"/>
      <c r="O40" s="55"/>
      <c r="P40" s="55"/>
      <c r="Q40" s="55"/>
      <c r="R40" s="55"/>
      <c r="S40" s="49"/>
      <c r="T40" s="71"/>
      <c r="U40" s="71"/>
      <c r="V40" s="71"/>
      <c r="W40" s="71"/>
      <c r="X40" s="71"/>
      <c r="Y40" s="71"/>
    </row>
    <row r="41" spans="1:25">
      <c r="A41" s="50" t="s">
        <v>1166</v>
      </c>
      <c r="B41" s="49"/>
      <c r="C41" s="49"/>
      <c r="D41" s="49"/>
      <c r="E41" s="49"/>
      <c r="F41" s="77"/>
      <c r="G41" s="75" t="s">
        <v>1172</v>
      </c>
      <c r="H41" s="49"/>
      <c r="I41" s="55"/>
      <c r="J41" s="55"/>
      <c r="K41" s="55"/>
      <c r="L41" s="55"/>
      <c r="M41" s="55"/>
      <c r="N41" s="55"/>
      <c r="O41" s="55"/>
      <c r="P41" s="55"/>
      <c r="Q41" s="55"/>
      <c r="R41" s="55"/>
      <c r="S41" s="49"/>
      <c r="T41" s="71"/>
      <c r="U41" s="71"/>
      <c r="V41" s="71"/>
      <c r="W41" s="71"/>
      <c r="X41" s="71"/>
      <c r="Y41" s="71"/>
    </row>
    <row r="42" spans="1:25">
      <c r="A42" s="50" t="s">
        <v>1179</v>
      </c>
      <c r="B42" s="49"/>
      <c r="C42" s="49"/>
      <c r="D42" s="49"/>
      <c r="E42" s="49"/>
      <c r="F42" s="77"/>
      <c r="G42" s="50" t="s">
        <v>1183</v>
      </c>
      <c r="H42" s="49"/>
      <c r="I42" s="55"/>
      <c r="J42" s="55"/>
      <c r="K42" s="55" t="s">
        <v>1177</v>
      </c>
      <c r="L42" s="55"/>
      <c r="M42" s="55"/>
      <c r="N42" s="55"/>
      <c r="O42" s="55"/>
      <c r="P42" s="55"/>
      <c r="Q42" s="55"/>
      <c r="R42" s="55"/>
      <c r="S42" s="49"/>
      <c r="T42" s="72"/>
      <c r="U42" s="71"/>
      <c r="V42" s="71"/>
      <c r="W42" s="71"/>
      <c r="X42" s="71"/>
      <c r="Y42" s="71"/>
    </row>
    <row r="43" spans="1:25">
      <c r="A43" s="50" t="s">
        <v>1167</v>
      </c>
      <c r="B43" s="49"/>
      <c r="C43" s="49"/>
      <c r="D43" s="49"/>
      <c r="E43" s="49"/>
      <c r="F43" s="77"/>
      <c r="G43" s="50" t="s">
        <v>1173</v>
      </c>
      <c r="H43" s="49"/>
      <c r="I43" s="55"/>
      <c r="J43" s="55"/>
      <c r="K43" s="55"/>
      <c r="L43" s="55"/>
      <c r="M43" s="55"/>
      <c r="N43" s="55"/>
      <c r="O43" s="55"/>
      <c r="P43" s="55"/>
      <c r="Q43" s="55"/>
      <c r="R43" s="55"/>
      <c r="S43" s="49"/>
      <c r="T43" s="72"/>
      <c r="U43" s="71"/>
      <c r="V43" s="71"/>
      <c r="W43" s="71"/>
      <c r="X43" s="71"/>
      <c r="Y43" s="71"/>
    </row>
    <row r="44" spans="1:25">
      <c r="A44" s="50" t="s">
        <v>1180</v>
      </c>
      <c r="B44" s="49"/>
      <c r="C44" s="49"/>
      <c r="D44" s="49"/>
      <c r="E44" s="49"/>
      <c r="F44" s="77"/>
      <c r="G44" s="50" t="s">
        <v>1184</v>
      </c>
      <c r="H44" s="49"/>
      <c r="I44" s="55"/>
      <c r="J44" s="55"/>
      <c r="K44" s="55"/>
      <c r="L44" s="55"/>
      <c r="M44" s="55"/>
      <c r="N44" s="55"/>
      <c r="O44" s="55"/>
      <c r="P44" s="55"/>
      <c r="Q44" s="55"/>
      <c r="R44" s="55"/>
      <c r="S44" s="49"/>
      <c r="T44" s="72"/>
      <c r="U44" s="71"/>
      <c r="V44" s="71"/>
      <c r="W44" s="71"/>
      <c r="X44" s="71"/>
      <c r="Y44" s="71"/>
    </row>
    <row r="45" spans="1:25">
      <c r="A45" s="50" t="s">
        <v>1168</v>
      </c>
      <c r="B45" s="49"/>
      <c r="C45" s="76"/>
      <c r="D45" s="49"/>
      <c r="E45" s="49"/>
      <c r="F45" s="49"/>
      <c r="G45" s="75" t="s">
        <v>1174</v>
      </c>
      <c r="H45" s="49"/>
      <c r="I45" s="55"/>
      <c r="J45" s="55"/>
      <c r="K45" s="55"/>
      <c r="L45" s="55"/>
      <c r="M45" s="55"/>
      <c r="N45" s="55"/>
      <c r="O45" s="55"/>
      <c r="P45" s="55"/>
      <c r="Q45" s="55"/>
      <c r="R45" s="55"/>
      <c r="S45" s="49"/>
      <c r="T45" s="71"/>
      <c r="U45" s="71"/>
      <c r="V45" s="71"/>
      <c r="W45" s="71"/>
      <c r="X45" s="71"/>
      <c r="Y45" s="71"/>
    </row>
    <row r="46" spans="1:25">
      <c r="A46" s="50" t="s">
        <v>1181</v>
      </c>
      <c r="B46" s="49"/>
      <c r="C46" s="49"/>
      <c r="D46" s="49"/>
      <c r="E46" s="49"/>
      <c r="F46" s="77"/>
      <c r="G46" s="50" t="s">
        <v>1181</v>
      </c>
      <c r="H46" s="49"/>
      <c r="I46" s="55"/>
      <c r="J46" s="55"/>
      <c r="K46" s="55"/>
      <c r="L46" s="55"/>
      <c r="M46" s="55"/>
      <c r="N46" s="55"/>
      <c r="O46" s="55"/>
      <c r="P46" s="55"/>
      <c r="Q46" s="55"/>
      <c r="R46" s="55"/>
      <c r="S46" s="49"/>
      <c r="T46" s="72"/>
      <c r="U46" s="71"/>
      <c r="V46" s="71"/>
      <c r="W46" s="71"/>
      <c r="X46" s="71"/>
      <c r="Y46" s="71"/>
    </row>
    <row r="47" spans="1:25">
      <c r="A47" s="75" t="s">
        <v>1169</v>
      </c>
      <c r="B47" s="50"/>
      <c r="C47" s="50"/>
      <c r="D47" s="50"/>
      <c r="E47" s="50"/>
      <c r="F47" s="75"/>
      <c r="G47" s="75" t="s">
        <v>1176</v>
      </c>
      <c r="H47" s="50"/>
      <c r="I47" s="55"/>
      <c r="J47" s="55"/>
      <c r="K47" s="55"/>
      <c r="L47" s="55"/>
      <c r="M47" s="55"/>
      <c r="N47" s="55"/>
      <c r="O47" s="55"/>
      <c r="P47" s="55"/>
      <c r="Q47" s="55"/>
      <c r="R47" s="55"/>
      <c r="S47" s="49"/>
      <c r="T47" s="72"/>
      <c r="U47" s="71"/>
      <c r="V47" s="71"/>
      <c r="W47" s="71"/>
      <c r="X47" s="71"/>
      <c r="Y47" s="71"/>
    </row>
    <row r="48" spans="1:25">
      <c r="A48" s="50" t="s">
        <v>1182</v>
      </c>
      <c r="B48" s="50"/>
      <c r="C48" s="50"/>
      <c r="D48" s="50"/>
      <c r="E48" s="50"/>
      <c r="F48" s="75"/>
      <c r="G48" s="50" t="s">
        <v>1222</v>
      </c>
      <c r="H48" s="50"/>
      <c r="I48" s="55"/>
      <c r="J48" s="55"/>
      <c r="K48" s="55"/>
      <c r="L48" s="55"/>
      <c r="M48" s="55"/>
      <c r="N48" s="55"/>
      <c r="O48" s="55"/>
      <c r="P48" s="55"/>
      <c r="Q48" s="55"/>
      <c r="R48" s="55"/>
      <c r="S48" s="49"/>
      <c r="T48" s="72"/>
      <c r="U48" s="71"/>
      <c r="V48" s="71"/>
      <c r="W48" s="71"/>
      <c r="X48" s="71"/>
      <c r="Y48" s="71"/>
    </row>
    <row r="49" spans="1:25">
      <c r="A49" s="50" t="s">
        <v>1170</v>
      </c>
      <c r="B49" s="50"/>
      <c r="C49" s="50"/>
      <c r="D49" s="50"/>
      <c r="E49" s="50"/>
      <c r="F49" s="50"/>
      <c r="G49" s="82" t="s">
        <v>1223</v>
      </c>
      <c r="H49" s="50"/>
      <c r="I49" s="55"/>
      <c r="J49" s="55"/>
      <c r="K49" s="55"/>
      <c r="L49" s="55"/>
      <c r="M49" s="55"/>
      <c r="N49" s="55"/>
      <c r="O49" s="55"/>
      <c r="P49" s="55"/>
      <c r="Q49" s="55"/>
      <c r="R49" s="55"/>
      <c r="S49" s="49"/>
      <c r="T49" s="71"/>
      <c r="U49" s="71"/>
      <c r="V49" s="71"/>
      <c r="W49" s="71"/>
      <c r="X49" s="71"/>
      <c r="Y49" s="71"/>
    </row>
    <row r="50" spans="1:25">
      <c r="A50" s="50" t="s">
        <v>1054</v>
      </c>
      <c r="B50" s="50"/>
      <c r="C50" s="50"/>
      <c r="D50" s="50"/>
      <c r="E50" s="50"/>
      <c r="F50" s="75"/>
      <c r="G50" s="50"/>
      <c r="H50" s="50"/>
      <c r="I50" s="55"/>
      <c r="J50" s="55"/>
      <c r="K50" s="55"/>
      <c r="L50" s="55"/>
      <c r="M50" s="55"/>
      <c r="N50" s="55"/>
      <c r="O50" s="55"/>
      <c r="P50" s="55"/>
      <c r="Q50" s="55"/>
      <c r="R50" s="55"/>
      <c r="S50" s="49"/>
      <c r="T50" s="71"/>
      <c r="U50" s="71"/>
      <c r="V50" s="71"/>
      <c r="W50" s="71"/>
      <c r="X50" s="71"/>
      <c r="Y50" s="71"/>
    </row>
    <row r="51" spans="1:25">
      <c r="A51" s="50" t="s">
        <v>1171</v>
      </c>
      <c r="B51" s="50"/>
      <c r="C51" s="50"/>
      <c r="D51" s="50"/>
      <c r="E51" s="50"/>
      <c r="F51" s="50"/>
      <c r="G51" s="50"/>
      <c r="H51" s="50"/>
      <c r="I51" s="55"/>
      <c r="J51" s="55"/>
      <c r="K51" s="55"/>
      <c r="L51" s="55"/>
      <c r="M51" s="55"/>
      <c r="N51" s="55"/>
      <c r="O51" s="55"/>
      <c r="P51" s="55"/>
      <c r="Q51" s="55"/>
      <c r="R51" s="55"/>
      <c r="S51" s="49"/>
      <c r="T51" s="71"/>
      <c r="U51" s="71"/>
      <c r="V51" s="71"/>
      <c r="W51" s="71"/>
      <c r="X51" s="71"/>
      <c r="Y51" s="71"/>
    </row>
    <row r="52" spans="1:25">
      <c r="A52" s="50" t="s">
        <v>2</v>
      </c>
      <c r="B52" s="50"/>
      <c r="C52" s="50"/>
      <c r="D52" s="50"/>
      <c r="E52" s="50"/>
      <c r="F52" s="50"/>
      <c r="G52" s="50"/>
      <c r="H52" s="50"/>
      <c r="I52" s="49"/>
      <c r="J52" s="49"/>
      <c r="K52" s="49"/>
      <c r="L52" s="49"/>
      <c r="M52" s="49"/>
      <c r="N52" s="49"/>
      <c r="O52" s="49"/>
      <c r="P52" s="49"/>
      <c r="Q52" s="49"/>
      <c r="R52" s="49"/>
      <c r="S52" s="49"/>
      <c r="T52" s="71"/>
      <c r="U52" s="71"/>
      <c r="V52" s="71"/>
      <c r="W52" s="71"/>
      <c r="X52" s="71"/>
      <c r="Y52" s="71"/>
    </row>
    <row r="53" spans="1:25">
      <c r="A53" s="50" t="s">
        <v>1185</v>
      </c>
      <c r="B53" s="50"/>
      <c r="C53" s="50"/>
      <c r="D53" s="50"/>
      <c r="E53" s="50"/>
      <c r="F53" s="50"/>
      <c r="G53" s="50"/>
      <c r="H53" s="50"/>
      <c r="I53" s="49"/>
      <c r="J53" s="49"/>
      <c r="K53" s="49"/>
      <c r="L53" s="49"/>
      <c r="M53" s="49"/>
      <c r="N53" s="49"/>
      <c r="O53" s="49"/>
      <c r="P53" s="49"/>
      <c r="Q53" s="49"/>
      <c r="R53" s="49"/>
      <c r="S53" s="49"/>
      <c r="T53" s="71"/>
      <c r="U53" s="71"/>
      <c r="V53" s="71"/>
      <c r="W53" s="71"/>
      <c r="X53" s="71"/>
      <c r="Y53" s="71"/>
    </row>
    <row r="54" spans="1:25">
      <c r="A54" s="50" t="s">
        <v>1202</v>
      </c>
      <c r="B54" s="78"/>
      <c r="C54" s="50"/>
      <c r="D54" s="50"/>
      <c r="E54" s="50"/>
      <c r="F54" s="79"/>
      <c r="G54" s="50"/>
      <c r="H54" s="50"/>
      <c r="I54" s="49"/>
      <c r="J54" s="49"/>
      <c r="K54" s="49"/>
      <c r="L54" s="49"/>
      <c r="M54" s="49"/>
      <c r="N54" s="49"/>
      <c r="O54" s="49"/>
      <c r="P54" s="49"/>
      <c r="Q54" s="49"/>
      <c r="R54" s="49"/>
      <c r="S54" s="49"/>
      <c r="T54" s="71"/>
      <c r="U54" s="71"/>
      <c r="V54" s="71"/>
      <c r="W54" s="71"/>
      <c r="X54" s="71"/>
      <c r="Y54" s="71"/>
    </row>
    <row r="55" spans="1:25">
      <c r="A55" s="50" t="s">
        <v>1203</v>
      </c>
      <c r="B55" s="50"/>
      <c r="C55" s="50"/>
      <c r="D55" s="50"/>
      <c r="E55" s="50"/>
      <c r="F55" s="50"/>
      <c r="G55" s="50"/>
      <c r="H55" s="50"/>
      <c r="I55" s="49"/>
      <c r="J55" s="49"/>
      <c r="K55" s="49"/>
      <c r="L55" s="49"/>
      <c r="M55" s="49"/>
      <c r="N55" s="49"/>
      <c r="O55" s="49"/>
      <c r="P55" s="49"/>
      <c r="Q55" s="49"/>
      <c r="R55" s="49"/>
      <c r="S55" s="49"/>
      <c r="T55" s="71"/>
      <c r="U55" s="71"/>
      <c r="V55" s="71"/>
      <c r="W55" s="71"/>
      <c r="X55" s="71"/>
      <c r="Y55" s="71"/>
    </row>
    <row r="56" spans="1:25">
      <c r="A56" s="50" t="s">
        <v>1220</v>
      </c>
      <c r="B56" s="50"/>
      <c r="C56" s="50"/>
      <c r="D56" s="50"/>
      <c r="E56" s="50"/>
      <c r="F56" s="50"/>
      <c r="G56" s="50"/>
      <c r="H56" s="50"/>
      <c r="I56" s="49"/>
      <c r="J56" s="49"/>
      <c r="K56" s="49"/>
      <c r="L56" s="49"/>
      <c r="M56" s="49"/>
      <c r="N56" s="49"/>
      <c r="O56" s="49"/>
      <c r="P56" s="49"/>
      <c r="Q56" s="49"/>
      <c r="R56" s="49"/>
      <c r="S56" s="49"/>
      <c r="T56" s="71"/>
      <c r="U56" s="71"/>
      <c r="V56" s="71"/>
      <c r="W56" s="71"/>
      <c r="X56" s="71"/>
      <c r="Y56" s="71"/>
    </row>
    <row r="57" spans="1:25">
      <c r="A57" s="75" t="s">
        <v>1221</v>
      </c>
      <c r="B57" s="50"/>
      <c r="C57" s="50"/>
      <c r="D57" s="50"/>
      <c r="E57" s="50"/>
      <c r="F57" s="50"/>
      <c r="G57" s="50"/>
      <c r="H57" s="50"/>
      <c r="I57" s="49"/>
      <c r="J57" s="49"/>
      <c r="K57" s="49"/>
      <c r="L57" s="49"/>
      <c r="M57" s="49"/>
      <c r="N57" s="49"/>
      <c r="O57" s="49"/>
      <c r="P57" s="49"/>
      <c r="Q57" s="49"/>
      <c r="R57" s="49"/>
      <c r="S57" s="49"/>
      <c r="T57" s="71"/>
      <c r="U57" s="71"/>
      <c r="V57" s="71"/>
      <c r="W57" s="71"/>
      <c r="X57" s="71"/>
      <c r="Y57" s="71"/>
    </row>
    <row r="58" spans="1:25">
      <c r="A58" s="49"/>
      <c r="B58" s="49"/>
      <c r="C58" s="49"/>
      <c r="D58" s="49"/>
      <c r="E58" s="49"/>
      <c r="F58" s="49"/>
      <c r="G58" s="49"/>
      <c r="H58" s="49"/>
      <c r="I58" s="49"/>
      <c r="J58" s="49"/>
      <c r="K58" s="49"/>
      <c r="L58" s="49"/>
      <c r="M58" s="49"/>
      <c r="N58" s="49"/>
      <c r="O58" s="49"/>
      <c r="P58" s="49"/>
      <c r="Q58" s="49"/>
      <c r="R58" s="49"/>
      <c r="S58" s="49"/>
      <c r="T58" s="71"/>
      <c r="U58" s="71"/>
      <c r="V58" s="71"/>
      <c r="W58" s="71"/>
      <c r="X58" s="71"/>
      <c r="Y58" s="71"/>
    </row>
    <row r="59" spans="1:25">
      <c r="A59" s="49"/>
      <c r="B59" s="49"/>
      <c r="C59" s="49"/>
      <c r="D59" s="49"/>
      <c r="E59" s="49"/>
      <c r="F59" s="49"/>
      <c r="G59" s="49"/>
      <c r="H59" s="49"/>
      <c r="I59" s="49"/>
      <c r="J59" s="49"/>
      <c r="K59" s="49"/>
      <c r="L59" s="49"/>
      <c r="M59" s="49"/>
      <c r="N59" s="49"/>
      <c r="O59" s="49"/>
      <c r="P59" s="49"/>
      <c r="Q59" s="49"/>
      <c r="R59" s="49"/>
      <c r="S59" s="49"/>
      <c r="T59" s="71"/>
      <c r="U59" s="71"/>
      <c r="V59" s="71"/>
      <c r="W59" s="71"/>
      <c r="X59" s="71"/>
      <c r="Y59" s="71"/>
    </row>
    <row r="60" spans="1:25">
      <c r="A60" s="49"/>
      <c r="B60" s="49"/>
      <c r="C60" s="49"/>
      <c r="D60" s="49"/>
      <c r="E60" s="49"/>
      <c r="F60" s="49"/>
      <c r="G60" s="49"/>
      <c r="H60" s="49"/>
      <c r="I60" s="49"/>
      <c r="J60" s="49"/>
      <c r="K60" s="49"/>
      <c r="L60" s="49"/>
      <c r="M60" s="49"/>
      <c r="N60" s="49"/>
      <c r="O60" s="49"/>
      <c r="P60" s="49"/>
      <c r="Q60" s="49"/>
      <c r="R60" s="49"/>
      <c r="S60" s="49"/>
      <c r="T60" s="71"/>
      <c r="U60" s="71"/>
      <c r="V60" s="71"/>
      <c r="W60" s="71"/>
      <c r="X60" s="71"/>
      <c r="Y60" s="71"/>
    </row>
    <row r="61" spans="1:25">
      <c r="A61" s="49"/>
      <c r="B61" s="49"/>
      <c r="C61" s="49"/>
      <c r="D61" s="49"/>
      <c r="E61" s="49"/>
      <c r="F61" s="49"/>
      <c r="G61" s="49"/>
      <c r="H61" s="49"/>
      <c r="I61" s="49"/>
      <c r="J61" s="49"/>
      <c r="K61" s="49"/>
      <c r="L61" s="49"/>
      <c r="M61" s="49"/>
      <c r="N61" s="49"/>
      <c r="O61" s="49"/>
      <c r="P61" s="49"/>
      <c r="Q61" s="49"/>
      <c r="R61" s="49"/>
      <c r="S61" s="49"/>
      <c r="T61" s="71"/>
      <c r="U61" s="71"/>
      <c r="V61" s="71"/>
      <c r="W61" s="71"/>
      <c r="X61" s="71"/>
      <c r="Y61" s="71"/>
    </row>
    <row r="62" spans="1:25">
      <c r="A62" s="49"/>
      <c r="B62" s="49"/>
      <c r="C62" s="49"/>
      <c r="D62" s="49"/>
      <c r="E62" s="49"/>
      <c r="F62" s="49"/>
      <c r="G62" s="49"/>
      <c r="H62" s="49"/>
      <c r="I62" s="49"/>
      <c r="J62" s="49"/>
      <c r="K62" s="49"/>
      <c r="L62" s="49"/>
      <c r="M62" s="49"/>
      <c r="N62" s="49"/>
      <c r="O62" s="49"/>
      <c r="P62" s="49"/>
      <c r="Q62" s="49"/>
      <c r="R62" s="49"/>
      <c r="S62" s="49"/>
      <c r="T62" s="71"/>
      <c r="U62" s="71"/>
      <c r="V62" s="71"/>
      <c r="W62" s="71"/>
      <c r="X62" s="71"/>
      <c r="Y62" s="71"/>
    </row>
    <row r="63" spans="1:25">
      <c r="A63" s="49"/>
      <c r="B63" s="49"/>
      <c r="C63" s="49"/>
      <c r="D63" s="49"/>
      <c r="E63" s="49"/>
      <c r="F63" s="49"/>
      <c r="G63" s="49"/>
      <c r="H63" s="49"/>
      <c r="I63" s="49"/>
      <c r="J63" s="49"/>
      <c r="K63" s="49"/>
      <c r="L63" s="49"/>
      <c r="M63" s="49"/>
      <c r="N63" s="49"/>
      <c r="O63" s="49"/>
      <c r="P63" s="49"/>
      <c r="Q63" s="49"/>
      <c r="R63" s="49"/>
      <c r="S63" s="49"/>
      <c r="T63" s="71"/>
      <c r="U63" s="71"/>
      <c r="V63" s="71"/>
      <c r="W63" s="71"/>
      <c r="X63" s="71"/>
      <c r="Y63" s="71"/>
    </row>
    <row r="64" spans="1:25">
      <c r="A64" s="73"/>
      <c r="B64" s="73"/>
      <c r="C64" s="73"/>
      <c r="D64" s="73"/>
      <c r="E64" s="73"/>
      <c r="F64" s="73"/>
      <c r="G64" s="73"/>
      <c r="H64" s="73"/>
      <c r="I64" s="73"/>
      <c r="J64" s="73"/>
      <c r="K64" s="73"/>
      <c r="L64" s="73"/>
      <c r="M64" s="73"/>
      <c r="N64" s="73"/>
      <c r="O64" s="73"/>
      <c r="P64" s="73"/>
      <c r="Q64" s="73"/>
      <c r="R64" s="73"/>
      <c r="S64" s="73"/>
    </row>
    <row r="65" spans="1:19">
      <c r="A65" s="49"/>
      <c r="B65" s="73"/>
      <c r="C65" s="73"/>
      <c r="D65" s="73"/>
      <c r="E65" s="73"/>
      <c r="F65" s="73"/>
      <c r="G65" s="73"/>
      <c r="H65" s="73"/>
      <c r="I65" s="73"/>
      <c r="J65" s="73"/>
      <c r="K65" s="73"/>
      <c r="L65" s="73"/>
      <c r="M65" s="73"/>
      <c r="N65" s="73"/>
      <c r="O65" s="73"/>
      <c r="P65" s="73"/>
      <c r="Q65" s="73"/>
      <c r="R65" s="73"/>
      <c r="S65" s="73"/>
    </row>
    <row r="66" spans="1:19">
      <c r="A66" s="73"/>
      <c r="B66" s="73"/>
      <c r="C66" s="73"/>
      <c r="D66" s="73"/>
      <c r="E66" s="73"/>
      <c r="F66" s="73"/>
      <c r="G66" s="73"/>
      <c r="H66" s="73"/>
      <c r="I66" s="73"/>
      <c r="J66" s="73"/>
      <c r="K66" s="73"/>
      <c r="L66" s="73"/>
      <c r="M66" s="73"/>
      <c r="N66" s="73"/>
      <c r="O66" s="73"/>
      <c r="P66" s="73"/>
      <c r="Q66" s="73"/>
      <c r="R66" s="73"/>
      <c r="S66" s="73"/>
    </row>
    <row r="67" spans="1:19">
      <c r="A67" s="49"/>
      <c r="B67" s="73"/>
      <c r="C67" s="73"/>
      <c r="D67" s="73"/>
      <c r="E67" s="73"/>
      <c r="F67" s="73"/>
      <c r="G67" s="73"/>
      <c r="H67" s="73"/>
      <c r="I67" s="73"/>
      <c r="J67" s="73"/>
      <c r="K67" s="73"/>
      <c r="L67" s="73"/>
      <c r="M67" s="73"/>
      <c r="N67" s="73"/>
      <c r="O67" s="73"/>
      <c r="P67" s="73"/>
      <c r="Q67" s="73"/>
      <c r="R67" s="73"/>
      <c r="S67" s="73"/>
    </row>
    <row r="68" spans="1:19">
      <c r="A68" s="73"/>
      <c r="B68" s="73"/>
      <c r="C68" s="73"/>
      <c r="D68" s="73"/>
      <c r="E68" s="73"/>
      <c r="F68" s="73"/>
      <c r="G68" s="73"/>
      <c r="H68" s="73"/>
      <c r="I68" s="73"/>
      <c r="J68" s="73"/>
      <c r="K68" s="73"/>
      <c r="L68" s="73"/>
      <c r="M68" s="73"/>
      <c r="N68" s="73"/>
      <c r="O68" s="73"/>
      <c r="P68" s="73"/>
      <c r="Q68" s="73"/>
      <c r="R68" s="73"/>
      <c r="S68" s="73"/>
    </row>
    <row r="69" spans="1:19">
      <c r="A69" s="73"/>
      <c r="B69" s="73"/>
      <c r="C69" s="73"/>
      <c r="D69" s="73"/>
      <c r="E69" s="73"/>
      <c r="F69" s="73"/>
      <c r="G69" s="73"/>
      <c r="H69" s="73"/>
      <c r="I69" s="73"/>
      <c r="J69" s="73"/>
      <c r="K69" s="73"/>
      <c r="L69" s="73"/>
      <c r="M69" s="73"/>
      <c r="N69" s="73"/>
      <c r="O69" s="73"/>
      <c r="P69" s="73"/>
      <c r="Q69" s="73"/>
      <c r="R69" s="73"/>
      <c r="S69" s="73"/>
    </row>
    <row r="70" spans="1:19">
      <c r="A70" s="73"/>
      <c r="B70" s="73"/>
      <c r="C70" s="73"/>
      <c r="D70" s="73"/>
      <c r="E70" s="73"/>
      <c r="F70" s="73"/>
      <c r="G70" s="73"/>
      <c r="H70" s="73"/>
      <c r="I70" s="73"/>
      <c r="J70" s="73"/>
      <c r="K70" s="73"/>
      <c r="L70" s="73"/>
      <c r="M70" s="73"/>
      <c r="N70" s="73"/>
      <c r="O70" s="73"/>
      <c r="P70" s="73"/>
      <c r="Q70" s="73"/>
      <c r="R70" s="73"/>
      <c r="S70" s="73"/>
    </row>
    <row r="71" spans="1:19">
      <c r="A71" s="73"/>
      <c r="B71" s="73"/>
      <c r="C71" s="73"/>
      <c r="D71" s="73"/>
      <c r="E71" s="73"/>
      <c r="F71" s="73"/>
      <c r="G71" s="73"/>
      <c r="H71" s="73"/>
      <c r="I71" s="73"/>
      <c r="J71" s="73"/>
      <c r="K71" s="73"/>
      <c r="L71" s="73"/>
      <c r="M71" s="73"/>
      <c r="N71" s="73"/>
      <c r="O71" s="73"/>
      <c r="P71" s="73"/>
      <c r="Q71" s="73"/>
      <c r="R71" s="73"/>
      <c r="S71" s="73"/>
    </row>
    <row r="72" spans="1:19">
      <c r="A72" s="73"/>
      <c r="B72" s="73"/>
      <c r="C72" s="73"/>
      <c r="D72" s="73"/>
      <c r="E72" s="73"/>
      <c r="F72" s="73"/>
      <c r="G72" s="73"/>
      <c r="H72" s="73"/>
      <c r="I72" s="73"/>
      <c r="J72" s="73"/>
      <c r="K72" s="73"/>
      <c r="L72" s="73"/>
      <c r="M72" s="73"/>
      <c r="N72" s="73"/>
      <c r="O72" s="73"/>
      <c r="P72" s="73"/>
      <c r="Q72" s="73"/>
      <c r="R72" s="73"/>
      <c r="S72" s="73"/>
    </row>
    <row r="73" spans="1:19">
      <c r="A73" s="73"/>
      <c r="B73" s="73"/>
      <c r="C73" s="73"/>
      <c r="D73" s="73"/>
      <c r="E73" s="73"/>
      <c r="F73" s="73"/>
      <c r="G73" s="73"/>
      <c r="H73" s="73"/>
      <c r="I73" s="73"/>
      <c r="J73" s="73"/>
      <c r="K73" s="73"/>
      <c r="L73" s="73"/>
      <c r="M73" s="73"/>
      <c r="N73" s="73"/>
      <c r="O73" s="73"/>
      <c r="P73" s="73"/>
      <c r="Q73" s="73"/>
      <c r="R73" s="73"/>
      <c r="S73" s="73"/>
    </row>
  </sheetData>
  <mergeCells count="2">
    <mergeCell ref="A1:R1"/>
    <mergeCell ref="Q35:R35"/>
  </mergeCells>
  <phoneticPr fontId="2"/>
  <pageMargins left="0.70866141732283472" right="0.70866141732283472" top="0" bottom="0" header="0.31496062992125984" footer="0.31496062992125984"/>
  <pageSetup paperSize="9" orientation="landscape" r:id="rId1"/>
  <drawing r:id="rId2"/>
  <legacy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E9032-07F7-41AD-98C6-B744691F0D1E}">
  <dimension ref="A1:BV74"/>
  <sheetViews>
    <sheetView topLeftCell="AC1" zoomScaleNormal="100" workbookViewId="0">
      <selection activeCell="AQ2" sqref="AQ2"/>
    </sheetView>
  </sheetViews>
  <sheetFormatPr defaultColWidth="9" defaultRowHeight="18.75"/>
  <cols>
    <col min="1" max="18" width="6.625" style="40" customWidth="1"/>
    <col min="19" max="19" width="3.625" style="40" customWidth="1"/>
    <col min="20" max="20" width="6.625" style="40" customWidth="1"/>
    <col min="21" max="21" width="3.625" style="40" customWidth="1"/>
    <col min="22" max="39" width="6.625" style="40" customWidth="1"/>
    <col min="40" max="40" width="3.625" style="40" customWidth="1"/>
    <col min="41" max="16384" width="9" style="40"/>
  </cols>
  <sheetData>
    <row r="1" spans="1:74">
      <c r="A1" s="127"/>
      <c r="B1" s="127"/>
      <c r="C1" s="127"/>
      <c r="D1" s="127"/>
      <c r="G1" s="144" t="str">
        <f>TEXT(DATE(YEAR(AQ1), MONTH(AQ1) + 2, 1), "yyyy年")</f>
        <v>2026年</v>
      </c>
      <c r="H1" s="144"/>
      <c r="I1" s="138" t="str">
        <f>TEXT(DATE(YEAR($AQ$1), MONTH($AQ$1) + 2, 1), "m月")</f>
        <v>1月</v>
      </c>
      <c r="J1" s="138" t="str">
        <f>TEXT(DATE(YEAR($AQ$1), MONTH($AQ$1) + 3, 1), "m月")</f>
        <v>2月</v>
      </c>
      <c r="K1" s="144" t="s">
        <v>1407</v>
      </c>
      <c r="L1" s="144"/>
      <c r="M1" s="144"/>
      <c r="P1" s="127"/>
      <c r="Q1" s="127"/>
      <c r="R1" s="127"/>
      <c r="W1" s="40" t="s">
        <v>1435</v>
      </c>
      <c r="X1" s="40" t="s">
        <v>1430</v>
      </c>
      <c r="Y1" s="40" t="s">
        <v>1431</v>
      </c>
      <c r="Z1" s="40" t="s">
        <v>957</v>
      </c>
      <c r="AA1" s="40" t="s">
        <v>958</v>
      </c>
      <c r="AC1" s="40" t="s">
        <v>1395</v>
      </c>
      <c r="AD1" s="40" t="s">
        <v>1431</v>
      </c>
      <c r="AE1" s="40" t="s">
        <v>1398</v>
      </c>
      <c r="AG1" s="40" t="s">
        <v>1438</v>
      </c>
      <c r="AH1" s="40" t="s">
        <v>1396</v>
      </c>
      <c r="AJ1" s="40" t="s">
        <v>1438</v>
      </c>
      <c r="AK1" s="40" t="s">
        <v>874</v>
      </c>
      <c r="AQ1" s="137">
        <v>45962</v>
      </c>
      <c r="AR1" s="40">
        <v>1</v>
      </c>
      <c r="AS1" s="40">
        <v>2</v>
      </c>
      <c r="AT1" s="40">
        <v>3</v>
      </c>
      <c r="AU1" s="40">
        <v>4</v>
      </c>
      <c r="AV1" s="40">
        <v>5</v>
      </c>
      <c r="AW1" s="40">
        <v>6</v>
      </c>
      <c r="AX1" s="40">
        <v>7</v>
      </c>
      <c r="AY1" s="40">
        <v>8</v>
      </c>
      <c r="AZ1" s="40">
        <v>9</v>
      </c>
      <c r="BA1" s="40">
        <v>10</v>
      </c>
      <c r="BB1" s="40">
        <v>11</v>
      </c>
      <c r="BC1" s="40">
        <v>12</v>
      </c>
      <c r="BD1" s="40">
        <v>13</v>
      </c>
      <c r="BE1" s="40">
        <v>14</v>
      </c>
      <c r="BF1" s="40">
        <v>15</v>
      </c>
      <c r="BG1" s="40">
        <v>16</v>
      </c>
      <c r="BH1" s="40">
        <v>17</v>
      </c>
      <c r="BI1" s="40">
        <v>18</v>
      </c>
      <c r="BJ1" s="40">
        <v>19</v>
      </c>
      <c r="BK1" s="40">
        <v>20</v>
      </c>
      <c r="BL1" s="40">
        <v>21</v>
      </c>
      <c r="BM1" s="40">
        <v>22</v>
      </c>
      <c r="BN1" s="40">
        <v>23</v>
      </c>
      <c r="BO1" s="40">
        <v>24</v>
      </c>
      <c r="BP1" s="40">
        <v>25</v>
      </c>
      <c r="BQ1" s="40">
        <v>26</v>
      </c>
      <c r="BR1" s="40">
        <v>27</v>
      </c>
      <c r="BS1" s="40">
        <v>28</v>
      </c>
      <c r="BT1" s="40">
        <v>29</v>
      </c>
      <c r="BU1" s="40">
        <v>30</v>
      </c>
      <c r="BV1" s="40">
        <v>31</v>
      </c>
    </row>
    <row r="2" spans="1:74" ht="16.5" customHeight="1">
      <c r="A2" s="139" t="str">
        <f>TEXT(DATE(YEAR(AQ1), MONTH(AQ1) + 1, 1), "m月")</f>
        <v>12月</v>
      </c>
      <c r="B2" s="116">
        <f>DATE(YEAR($AQ$1), MONTH($AQ$1)+1, BL1)</f>
        <v>46012</v>
      </c>
      <c r="C2" s="116">
        <f t="shared" ref="C2:L2" si="0">DATE(YEAR($AQ$1), MONTH($AQ$1)+1, BM1)</f>
        <v>46013</v>
      </c>
      <c r="D2" s="116">
        <f t="shared" si="0"/>
        <v>46014</v>
      </c>
      <c r="E2" s="116">
        <f t="shared" si="0"/>
        <v>46015</v>
      </c>
      <c r="F2" s="116">
        <f t="shared" si="0"/>
        <v>46016</v>
      </c>
      <c r="G2" s="116">
        <f t="shared" si="0"/>
        <v>46017</v>
      </c>
      <c r="H2" s="116">
        <f t="shared" si="0"/>
        <v>46018</v>
      </c>
      <c r="I2" s="116">
        <f t="shared" si="0"/>
        <v>46019</v>
      </c>
      <c r="J2" s="116">
        <f t="shared" si="0"/>
        <v>46020</v>
      </c>
      <c r="K2" s="116">
        <f t="shared" si="0"/>
        <v>46021</v>
      </c>
      <c r="L2" s="116">
        <f t="shared" si="0"/>
        <v>46022</v>
      </c>
      <c r="M2" s="140" t="str">
        <f>TEXT(DATE(YEAR($AQ$1), MONTH($AQ$1) + 2, 1), "m月")</f>
        <v>1月</v>
      </c>
      <c r="N2" s="60">
        <f>DATE(YEAR($AQ$1), MONTH($AQ$1) + 2, AR1)</f>
        <v>46023</v>
      </c>
      <c r="O2" s="60">
        <f t="shared" ref="O2:R2" si="1">DATE(YEAR($AQ$1), MONTH($AQ$1) + 2, AS1)</f>
        <v>46024</v>
      </c>
      <c r="P2" s="60">
        <f t="shared" si="1"/>
        <v>46025</v>
      </c>
      <c r="Q2" s="60">
        <f t="shared" si="1"/>
        <v>46026</v>
      </c>
      <c r="R2" s="60">
        <f t="shared" si="1"/>
        <v>46027</v>
      </c>
      <c r="X2" s="40" t="s">
        <v>2</v>
      </c>
      <c r="Y2" s="40">
        <v>2</v>
      </c>
      <c r="Z2" s="40" t="s">
        <v>2</v>
      </c>
      <c r="AA2" s="40" t="s">
        <v>14</v>
      </c>
      <c r="AC2" s="40" t="s">
        <v>1159</v>
      </c>
      <c r="AD2" s="40">
        <v>2</v>
      </c>
      <c r="AE2" s="40" t="s">
        <v>1159</v>
      </c>
      <c r="AG2" s="40">
        <v>1</v>
      </c>
      <c r="AH2" s="40" t="s">
        <v>26</v>
      </c>
      <c r="AJ2" s="40">
        <v>1</v>
      </c>
      <c r="AK2" s="40" t="s">
        <v>1159</v>
      </c>
    </row>
    <row r="3" spans="1:74" ht="16.5" customHeight="1">
      <c r="A3" s="28">
        <v>1</v>
      </c>
      <c r="B3" s="19"/>
      <c r="C3" s="19"/>
      <c r="D3" s="19"/>
      <c r="E3" s="19"/>
      <c r="F3" s="19"/>
      <c r="G3" s="19"/>
      <c r="H3" s="19"/>
      <c r="I3" s="19"/>
      <c r="J3" s="19"/>
      <c r="K3" s="19"/>
      <c r="L3" s="19"/>
      <c r="M3" s="36"/>
      <c r="N3" s="19"/>
      <c r="O3" s="35"/>
      <c r="P3" s="19"/>
      <c r="Q3" s="19"/>
      <c r="R3" s="19"/>
      <c r="X3" s="40" t="s">
        <v>7</v>
      </c>
      <c r="Y3" s="40">
        <v>2</v>
      </c>
      <c r="Z3" s="40" t="s">
        <v>7</v>
      </c>
      <c r="AA3" s="40" t="s">
        <v>153</v>
      </c>
      <c r="AC3" s="40" t="s">
        <v>1065</v>
      </c>
      <c r="AD3" s="40">
        <v>4</v>
      </c>
      <c r="AE3" s="40" t="s">
        <v>1065</v>
      </c>
      <c r="AG3" s="40">
        <v>2</v>
      </c>
      <c r="AH3" s="40" t="s">
        <v>1114</v>
      </c>
      <c r="AJ3" s="40">
        <v>2</v>
      </c>
      <c r="AK3" s="40" t="s">
        <v>356</v>
      </c>
    </row>
    <row r="4" spans="1:74" ht="16.5" customHeight="1">
      <c r="A4" s="28">
        <v>2</v>
      </c>
      <c r="B4" s="19"/>
      <c r="C4" s="19"/>
      <c r="D4" s="19"/>
      <c r="E4" s="19"/>
      <c r="F4" s="19"/>
      <c r="G4" s="19"/>
      <c r="H4" s="19"/>
      <c r="I4" s="19"/>
      <c r="J4" s="19"/>
      <c r="K4" s="19"/>
      <c r="L4" s="19"/>
      <c r="M4" s="36"/>
      <c r="N4" s="19"/>
      <c r="O4" s="19"/>
      <c r="P4" s="19"/>
      <c r="Q4" s="19"/>
      <c r="R4" s="19"/>
      <c r="T4" s="41"/>
      <c r="V4" s="41"/>
      <c r="X4" s="40" t="s">
        <v>107</v>
      </c>
      <c r="Y4" s="40">
        <v>3</v>
      </c>
      <c r="Z4" s="40" t="s">
        <v>107</v>
      </c>
      <c r="AA4" s="40" t="s">
        <v>314</v>
      </c>
      <c r="AC4" s="40" t="s">
        <v>37</v>
      </c>
      <c r="AD4" s="40">
        <v>4</v>
      </c>
      <c r="AE4" s="40" t="s">
        <v>37</v>
      </c>
      <c r="AG4" s="40">
        <v>3</v>
      </c>
      <c r="AH4" s="40" t="s">
        <v>327</v>
      </c>
      <c r="AI4" s="64"/>
      <c r="AJ4" s="40">
        <v>3</v>
      </c>
      <c r="AK4" s="40" t="s">
        <v>875</v>
      </c>
    </row>
    <row r="5" spans="1:74" ht="16.5" customHeight="1">
      <c r="A5" s="28">
        <v>3</v>
      </c>
      <c r="B5" s="19"/>
      <c r="C5" s="19"/>
      <c r="D5" s="19"/>
      <c r="E5" s="19"/>
      <c r="F5" s="19"/>
      <c r="G5" s="19"/>
      <c r="H5" s="19"/>
      <c r="I5" s="19"/>
      <c r="J5" s="19"/>
      <c r="K5" s="19"/>
      <c r="L5" s="19"/>
      <c r="M5" s="36"/>
      <c r="N5" s="19"/>
      <c r="O5" s="19"/>
      <c r="P5" s="19"/>
      <c r="Q5" s="19"/>
      <c r="R5" s="19"/>
      <c r="T5" s="41"/>
      <c r="V5" s="41"/>
      <c r="X5" s="40" t="s">
        <v>14</v>
      </c>
      <c r="Y5" s="40">
        <v>2</v>
      </c>
      <c r="Z5" s="40" t="s">
        <v>312</v>
      </c>
      <c r="AA5" s="40" t="s">
        <v>93</v>
      </c>
      <c r="AC5" s="40" t="s">
        <v>875</v>
      </c>
      <c r="AD5" s="40">
        <v>2</v>
      </c>
      <c r="AE5" s="64" t="s">
        <v>875</v>
      </c>
      <c r="AG5" s="40">
        <v>4</v>
      </c>
      <c r="AH5" s="40" t="s">
        <v>153</v>
      </c>
      <c r="AJ5" s="40">
        <v>4</v>
      </c>
      <c r="AK5" s="40" t="s">
        <v>356</v>
      </c>
    </row>
    <row r="6" spans="1:74" ht="16.5" customHeight="1">
      <c r="A6" s="28" t="s">
        <v>20</v>
      </c>
      <c r="B6" s="19"/>
      <c r="C6" s="19"/>
      <c r="D6" s="19"/>
      <c r="E6" s="19"/>
      <c r="F6" s="19"/>
      <c r="G6" s="19"/>
      <c r="H6" s="19"/>
      <c r="I6" s="19"/>
      <c r="J6" s="19"/>
      <c r="K6" s="19"/>
      <c r="L6" s="19"/>
      <c r="M6" s="36"/>
      <c r="N6" s="19"/>
      <c r="O6" s="19"/>
      <c r="P6" s="19"/>
      <c r="Q6" s="19"/>
      <c r="R6" s="19"/>
      <c r="T6" s="41"/>
      <c r="V6" s="41"/>
      <c r="X6" s="40" t="s">
        <v>314</v>
      </c>
      <c r="Y6" s="40">
        <v>2</v>
      </c>
      <c r="Z6" s="40" t="s">
        <v>1265</v>
      </c>
      <c r="AA6" s="68" t="s">
        <v>1349</v>
      </c>
      <c r="AC6" s="68" t="s">
        <v>36</v>
      </c>
      <c r="AD6" s="40">
        <v>4</v>
      </c>
      <c r="AE6" s="64" t="s">
        <v>36</v>
      </c>
      <c r="AG6" s="68">
        <v>5</v>
      </c>
      <c r="AH6" s="40" t="s">
        <v>25</v>
      </c>
      <c r="AJ6" s="40">
        <v>5</v>
      </c>
      <c r="AK6" s="40" t="s">
        <v>1328</v>
      </c>
    </row>
    <row r="7" spans="1:74" ht="16.5" customHeight="1">
      <c r="A7" s="28" t="s">
        <v>0</v>
      </c>
      <c r="B7" s="19"/>
      <c r="C7" s="19"/>
      <c r="D7" s="19"/>
      <c r="E7" s="19"/>
      <c r="F7" s="19"/>
      <c r="G7" s="19"/>
      <c r="H7" s="19"/>
      <c r="I7" s="19"/>
      <c r="J7" s="19"/>
      <c r="K7" s="19"/>
      <c r="L7" s="19"/>
      <c r="M7" s="36"/>
      <c r="N7" s="19"/>
      <c r="O7" s="19"/>
      <c r="P7" s="19"/>
      <c r="Q7" s="19"/>
      <c r="R7" s="19"/>
      <c r="T7" s="41"/>
      <c r="V7" s="41"/>
      <c r="X7" s="40" t="s">
        <v>93</v>
      </c>
      <c r="Y7" s="40">
        <v>3</v>
      </c>
      <c r="Z7" s="40" t="s">
        <v>25</v>
      </c>
      <c r="AC7" s="40" t="s">
        <v>1328</v>
      </c>
      <c r="AD7" s="40">
        <v>2</v>
      </c>
      <c r="AE7" s="64" t="s">
        <v>1328</v>
      </c>
      <c r="AG7" s="40">
        <v>6</v>
      </c>
      <c r="AH7" s="40" t="s">
        <v>864</v>
      </c>
      <c r="AJ7" s="40">
        <v>6</v>
      </c>
      <c r="AK7" s="40" t="s">
        <v>356</v>
      </c>
    </row>
    <row r="8" spans="1:74" ht="16.5" customHeight="1">
      <c r="A8" s="28" t="s">
        <v>1</v>
      </c>
      <c r="B8" s="29"/>
      <c r="C8" s="19"/>
      <c r="D8" s="19"/>
      <c r="E8" s="19"/>
      <c r="F8" s="19"/>
      <c r="G8" s="19"/>
      <c r="H8" s="19"/>
      <c r="I8" s="19"/>
      <c r="J8" s="19"/>
      <c r="K8" s="19"/>
      <c r="L8" s="19"/>
      <c r="M8" s="36"/>
      <c r="N8" s="19"/>
      <c r="O8" s="19"/>
      <c r="P8" s="19"/>
      <c r="Q8" s="19"/>
      <c r="R8" s="19"/>
      <c r="T8" s="41"/>
      <c r="X8" s="40" t="s">
        <v>1265</v>
      </c>
      <c r="Y8" s="40">
        <v>3</v>
      </c>
      <c r="Z8" s="40" t="s">
        <v>774</v>
      </c>
      <c r="AA8" s="64"/>
      <c r="AC8" s="64"/>
      <c r="AG8" s="64">
        <v>7</v>
      </c>
      <c r="AH8" s="40" t="s">
        <v>1349</v>
      </c>
      <c r="AI8" s="64"/>
      <c r="AJ8" s="40">
        <v>7</v>
      </c>
      <c r="AK8" s="40" t="s">
        <v>875</v>
      </c>
    </row>
    <row r="9" spans="1:74" ht="16.5" customHeight="1">
      <c r="A9" s="157" t="str">
        <f>TEXT(DATE(YEAR($AQ$1), MONTH($AQ$1) + 2, 1), "m月")</f>
        <v>1月</v>
      </c>
      <c r="B9" s="25">
        <f>DATE(YEAR($AQ$1), MONTH($AQ$1) + 2, AW1)</f>
        <v>46028</v>
      </c>
      <c r="C9" s="25">
        <f t="shared" ref="C9:P9" si="2">DATE(YEAR($AQ$1), MONTH($AQ$1) + 2, AX1)</f>
        <v>46029</v>
      </c>
      <c r="D9" s="25">
        <f t="shared" si="2"/>
        <v>46030</v>
      </c>
      <c r="E9" s="25">
        <f t="shared" si="2"/>
        <v>46031</v>
      </c>
      <c r="F9" s="25">
        <f t="shared" si="2"/>
        <v>46032</v>
      </c>
      <c r="G9" s="25">
        <f t="shared" si="2"/>
        <v>46033</v>
      </c>
      <c r="H9" s="25">
        <f t="shared" si="2"/>
        <v>46034</v>
      </c>
      <c r="I9" s="25">
        <f t="shared" si="2"/>
        <v>46035</v>
      </c>
      <c r="J9" s="25">
        <f t="shared" si="2"/>
        <v>46036</v>
      </c>
      <c r="K9" s="25">
        <f t="shared" si="2"/>
        <v>46037</v>
      </c>
      <c r="L9" s="25">
        <f t="shared" si="2"/>
        <v>46038</v>
      </c>
      <c r="M9" s="25">
        <f t="shared" si="2"/>
        <v>46039</v>
      </c>
      <c r="N9" s="25">
        <f t="shared" si="2"/>
        <v>46040</v>
      </c>
      <c r="O9" s="25">
        <f t="shared" si="2"/>
        <v>46041</v>
      </c>
      <c r="P9" s="25">
        <f t="shared" si="2"/>
        <v>46042</v>
      </c>
      <c r="Q9" s="19"/>
      <c r="R9" s="19"/>
      <c r="T9" s="41"/>
      <c r="W9" s="40" t="s">
        <v>169</v>
      </c>
      <c r="X9" s="40" t="s">
        <v>25</v>
      </c>
      <c r="Y9" s="40">
        <v>2</v>
      </c>
      <c r="Z9" s="40" t="s">
        <v>516</v>
      </c>
      <c r="AC9" s="64"/>
      <c r="AG9" s="40">
        <v>8</v>
      </c>
      <c r="AH9" s="40" t="s">
        <v>516</v>
      </c>
      <c r="AJ9" s="40">
        <v>8</v>
      </c>
      <c r="AK9" s="40" t="s">
        <v>356</v>
      </c>
    </row>
    <row r="10" spans="1:74" ht="16.5" customHeight="1">
      <c r="A10" s="36">
        <v>1</v>
      </c>
      <c r="B10" s="19"/>
      <c r="C10" s="19"/>
      <c r="D10" s="19"/>
      <c r="E10" s="19"/>
      <c r="F10" s="19"/>
      <c r="G10" s="19"/>
      <c r="H10" s="19"/>
      <c r="I10" s="19"/>
      <c r="J10" s="19"/>
      <c r="K10" s="19"/>
      <c r="L10" s="19"/>
      <c r="M10" s="19"/>
      <c r="N10" s="19"/>
      <c r="O10" s="19"/>
      <c r="P10" s="19"/>
      <c r="Q10" s="19"/>
      <c r="R10" s="19"/>
      <c r="T10" s="41"/>
      <c r="X10" s="40" t="s">
        <v>774</v>
      </c>
      <c r="Y10" s="40">
        <v>2</v>
      </c>
      <c r="Z10" s="40" t="s">
        <v>864</v>
      </c>
      <c r="AG10" s="40">
        <v>9</v>
      </c>
      <c r="AH10" s="40" t="s">
        <v>312</v>
      </c>
      <c r="AJ10" s="40">
        <v>9</v>
      </c>
      <c r="AK10" s="40" t="s">
        <v>1159</v>
      </c>
    </row>
    <row r="11" spans="1:74" ht="16.5" customHeight="1">
      <c r="A11" s="36">
        <v>2</v>
      </c>
      <c r="B11" s="19"/>
      <c r="C11" s="19"/>
      <c r="D11" s="19"/>
      <c r="E11" s="19"/>
      <c r="F11" s="19"/>
      <c r="G11" s="19"/>
      <c r="H11" s="19"/>
      <c r="I11" s="19"/>
      <c r="J11" s="19"/>
      <c r="K11" s="19"/>
      <c r="L11" s="19"/>
      <c r="M11" s="19"/>
      <c r="N11" s="19"/>
      <c r="O11" s="19"/>
      <c r="P11" s="19"/>
      <c r="Q11" s="19"/>
      <c r="R11" s="19"/>
      <c r="T11" s="41"/>
      <c r="X11" s="40" t="s">
        <v>516</v>
      </c>
      <c r="Y11" s="40">
        <v>2</v>
      </c>
      <c r="Z11" s="40" t="s">
        <v>1129</v>
      </c>
      <c r="AG11" s="40">
        <v>10</v>
      </c>
      <c r="AH11" s="40" t="s">
        <v>1114</v>
      </c>
      <c r="AJ11" s="40">
        <v>10</v>
      </c>
      <c r="AK11" s="40" t="s">
        <v>356</v>
      </c>
    </row>
    <row r="12" spans="1:74" ht="16.5" customHeight="1">
      <c r="A12" s="36">
        <v>3</v>
      </c>
      <c r="B12" s="19"/>
      <c r="C12" s="19"/>
      <c r="D12" s="19"/>
      <c r="E12" s="19"/>
      <c r="F12" s="19"/>
      <c r="G12" s="35"/>
      <c r="H12" s="19"/>
      <c r="I12" s="19"/>
      <c r="J12" s="19"/>
      <c r="K12" s="19"/>
      <c r="L12" s="19"/>
      <c r="M12" s="19"/>
      <c r="N12" s="19"/>
      <c r="O12" s="19"/>
      <c r="P12" s="19"/>
      <c r="Q12" s="19"/>
      <c r="R12" s="19"/>
      <c r="T12" s="41"/>
      <c r="X12" s="40" t="s">
        <v>312</v>
      </c>
      <c r="Y12" s="40">
        <v>2</v>
      </c>
    </row>
    <row r="13" spans="1:74" ht="16.5" customHeight="1">
      <c r="A13" s="36" t="s">
        <v>20</v>
      </c>
      <c r="B13" s="19"/>
      <c r="C13" s="19"/>
      <c r="D13" s="19"/>
      <c r="E13" s="19"/>
      <c r="F13" s="19"/>
      <c r="G13" s="19"/>
      <c r="H13" s="19"/>
      <c r="I13" s="19"/>
      <c r="J13" s="19"/>
      <c r="K13" s="19"/>
      <c r="L13" s="19"/>
      <c r="M13" s="19"/>
      <c r="N13" s="19"/>
      <c r="O13" s="19"/>
      <c r="P13" s="19"/>
      <c r="Q13" s="19"/>
      <c r="R13" s="19"/>
      <c r="T13" s="41"/>
      <c r="X13" s="40" t="s">
        <v>1349</v>
      </c>
      <c r="Y13" s="40">
        <v>3</v>
      </c>
    </row>
    <row r="14" spans="1:74" ht="16.5" customHeight="1">
      <c r="A14" s="36" t="s">
        <v>0</v>
      </c>
      <c r="B14" s="19"/>
      <c r="C14" s="19"/>
      <c r="D14" s="19"/>
      <c r="E14" s="19"/>
      <c r="F14" s="19"/>
      <c r="G14" s="19"/>
      <c r="H14" s="19"/>
      <c r="I14" s="19"/>
      <c r="J14" s="19"/>
      <c r="K14" s="19"/>
      <c r="L14" s="19"/>
      <c r="M14" s="19"/>
      <c r="N14" s="19"/>
      <c r="O14" s="19"/>
      <c r="P14" s="19"/>
      <c r="Q14" s="19"/>
      <c r="R14" s="19"/>
      <c r="T14" s="41"/>
      <c r="X14" s="40" t="s">
        <v>1129</v>
      </c>
      <c r="Y14" s="40">
        <v>3</v>
      </c>
    </row>
    <row r="15" spans="1:74" ht="16.5" customHeight="1">
      <c r="A15" s="36" t="s">
        <v>1</v>
      </c>
      <c r="B15" s="19"/>
      <c r="C15" s="29"/>
      <c r="D15" s="19"/>
      <c r="E15" s="19"/>
      <c r="F15" s="19"/>
      <c r="G15" s="19"/>
      <c r="H15" s="19"/>
      <c r="I15" s="19"/>
      <c r="J15" s="19"/>
      <c r="K15" s="19"/>
      <c r="L15" s="19"/>
      <c r="M15" s="19"/>
      <c r="N15" s="19"/>
      <c r="O15" s="19"/>
      <c r="P15" s="19"/>
      <c r="Q15" s="19"/>
      <c r="R15" s="19"/>
      <c r="T15" s="41"/>
      <c r="X15" s="40" t="s">
        <v>153</v>
      </c>
      <c r="Y15" s="40">
        <v>2</v>
      </c>
    </row>
    <row r="16" spans="1:74" ht="16.5" customHeight="1">
      <c r="A16" s="42"/>
      <c r="B16" s="37"/>
      <c r="C16" s="37"/>
      <c r="D16" s="37"/>
      <c r="E16" s="37"/>
      <c r="F16" s="37"/>
      <c r="G16" s="37"/>
      <c r="H16" s="38"/>
      <c r="I16" s="38"/>
      <c r="J16" s="38"/>
      <c r="K16" s="38"/>
      <c r="L16" s="38"/>
      <c r="M16" s="38"/>
      <c r="N16" s="38"/>
      <c r="O16" s="38"/>
      <c r="P16" s="37"/>
      <c r="Q16" s="37"/>
      <c r="R16" s="39"/>
      <c r="T16" s="41"/>
      <c r="W16" s="40" t="s">
        <v>1400</v>
      </c>
      <c r="X16" s="40" t="s">
        <v>864</v>
      </c>
      <c r="Y16" s="40">
        <v>3</v>
      </c>
    </row>
    <row r="17" spans="1:37" ht="16.5" customHeight="1">
      <c r="A17" s="157" t="str">
        <f>TEXT(DATE(YEAR($AQ$1), MONTH($AQ$1) + 2, 1), "m月")</f>
        <v>1月</v>
      </c>
      <c r="B17" s="60">
        <f>DATE(YEAR($AQ$1), MONTH($AQ$1) + 2, BL1)</f>
        <v>46043</v>
      </c>
      <c r="C17" s="60">
        <f t="shared" ref="C17:L17" si="3">DATE(YEAR($AQ$1), MONTH($AQ$1) + 2, BM1)</f>
        <v>46044</v>
      </c>
      <c r="D17" s="60">
        <f t="shared" si="3"/>
        <v>46045</v>
      </c>
      <c r="E17" s="60">
        <f t="shared" si="3"/>
        <v>46046</v>
      </c>
      <c r="F17" s="60">
        <f t="shared" si="3"/>
        <v>46047</v>
      </c>
      <c r="G17" s="60">
        <f t="shared" si="3"/>
        <v>46048</v>
      </c>
      <c r="H17" s="60">
        <f t="shared" si="3"/>
        <v>46049</v>
      </c>
      <c r="I17" s="60">
        <f t="shared" si="3"/>
        <v>46050</v>
      </c>
      <c r="J17" s="60">
        <f t="shared" si="3"/>
        <v>46051</v>
      </c>
      <c r="K17" s="60">
        <f t="shared" si="3"/>
        <v>46052</v>
      </c>
      <c r="L17" s="60">
        <f t="shared" si="3"/>
        <v>46053</v>
      </c>
      <c r="M17" s="141" t="str">
        <f>TEXT(DATE(YEAR($AQ$1), MONTH($AQ$1) + 3, 1), "m月")</f>
        <v>2月</v>
      </c>
      <c r="N17" s="116">
        <f>DATE(YEAR($AQ$1), MONTH($AQ$1) + 3, AR1)</f>
        <v>46054</v>
      </c>
      <c r="O17" s="116">
        <f t="shared" ref="O17:R17" si="4">DATE(YEAR($AQ$1), MONTH($AQ$1) + 3, AS1)</f>
        <v>46055</v>
      </c>
      <c r="P17" s="116">
        <f t="shared" si="4"/>
        <v>46056</v>
      </c>
      <c r="Q17" s="116">
        <f t="shared" si="4"/>
        <v>46057</v>
      </c>
      <c r="R17" s="116">
        <f t="shared" si="4"/>
        <v>46058</v>
      </c>
      <c r="T17" s="41"/>
      <c r="W17" s="40">
        <v>18</v>
      </c>
      <c r="X17" s="40">
        <v>36</v>
      </c>
      <c r="Y17" s="40">
        <v>36</v>
      </c>
      <c r="AC17" s="40">
        <v>18</v>
      </c>
      <c r="AD17" s="40">
        <v>18</v>
      </c>
    </row>
    <row r="18" spans="1:37" ht="16.5" customHeight="1">
      <c r="A18" s="36">
        <v>1</v>
      </c>
      <c r="B18" s="19"/>
      <c r="C18" s="19"/>
      <c r="D18" s="19"/>
      <c r="E18" s="19"/>
      <c r="F18" s="19"/>
      <c r="G18" s="19"/>
      <c r="H18" s="19"/>
      <c r="I18" s="19"/>
      <c r="J18" s="19"/>
      <c r="K18" s="19"/>
      <c r="L18" s="19"/>
      <c r="M18" s="26"/>
      <c r="N18" s="19"/>
      <c r="O18" s="19"/>
      <c r="P18" s="19"/>
      <c r="Q18" s="19"/>
      <c r="R18" s="19"/>
      <c r="W18" s="40" t="s">
        <v>1435</v>
      </c>
      <c r="X18" s="40" t="s">
        <v>1393</v>
      </c>
      <c r="Y18" s="40" t="s">
        <v>1392</v>
      </c>
      <c r="Z18" s="40" t="s">
        <v>63</v>
      </c>
      <c r="AA18" s="40" t="s">
        <v>64</v>
      </c>
      <c r="AC18" s="40" t="s">
        <v>1395</v>
      </c>
      <c r="AD18" s="40" t="s">
        <v>1392</v>
      </c>
      <c r="AE18" s="40" t="s">
        <v>65</v>
      </c>
      <c r="AG18" s="40" t="s">
        <v>1438</v>
      </c>
      <c r="AH18" s="40" t="s">
        <v>1396</v>
      </c>
      <c r="AJ18" s="40" t="s">
        <v>1438</v>
      </c>
      <c r="AK18" s="40" t="s">
        <v>874</v>
      </c>
    </row>
    <row r="19" spans="1:37" ht="16.5" customHeight="1">
      <c r="A19" s="36">
        <v>2</v>
      </c>
      <c r="B19" s="19"/>
      <c r="C19" s="19"/>
      <c r="D19" s="19"/>
      <c r="F19" s="19"/>
      <c r="G19" s="19"/>
      <c r="H19" s="19"/>
      <c r="I19" s="19"/>
      <c r="J19" s="19"/>
      <c r="K19" s="19"/>
      <c r="L19" s="19"/>
      <c r="M19" s="26"/>
      <c r="N19" s="19"/>
      <c r="O19" s="19"/>
      <c r="P19" s="19"/>
      <c r="Q19" s="19"/>
      <c r="R19" s="19"/>
      <c r="X19" s="40" t="s">
        <v>2</v>
      </c>
      <c r="Y19" s="40">
        <f t="shared" ref="Y19:Y33" si="5">COUNTIF($B$3:$R$5,X19)+COUNTIF($B$10:$R$12,X19)+COUNTIF($B$18:$R$20,X19)+COUNTIF($B$25:$R$27,X19)</f>
        <v>0</v>
      </c>
      <c r="Z19" s="133" t="s">
        <v>2</v>
      </c>
      <c r="AA19" s="133" t="s">
        <v>14</v>
      </c>
      <c r="AC19" s="40" t="s">
        <v>1159</v>
      </c>
      <c r="AD19" s="40">
        <f t="shared" ref="AD19:AD24" si="6">COUNTIF($B$3:$R$5,AC19)+COUNTIF($B$10:$R$12,AC19)+COUNTIF($B$18:$R$20,AC19)+COUNTIF($B$25:$R$27,AC19)</f>
        <v>0</v>
      </c>
      <c r="AE19" s="40" t="s">
        <v>1159</v>
      </c>
      <c r="AG19" s="40">
        <v>1</v>
      </c>
      <c r="AH19" s="40" t="s">
        <v>26</v>
      </c>
      <c r="AJ19" s="40">
        <v>1</v>
      </c>
      <c r="AK19" s="40" t="s">
        <v>1159</v>
      </c>
    </row>
    <row r="20" spans="1:37" ht="16.5" customHeight="1">
      <c r="A20" s="36">
        <v>3</v>
      </c>
      <c r="B20" s="19"/>
      <c r="C20" s="19"/>
      <c r="D20" s="19"/>
      <c r="E20" s="19"/>
      <c r="F20" s="19"/>
      <c r="G20" s="19"/>
      <c r="H20" s="19"/>
      <c r="I20" s="19"/>
      <c r="J20" s="19"/>
      <c r="K20" s="19"/>
      <c r="L20" s="19"/>
      <c r="M20" s="26"/>
      <c r="N20" s="19"/>
      <c r="O20" s="19"/>
      <c r="P20" s="19"/>
      <c r="Q20" s="19"/>
      <c r="R20" s="19"/>
      <c r="T20" s="41"/>
      <c r="X20" s="40" t="s">
        <v>7</v>
      </c>
      <c r="Y20" s="40">
        <f t="shared" si="5"/>
        <v>0</v>
      </c>
      <c r="Z20" s="133" t="s">
        <v>7</v>
      </c>
      <c r="AA20" s="133" t="s">
        <v>153</v>
      </c>
      <c r="AC20" s="40" t="s">
        <v>1065</v>
      </c>
      <c r="AD20" s="40">
        <f t="shared" si="6"/>
        <v>0</v>
      </c>
      <c r="AE20" s="40" t="s">
        <v>1065</v>
      </c>
      <c r="AG20" s="40">
        <v>2</v>
      </c>
      <c r="AH20" s="40" t="s">
        <v>1114</v>
      </c>
      <c r="AI20" s="64"/>
      <c r="AJ20" s="40">
        <v>2</v>
      </c>
      <c r="AK20" s="40" t="s">
        <v>356</v>
      </c>
    </row>
    <row r="21" spans="1:37" ht="16.5" customHeight="1">
      <c r="A21" s="36" t="s">
        <v>20</v>
      </c>
      <c r="B21" s="19"/>
      <c r="C21" s="19"/>
      <c r="D21" s="19"/>
      <c r="E21" s="19"/>
      <c r="F21" s="19"/>
      <c r="G21" s="19"/>
      <c r="H21" s="19"/>
      <c r="I21" s="19"/>
      <c r="J21" s="19"/>
      <c r="K21" s="19"/>
      <c r="L21" s="19"/>
      <c r="M21" s="26"/>
      <c r="N21" s="19"/>
      <c r="O21" s="19"/>
      <c r="P21" s="19"/>
      <c r="Q21" s="19"/>
      <c r="R21" s="19"/>
      <c r="T21" s="41"/>
      <c r="X21" s="40" t="s">
        <v>107</v>
      </c>
      <c r="Y21" s="40">
        <f t="shared" si="5"/>
        <v>0</v>
      </c>
      <c r="Z21" s="133" t="s">
        <v>107</v>
      </c>
      <c r="AA21" s="133" t="s">
        <v>314</v>
      </c>
      <c r="AC21" s="40" t="s">
        <v>37</v>
      </c>
      <c r="AD21" s="40">
        <f t="shared" si="6"/>
        <v>0</v>
      </c>
      <c r="AE21" s="40" t="s">
        <v>37</v>
      </c>
      <c r="AG21" s="40">
        <v>3</v>
      </c>
      <c r="AH21" s="40" t="s">
        <v>327</v>
      </c>
      <c r="AI21" s="64"/>
      <c r="AJ21" s="40">
        <v>3</v>
      </c>
      <c r="AK21" s="40" t="s">
        <v>875</v>
      </c>
    </row>
    <row r="22" spans="1:37" ht="16.5" customHeight="1">
      <c r="A22" s="36" t="s">
        <v>0</v>
      </c>
      <c r="B22" s="19"/>
      <c r="C22" s="19"/>
      <c r="D22" s="19"/>
      <c r="E22" s="19"/>
      <c r="F22" s="19"/>
      <c r="G22" s="19"/>
      <c r="H22" s="19"/>
      <c r="I22" s="19"/>
      <c r="J22" s="19"/>
      <c r="K22" s="19"/>
      <c r="L22" s="19"/>
      <c r="M22" s="26"/>
      <c r="N22" s="19"/>
      <c r="O22" s="19"/>
      <c r="P22" s="19"/>
      <c r="Q22" s="19"/>
      <c r="R22" s="19"/>
      <c r="T22" s="41"/>
      <c r="X22" s="40" t="s">
        <v>14</v>
      </c>
      <c r="Y22" s="40">
        <f>COUNTIF($B$3:$R$5,X22)+COUNTIF($B$10:$R$12,X22)+COUNTIF($B$18:$R$20,X22)+COUNTIF($B$25:$R$27,X22)</f>
        <v>0</v>
      </c>
      <c r="Z22" s="133" t="s">
        <v>312</v>
      </c>
      <c r="AA22" s="133" t="s">
        <v>93</v>
      </c>
      <c r="AC22" s="40" t="s">
        <v>875</v>
      </c>
      <c r="AD22" s="40">
        <f t="shared" si="6"/>
        <v>0</v>
      </c>
      <c r="AE22" s="40" t="s">
        <v>875</v>
      </c>
      <c r="AG22" s="40">
        <v>4</v>
      </c>
      <c r="AH22" s="40" t="s">
        <v>153</v>
      </c>
      <c r="AJ22" s="40">
        <v>4</v>
      </c>
      <c r="AK22" s="40" t="s">
        <v>356</v>
      </c>
    </row>
    <row r="23" spans="1:37" ht="16.5" customHeight="1">
      <c r="A23" s="36" t="s">
        <v>1</v>
      </c>
      <c r="B23" s="19"/>
      <c r="C23" s="19"/>
      <c r="D23" s="19"/>
      <c r="E23" s="19"/>
      <c r="F23" s="19"/>
      <c r="G23" s="19"/>
      <c r="H23" s="19"/>
      <c r="I23" s="19"/>
      <c r="J23" s="19"/>
      <c r="K23" s="19"/>
      <c r="L23" s="19"/>
      <c r="M23" s="26"/>
      <c r="N23" s="19"/>
      <c r="O23" s="19"/>
      <c r="P23" s="19"/>
      <c r="Q23" s="19"/>
      <c r="R23" s="19"/>
      <c r="T23" s="72"/>
      <c r="V23" s="71"/>
      <c r="W23" s="71"/>
      <c r="X23" s="40" t="s">
        <v>314</v>
      </c>
      <c r="Y23" s="40">
        <f>COUNTIF($B$3:$R$5,X23)+COUNTIF($B$10:$R$12,X23)+COUNTIF($B$18:$R$20,X23)+COUNTIF($B$25:$R$27,X23)</f>
        <v>0</v>
      </c>
      <c r="Z23" s="133" t="s">
        <v>1265</v>
      </c>
      <c r="AA23" s="133" t="s">
        <v>1349</v>
      </c>
      <c r="AC23" s="40" t="s">
        <v>36</v>
      </c>
      <c r="AD23" s="40">
        <f t="shared" si="6"/>
        <v>0</v>
      </c>
      <c r="AE23" s="40" t="s">
        <v>36</v>
      </c>
      <c r="AG23" s="40">
        <v>5</v>
      </c>
      <c r="AH23" s="40" t="s">
        <v>25</v>
      </c>
      <c r="AI23" s="64"/>
      <c r="AJ23" s="40">
        <v>5</v>
      </c>
      <c r="AK23" s="40" t="s">
        <v>1328</v>
      </c>
    </row>
    <row r="24" spans="1:37" ht="16.5" customHeight="1">
      <c r="A24" s="158" t="str">
        <f>TEXT(DATE(YEAR($AQ$1), MONTH($AQ$1) + 3, 1), "m月")</f>
        <v>2月</v>
      </c>
      <c r="B24" s="27">
        <f>DATE(YEAR($AQ$1), MONTH($AQ$1) + 3, AW1)</f>
        <v>46059</v>
      </c>
      <c r="C24" s="27">
        <f t="shared" ref="C24:R24" si="7">DATE(YEAR($AQ$1), MONTH($AQ$1) + 3, AX1)</f>
        <v>46060</v>
      </c>
      <c r="D24" s="27">
        <f t="shared" si="7"/>
        <v>46061</v>
      </c>
      <c r="E24" s="27">
        <f t="shared" si="7"/>
        <v>46062</v>
      </c>
      <c r="F24" s="27">
        <f t="shared" si="7"/>
        <v>46063</v>
      </c>
      <c r="G24" s="27">
        <f t="shared" si="7"/>
        <v>46064</v>
      </c>
      <c r="H24" s="27">
        <f t="shared" si="7"/>
        <v>46065</v>
      </c>
      <c r="I24" s="27">
        <f t="shared" si="7"/>
        <v>46066</v>
      </c>
      <c r="J24" s="27">
        <f t="shared" si="7"/>
        <v>46067</v>
      </c>
      <c r="K24" s="27">
        <f t="shared" si="7"/>
        <v>46068</v>
      </c>
      <c r="L24" s="27">
        <f t="shared" si="7"/>
        <v>46069</v>
      </c>
      <c r="M24" s="27">
        <f t="shared" si="7"/>
        <v>46070</v>
      </c>
      <c r="N24" s="27">
        <f t="shared" si="7"/>
        <v>46071</v>
      </c>
      <c r="O24" s="27">
        <f t="shared" si="7"/>
        <v>46072</v>
      </c>
      <c r="P24" s="27">
        <f t="shared" si="7"/>
        <v>46073</v>
      </c>
      <c r="Q24" s="27">
        <f t="shared" si="7"/>
        <v>46074</v>
      </c>
      <c r="R24" s="27">
        <f t="shared" si="7"/>
        <v>46075</v>
      </c>
      <c r="V24" s="71"/>
      <c r="W24" s="71"/>
      <c r="X24" s="40" t="s">
        <v>93</v>
      </c>
      <c r="Y24" s="40">
        <f t="shared" si="5"/>
        <v>0</v>
      </c>
      <c r="Z24" s="133" t="s">
        <v>25</v>
      </c>
      <c r="AA24" s="133"/>
      <c r="AC24" s="40" t="s">
        <v>1328</v>
      </c>
      <c r="AD24" s="40">
        <f t="shared" si="6"/>
        <v>0</v>
      </c>
      <c r="AE24" s="40" t="s">
        <v>1328</v>
      </c>
      <c r="AG24" s="40">
        <v>6</v>
      </c>
      <c r="AH24" s="40" t="s">
        <v>864</v>
      </c>
      <c r="AI24" s="64"/>
      <c r="AJ24" s="40">
        <v>6</v>
      </c>
      <c r="AK24" s="40" t="s">
        <v>356</v>
      </c>
    </row>
    <row r="25" spans="1:37" ht="16.5" customHeight="1">
      <c r="A25" s="28">
        <v>1</v>
      </c>
      <c r="B25" s="19"/>
      <c r="C25" s="19"/>
      <c r="D25" s="19"/>
      <c r="E25" s="19"/>
      <c r="F25" s="19"/>
      <c r="G25" s="19"/>
      <c r="H25" s="19"/>
      <c r="I25" s="19"/>
      <c r="J25" s="19"/>
      <c r="K25" s="19"/>
      <c r="L25" s="19"/>
      <c r="M25" s="19"/>
      <c r="N25" s="19"/>
      <c r="O25" s="19"/>
      <c r="P25" s="19"/>
      <c r="Q25" s="19"/>
      <c r="R25" s="19"/>
      <c r="V25" s="71"/>
      <c r="W25" s="71"/>
      <c r="X25" s="40" t="s">
        <v>1265</v>
      </c>
      <c r="Y25" s="40">
        <f t="shared" si="5"/>
        <v>0</v>
      </c>
      <c r="Z25" s="133" t="s">
        <v>774</v>
      </c>
      <c r="AA25" s="133"/>
      <c r="AG25" s="40">
        <v>7</v>
      </c>
      <c r="AH25" s="40" t="s">
        <v>1349</v>
      </c>
      <c r="AJ25" s="40">
        <v>7</v>
      </c>
      <c r="AK25" s="40" t="s">
        <v>875</v>
      </c>
    </row>
    <row r="26" spans="1:37" ht="16.5" customHeight="1">
      <c r="A26" s="28">
        <v>2</v>
      </c>
      <c r="B26" s="19"/>
      <c r="C26" s="19"/>
      <c r="D26" s="19"/>
      <c r="E26" s="19"/>
      <c r="F26" s="19"/>
      <c r="G26" s="19"/>
      <c r="H26" s="19"/>
      <c r="I26" s="19"/>
      <c r="J26" s="19"/>
      <c r="K26" s="19"/>
      <c r="L26" s="19"/>
      <c r="M26" s="19"/>
      <c r="N26" s="19"/>
      <c r="O26" s="19"/>
      <c r="P26" s="19"/>
      <c r="Q26" s="19"/>
      <c r="R26" s="19"/>
      <c r="T26" s="71"/>
      <c r="V26" s="71"/>
      <c r="W26" s="40" t="s">
        <v>169</v>
      </c>
      <c r="X26" s="40" t="s">
        <v>25</v>
      </c>
      <c r="Y26" s="40">
        <f t="shared" si="5"/>
        <v>0</v>
      </c>
      <c r="Z26" s="133" t="s">
        <v>516</v>
      </c>
      <c r="AA26" s="133"/>
      <c r="AG26" s="40">
        <v>8</v>
      </c>
      <c r="AH26" s="40" t="s">
        <v>516</v>
      </c>
      <c r="AJ26" s="40">
        <v>8</v>
      </c>
      <c r="AK26" s="40" t="s">
        <v>356</v>
      </c>
    </row>
    <row r="27" spans="1:37" ht="16.5" customHeight="1">
      <c r="A27" s="28">
        <v>3</v>
      </c>
      <c r="B27" s="19"/>
      <c r="C27" s="19"/>
      <c r="D27" s="19"/>
      <c r="E27" s="19"/>
      <c r="F27" s="19"/>
      <c r="G27" s="19"/>
      <c r="H27" s="19"/>
      <c r="I27" s="19"/>
      <c r="J27" s="19"/>
      <c r="K27" s="19"/>
      <c r="L27" s="19"/>
      <c r="M27" s="19"/>
      <c r="N27" s="19"/>
      <c r="O27" s="19"/>
      <c r="P27" s="19"/>
      <c r="Q27" s="19"/>
      <c r="R27" s="19"/>
      <c r="T27" s="72"/>
      <c r="V27" s="71"/>
      <c r="W27" s="71"/>
      <c r="X27" s="40" t="s">
        <v>774</v>
      </c>
      <c r="Y27" s="40">
        <f t="shared" si="5"/>
        <v>0</v>
      </c>
      <c r="Z27" s="136" t="s">
        <v>864</v>
      </c>
      <c r="AA27" s="133"/>
      <c r="AG27" s="40">
        <v>9</v>
      </c>
      <c r="AH27" s="40" t="s">
        <v>312</v>
      </c>
      <c r="AJ27" s="40">
        <v>9</v>
      </c>
      <c r="AK27" s="40" t="s">
        <v>1159</v>
      </c>
    </row>
    <row r="28" spans="1:37" ht="16.5" customHeight="1">
      <c r="A28" s="28" t="s">
        <v>20</v>
      </c>
      <c r="B28" s="19"/>
      <c r="C28" s="19"/>
      <c r="D28" s="19"/>
      <c r="E28" s="19"/>
      <c r="F28" s="19"/>
      <c r="G28" s="19"/>
      <c r="H28" s="19"/>
      <c r="I28" s="19"/>
      <c r="J28" s="19"/>
      <c r="K28" s="19"/>
      <c r="L28" s="19"/>
      <c r="M28" s="19"/>
      <c r="N28" s="19"/>
      <c r="O28" s="19"/>
      <c r="P28" s="19"/>
      <c r="Q28" s="19"/>
      <c r="R28" s="19"/>
      <c r="T28" s="72"/>
      <c r="V28" s="71"/>
      <c r="W28" s="71"/>
      <c r="X28" s="40" t="s">
        <v>516</v>
      </c>
      <c r="Y28" s="40">
        <f t="shared" si="5"/>
        <v>0</v>
      </c>
      <c r="Z28" s="133" t="s">
        <v>1129</v>
      </c>
      <c r="AA28" s="133"/>
      <c r="AG28" s="40">
        <v>10</v>
      </c>
      <c r="AH28" s="40" t="s">
        <v>1114</v>
      </c>
      <c r="AJ28" s="40">
        <v>10</v>
      </c>
      <c r="AK28" s="40" t="s">
        <v>356</v>
      </c>
    </row>
    <row r="29" spans="1:37" ht="16.5" customHeight="1">
      <c r="A29" s="28" t="s">
        <v>0</v>
      </c>
      <c r="B29" s="19"/>
      <c r="C29" s="19"/>
      <c r="D29" s="19"/>
      <c r="E29" s="19"/>
      <c r="F29" s="19"/>
      <c r="G29" s="19"/>
      <c r="H29" s="19"/>
      <c r="I29" s="19"/>
      <c r="J29" s="19"/>
      <c r="K29" s="19"/>
      <c r="L29" s="19"/>
      <c r="M29" s="19"/>
      <c r="N29" s="19"/>
      <c r="O29" s="19"/>
      <c r="P29" s="19"/>
      <c r="Q29" s="19"/>
      <c r="R29" s="19"/>
      <c r="T29" s="72"/>
      <c r="V29" s="71"/>
      <c r="W29" s="71"/>
      <c r="X29" s="40" t="s">
        <v>312</v>
      </c>
      <c r="Y29" s="40">
        <f>COUNTIF($B$3:$R$5,X29)+COUNTIF($B$10:$R$12,X29)+COUNTIF($B$18:$R$20,X29)+COUNTIF($B$25:$R$27,X29)</f>
        <v>0</v>
      </c>
      <c r="Z29" s="133"/>
      <c r="AA29" s="133"/>
    </row>
    <row r="30" spans="1:37" ht="16.5" customHeight="1">
      <c r="A30" s="28" t="s">
        <v>1</v>
      </c>
      <c r="B30" s="19"/>
      <c r="C30" s="19"/>
      <c r="D30" s="19"/>
      <c r="E30" s="19"/>
      <c r="F30" s="19"/>
      <c r="G30" s="19"/>
      <c r="H30" s="19"/>
      <c r="I30" s="19"/>
      <c r="J30" s="19"/>
      <c r="K30" s="19"/>
      <c r="L30" s="19"/>
      <c r="M30" s="19"/>
      <c r="N30" s="19"/>
      <c r="O30" s="19"/>
      <c r="P30" s="19"/>
      <c r="Q30" s="19"/>
      <c r="R30" s="19"/>
      <c r="T30" s="71"/>
      <c r="V30" s="71"/>
      <c r="W30" s="71"/>
      <c r="X30" s="40" t="s">
        <v>1349</v>
      </c>
      <c r="Y30" s="40">
        <f t="shared" si="5"/>
        <v>0</v>
      </c>
      <c r="Z30" s="133"/>
      <c r="AA30" s="133"/>
    </row>
    <row r="31" spans="1:37" ht="16.5" customHeight="1">
      <c r="A31" s="111" t="s">
        <v>1377</v>
      </c>
      <c r="B31" s="111"/>
      <c r="C31" s="111"/>
      <c r="D31" s="111"/>
      <c r="E31" s="111"/>
      <c r="F31" s="111"/>
      <c r="G31" s="111"/>
      <c r="H31" s="111"/>
      <c r="I31" s="111"/>
      <c r="J31" s="111"/>
      <c r="K31" s="111"/>
      <c r="L31" s="111"/>
      <c r="M31" s="111"/>
      <c r="N31" s="111"/>
      <c r="O31" s="111"/>
      <c r="P31" s="111"/>
      <c r="Q31" s="145" t="s">
        <v>82</v>
      </c>
      <c r="R31" s="145"/>
      <c r="T31" s="72"/>
      <c r="X31" s="40" t="s">
        <v>1129</v>
      </c>
      <c r="Y31" s="40">
        <f t="shared" si="5"/>
        <v>0</v>
      </c>
      <c r="Z31" s="133"/>
      <c r="AA31" s="133"/>
    </row>
    <row r="32" spans="1:37" ht="16.5" customHeight="1">
      <c r="A32" s="111" t="s">
        <v>1378</v>
      </c>
      <c r="B32" s="111"/>
      <c r="C32" s="111"/>
      <c r="D32" s="111"/>
      <c r="E32" s="111"/>
      <c r="F32" s="111"/>
      <c r="G32" s="111"/>
      <c r="H32" s="111"/>
      <c r="I32" s="111"/>
      <c r="J32" s="111"/>
      <c r="K32" s="111"/>
      <c r="L32" s="111"/>
      <c r="M32" s="111"/>
      <c r="N32" s="111"/>
      <c r="O32" s="111"/>
      <c r="P32" s="111"/>
      <c r="Q32" s="85"/>
      <c r="R32" s="85"/>
      <c r="T32" s="72"/>
      <c r="X32" s="40" t="s">
        <v>153</v>
      </c>
      <c r="Y32" s="40">
        <f>COUNTIF($B$3:$R$5,X32)+COUNTIF($B$10:$R$12,X32)+COUNTIF($B$18:$R$20,X32)+COUNTIF($B$25:$R$27,X32)</f>
        <v>0</v>
      </c>
      <c r="Z32" s="133"/>
      <c r="AA32" s="133"/>
    </row>
    <row r="33" spans="1:30" ht="16.5" customHeight="1">
      <c r="W33" s="40" t="s">
        <v>1400</v>
      </c>
      <c r="X33" s="40" t="s">
        <v>864</v>
      </c>
      <c r="Y33" s="40">
        <f t="shared" si="5"/>
        <v>0</v>
      </c>
      <c r="Z33" s="133"/>
      <c r="AA33" s="133"/>
    </row>
    <row r="34" spans="1:30" ht="16.5" customHeight="1">
      <c r="R34" s="43"/>
      <c r="W34" s="40">
        <v>18</v>
      </c>
      <c r="X34" s="40">
        <f>W34*2</f>
        <v>36</v>
      </c>
      <c r="Y34" s="40">
        <f>SUM(Y19:Y33)</f>
        <v>0</v>
      </c>
      <c r="AC34" s="40">
        <f>W34</f>
        <v>18</v>
      </c>
      <c r="AD34" s="40">
        <f>SUM(AD19:AD24)</f>
        <v>0</v>
      </c>
    </row>
    <row r="35" spans="1:30" ht="16.5" customHeight="1">
      <c r="R35" s="55"/>
    </row>
    <row r="36" spans="1:30" ht="12.75" customHeight="1">
      <c r="R36" s="55"/>
    </row>
    <row r="37" spans="1:30">
      <c r="A37" s="40" t="s">
        <v>322</v>
      </c>
      <c r="B37" s="49"/>
      <c r="C37" s="49"/>
      <c r="D37" s="49"/>
      <c r="E37" s="49"/>
      <c r="F37" s="49"/>
      <c r="G37" s="49"/>
      <c r="H37" s="55"/>
      <c r="I37" s="49"/>
      <c r="J37" s="49"/>
      <c r="K37" s="49"/>
      <c r="L37" s="49"/>
      <c r="M37" s="49"/>
      <c r="N37" s="49"/>
      <c r="O37" s="49"/>
      <c r="R37" s="55"/>
    </row>
    <row r="38" spans="1:30">
      <c r="A38" s="49" t="s">
        <v>1062</v>
      </c>
      <c r="B38" s="49" t="s">
        <v>1063</v>
      </c>
      <c r="C38" s="49"/>
      <c r="D38" s="49"/>
      <c r="E38" s="49"/>
      <c r="F38" s="49"/>
      <c r="G38" s="49" t="s">
        <v>1000</v>
      </c>
      <c r="H38" s="49"/>
      <c r="I38" s="55"/>
      <c r="J38" s="55"/>
      <c r="K38" s="55" t="s">
        <v>1108</v>
      </c>
      <c r="L38" s="55"/>
      <c r="M38" s="55"/>
      <c r="N38" s="55"/>
      <c r="O38" s="55"/>
      <c r="P38" s="43"/>
      <c r="Q38" s="43"/>
      <c r="R38" s="55"/>
    </row>
    <row r="39" spans="1:30">
      <c r="A39" s="90"/>
      <c r="B39" s="50"/>
      <c r="C39" s="49"/>
      <c r="D39" s="49"/>
      <c r="E39" s="49"/>
      <c r="F39" s="49"/>
      <c r="G39" s="95"/>
      <c r="H39" s="49"/>
      <c r="I39" s="55"/>
      <c r="J39" s="55"/>
      <c r="K39" s="55" t="s">
        <v>1352</v>
      </c>
      <c r="L39" s="55"/>
      <c r="M39" s="55"/>
      <c r="N39" s="55"/>
      <c r="O39" s="55"/>
      <c r="P39" s="55"/>
      <c r="Q39" s="55"/>
      <c r="R39" s="55"/>
      <c r="S39" s="49"/>
      <c r="X39" s="71"/>
    </row>
    <row r="40" spans="1:30">
      <c r="A40" s="84"/>
      <c r="B40" s="50"/>
      <c r="C40" s="76"/>
      <c r="D40" s="49"/>
      <c r="E40" s="49"/>
      <c r="F40" s="49"/>
      <c r="G40" s="122"/>
      <c r="H40" s="49"/>
      <c r="I40" s="55"/>
      <c r="J40" s="55"/>
      <c r="K40" s="77" t="s">
        <v>1261</v>
      </c>
      <c r="L40" s="55"/>
      <c r="M40" s="55"/>
      <c r="N40" s="55"/>
      <c r="O40" s="55"/>
      <c r="P40" s="55"/>
      <c r="Q40" s="55"/>
      <c r="R40" s="55"/>
      <c r="S40" s="49"/>
      <c r="X40" s="71"/>
      <c r="Y40" s="71"/>
    </row>
    <row r="41" spans="1:30">
      <c r="A41" s="83"/>
      <c r="B41" s="49"/>
      <c r="C41" s="49"/>
      <c r="D41" s="49"/>
      <c r="E41" s="49"/>
      <c r="F41" s="76"/>
      <c r="G41" s="121"/>
      <c r="H41" s="55"/>
      <c r="I41" s="55"/>
      <c r="J41" s="55"/>
      <c r="K41" s="55" t="s">
        <v>1405</v>
      </c>
      <c r="L41" s="55"/>
      <c r="M41" s="55"/>
      <c r="N41" s="55"/>
      <c r="O41" s="55"/>
      <c r="P41" s="55"/>
      <c r="Q41" s="55"/>
      <c r="R41" s="55"/>
      <c r="S41" s="49"/>
      <c r="X41" s="71"/>
      <c r="Y41" s="71"/>
    </row>
    <row r="42" spans="1:30">
      <c r="A42" s="84"/>
      <c r="B42" s="49"/>
      <c r="C42" s="49"/>
      <c r="D42" s="49"/>
      <c r="E42" s="49"/>
      <c r="F42" s="77"/>
      <c r="G42" s="98"/>
      <c r="H42" s="49"/>
      <c r="I42" s="55"/>
      <c r="J42" s="55"/>
      <c r="L42" s="55"/>
      <c r="M42" s="55"/>
      <c r="N42" s="55"/>
      <c r="O42" s="55"/>
      <c r="P42" s="55"/>
      <c r="Q42" s="55"/>
      <c r="R42" s="55"/>
      <c r="S42" s="49"/>
    </row>
    <row r="43" spans="1:30">
      <c r="A43" s="117"/>
      <c r="B43" s="49"/>
      <c r="C43" s="49"/>
      <c r="D43" s="49"/>
      <c r="E43" s="49"/>
      <c r="F43" s="77"/>
      <c r="G43" s="117"/>
      <c r="H43" s="49"/>
      <c r="L43" s="40" t="s">
        <v>1343</v>
      </c>
      <c r="N43" s="71" t="s">
        <v>1344</v>
      </c>
      <c r="O43" s="40" t="s">
        <v>1395</v>
      </c>
      <c r="P43" s="40" t="s">
        <v>1343</v>
      </c>
      <c r="Q43" s="40" t="s">
        <v>1395</v>
      </c>
      <c r="R43" s="40" t="s">
        <v>1344</v>
      </c>
    </row>
    <row r="44" spans="1:30">
      <c r="A44" s="84"/>
      <c r="B44" s="49"/>
      <c r="C44" s="49"/>
      <c r="D44" s="49"/>
      <c r="E44" s="49"/>
      <c r="F44" s="77"/>
      <c r="G44" s="123"/>
      <c r="H44" s="49"/>
      <c r="K44" s="40" t="s">
        <v>2</v>
      </c>
      <c r="L44" s="40">
        <f>COUNTIF($B$3:$R$5,K44)+COUNTIF($B$10:$R$12,K44)</f>
        <v>0</v>
      </c>
      <c r="M44" s="40" t="s">
        <v>2</v>
      </c>
      <c r="N44" s="40">
        <f>COUNTIF($B$18:$R$20,M44)+COUNTIF($B$25:$R$27,M44)</f>
        <v>0</v>
      </c>
      <c r="O44" s="40" t="s">
        <v>1159</v>
      </c>
      <c r="P44" s="40">
        <f>COUNTIF($B$3:$R$5,O44)+COUNTIF($B$10:$R$12,O44)</f>
        <v>0</v>
      </c>
      <c r="Q44" s="40" t="s">
        <v>1159</v>
      </c>
      <c r="R44" s="40">
        <f>COUNTIF($B$18:$R$20,Q44)+COUNTIF($B$25:$R$27,Q44)</f>
        <v>0</v>
      </c>
    </row>
    <row r="45" spans="1:30">
      <c r="A45" s="90"/>
      <c r="B45" s="49"/>
      <c r="C45" s="49"/>
      <c r="D45" s="49"/>
      <c r="E45" s="49"/>
      <c r="F45" s="77"/>
      <c r="G45" s="83"/>
      <c r="H45" s="49"/>
      <c r="K45" s="40" t="s">
        <v>7</v>
      </c>
      <c r="L45" s="40">
        <f t="shared" ref="L45:L58" si="8">COUNTIF($B$3:$R$5,K45)+COUNTIF($B$10:$R$12,K45)</f>
        <v>0</v>
      </c>
      <c r="M45" s="40" t="s">
        <v>7</v>
      </c>
      <c r="N45" s="40">
        <f t="shared" ref="N45:N58" si="9">COUNTIF($B$18:$R$20,M45)+COUNTIF($B$25:$R$27,M45)</f>
        <v>0</v>
      </c>
      <c r="O45" s="40" t="s">
        <v>1065</v>
      </c>
      <c r="P45" s="40">
        <f t="shared" ref="P45:P49" si="10">COUNTIF($B$3:$R$5,O45)+COUNTIF($B$10:$R$12,O45)</f>
        <v>0</v>
      </c>
      <c r="Q45" s="40" t="s">
        <v>1065</v>
      </c>
      <c r="R45" s="40">
        <f t="shared" ref="R45:R49" si="11">COUNTIF($B$18:$R$20,Q45)+COUNTIF($B$25:$R$27,Q45)</f>
        <v>0</v>
      </c>
    </row>
    <row r="46" spans="1:30">
      <c r="A46" s="84"/>
      <c r="B46" s="49"/>
      <c r="C46" s="76"/>
      <c r="D46" s="49"/>
      <c r="E46" s="49"/>
      <c r="F46" s="49"/>
      <c r="G46" s="103"/>
      <c r="H46" s="49"/>
      <c r="K46" s="40" t="s">
        <v>107</v>
      </c>
      <c r="L46" s="40">
        <f t="shared" si="8"/>
        <v>0</v>
      </c>
      <c r="M46" s="40" t="s">
        <v>107</v>
      </c>
      <c r="N46" s="40">
        <f t="shared" si="9"/>
        <v>0</v>
      </c>
      <c r="O46" s="40" t="s">
        <v>37</v>
      </c>
      <c r="P46" s="40">
        <f t="shared" si="10"/>
        <v>0</v>
      </c>
      <c r="Q46" s="40" t="s">
        <v>37</v>
      </c>
      <c r="R46" s="40">
        <f t="shared" si="11"/>
        <v>0</v>
      </c>
    </row>
    <row r="47" spans="1:30">
      <c r="A47" s="90"/>
      <c r="B47" s="49"/>
      <c r="C47" s="49"/>
      <c r="D47" s="49"/>
      <c r="E47" s="49"/>
      <c r="F47" s="77"/>
      <c r="G47" s="125"/>
      <c r="H47" s="49"/>
      <c r="K47" s="40" t="s">
        <v>14</v>
      </c>
      <c r="L47" s="40">
        <f t="shared" si="8"/>
        <v>0</v>
      </c>
      <c r="M47" s="40" t="s">
        <v>14</v>
      </c>
      <c r="N47" s="40">
        <f t="shared" si="9"/>
        <v>0</v>
      </c>
      <c r="O47" s="40" t="s">
        <v>875</v>
      </c>
      <c r="P47" s="40">
        <f t="shared" si="10"/>
        <v>0</v>
      </c>
      <c r="Q47" s="40" t="s">
        <v>875</v>
      </c>
      <c r="R47" s="40">
        <f t="shared" si="11"/>
        <v>0</v>
      </c>
    </row>
    <row r="48" spans="1:30">
      <c r="A48" s="84"/>
      <c r="B48" s="49"/>
      <c r="C48" s="49"/>
      <c r="D48" s="49"/>
      <c r="E48" s="49"/>
      <c r="F48" s="77"/>
      <c r="G48" s="115"/>
      <c r="H48" s="49"/>
      <c r="K48" s="40" t="s">
        <v>314</v>
      </c>
      <c r="L48" s="40">
        <f t="shared" si="8"/>
        <v>0</v>
      </c>
      <c r="M48" s="40" t="s">
        <v>314</v>
      </c>
      <c r="N48" s="40">
        <f t="shared" si="9"/>
        <v>0</v>
      </c>
      <c r="O48" s="40" t="s">
        <v>36</v>
      </c>
      <c r="P48" s="40">
        <f t="shared" si="10"/>
        <v>0</v>
      </c>
      <c r="Q48" s="40" t="s">
        <v>36</v>
      </c>
      <c r="R48" s="40">
        <f t="shared" si="11"/>
        <v>0</v>
      </c>
    </row>
    <row r="49" spans="1:25">
      <c r="A49" s="95"/>
      <c r="B49" s="49"/>
      <c r="C49" s="49"/>
      <c r="D49" s="49"/>
      <c r="E49" s="49"/>
      <c r="F49" s="77"/>
      <c r="G49" s="83"/>
      <c r="H49" s="49"/>
      <c r="K49" s="40" t="s">
        <v>93</v>
      </c>
      <c r="L49" s="40">
        <f t="shared" si="8"/>
        <v>0</v>
      </c>
      <c r="M49" s="40" t="s">
        <v>93</v>
      </c>
      <c r="N49" s="40">
        <f t="shared" si="9"/>
        <v>0</v>
      </c>
      <c r="O49" s="40" t="s">
        <v>1328</v>
      </c>
      <c r="P49" s="40">
        <f t="shared" si="10"/>
        <v>0</v>
      </c>
      <c r="Q49" s="40" t="s">
        <v>1328</v>
      </c>
      <c r="R49" s="40">
        <f t="shared" si="11"/>
        <v>0</v>
      </c>
    </row>
    <row r="50" spans="1:25">
      <c r="A50" s="104"/>
      <c r="B50" s="49"/>
      <c r="C50" s="49"/>
      <c r="D50" s="49"/>
      <c r="E50" s="49"/>
      <c r="F50" s="49"/>
      <c r="G50" s="50"/>
      <c r="H50" s="49"/>
      <c r="K50" s="40" t="s">
        <v>1265</v>
      </c>
      <c r="L50" s="40">
        <f t="shared" si="8"/>
        <v>0</v>
      </c>
      <c r="M50" s="40" t="s">
        <v>1265</v>
      </c>
      <c r="N50" s="40">
        <f t="shared" si="9"/>
        <v>0</v>
      </c>
      <c r="P50" s="55"/>
      <c r="Q50" s="49"/>
      <c r="R50" s="49"/>
    </row>
    <row r="51" spans="1:25">
      <c r="A51" s="95"/>
      <c r="B51" s="49"/>
      <c r="C51" s="49"/>
      <c r="D51" s="49"/>
      <c r="E51" s="49"/>
      <c r="F51" s="77"/>
      <c r="G51" s="118"/>
      <c r="H51" s="49"/>
      <c r="K51" s="40" t="s">
        <v>25</v>
      </c>
      <c r="L51" s="40">
        <f t="shared" si="8"/>
        <v>0</v>
      </c>
      <c r="M51" s="40" t="s">
        <v>25</v>
      </c>
      <c r="N51" s="40">
        <f t="shared" si="9"/>
        <v>0</v>
      </c>
      <c r="P51" s="55"/>
      <c r="Q51" s="49"/>
      <c r="R51" s="49"/>
    </row>
    <row r="52" spans="1:25">
      <c r="A52" s="104"/>
      <c r="B52" s="49"/>
      <c r="C52" s="49"/>
      <c r="D52" s="49"/>
      <c r="E52" s="49"/>
      <c r="F52" s="49"/>
      <c r="G52" s="87"/>
      <c r="H52" s="49"/>
      <c r="I52" s="71"/>
      <c r="J52" s="71"/>
      <c r="K52" s="40" t="s">
        <v>774</v>
      </c>
      <c r="L52" s="40">
        <f t="shared" si="8"/>
        <v>0</v>
      </c>
      <c r="M52" s="40" t="s">
        <v>774</v>
      </c>
      <c r="N52" s="40">
        <f t="shared" si="9"/>
        <v>0</v>
      </c>
      <c r="P52" s="55"/>
      <c r="Q52" s="49"/>
      <c r="R52" s="49"/>
    </row>
    <row r="53" spans="1:25">
      <c r="A53" s="90"/>
      <c r="B53" s="49"/>
      <c r="C53" s="49"/>
      <c r="D53" s="49"/>
      <c r="E53" s="49"/>
      <c r="F53" s="49"/>
      <c r="G53" s="88"/>
      <c r="H53" s="49"/>
      <c r="I53" s="71"/>
      <c r="J53" s="71"/>
      <c r="K53" s="40" t="s">
        <v>516</v>
      </c>
      <c r="L53" s="40">
        <f t="shared" si="8"/>
        <v>0</v>
      </c>
      <c r="M53" s="40" t="s">
        <v>516</v>
      </c>
      <c r="N53" s="40">
        <f t="shared" si="9"/>
        <v>0</v>
      </c>
      <c r="P53" s="49"/>
      <c r="Q53" s="49"/>
      <c r="R53" s="49"/>
    </row>
    <row r="54" spans="1:25">
      <c r="A54" s="91"/>
      <c r="B54" s="49"/>
      <c r="C54" s="49"/>
      <c r="D54" s="49"/>
      <c r="E54" s="49"/>
      <c r="F54" s="49"/>
      <c r="G54" s="87"/>
      <c r="H54" s="49"/>
      <c r="I54" s="71"/>
      <c r="J54" s="71"/>
      <c r="K54" s="40" t="s">
        <v>153</v>
      </c>
      <c r="L54" s="40">
        <f t="shared" si="8"/>
        <v>0</v>
      </c>
      <c r="M54" s="40" t="s">
        <v>153</v>
      </c>
      <c r="N54" s="40">
        <f t="shared" si="9"/>
        <v>0</v>
      </c>
      <c r="P54" s="49"/>
      <c r="Q54" s="49"/>
      <c r="R54" s="49"/>
    </row>
    <row r="55" spans="1:25">
      <c r="A55" s="95"/>
      <c r="B55" s="73"/>
      <c r="C55" s="49"/>
      <c r="D55" s="49"/>
      <c r="E55" s="49"/>
      <c r="F55" s="76"/>
      <c r="G55" s="49"/>
      <c r="H55" s="49"/>
      <c r="I55" s="71"/>
      <c r="J55" s="71"/>
      <c r="K55" s="40" t="s">
        <v>1349</v>
      </c>
      <c r="L55" s="40">
        <f t="shared" si="8"/>
        <v>0</v>
      </c>
      <c r="M55" s="40" t="s">
        <v>1349</v>
      </c>
      <c r="N55" s="40">
        <f t="shared" si="9"/>
        <v>0</v>
      </c>
      <c r="P55" s="49"/>
      <c r="Q55" s="49"/>
      <c r="R55" s="49"/>
    </row>
    <row r="56" spans="1:25">
      <c r="A56" s="91"/>
      <c r="B56" s="49"/>
      <c r="C56" s="49"/>
      <c r="D56" s="49"/>
      <c r="E56" s="49"/>
      <c r="F56" s="49"/>
      <c r="G56" s="49"/>
      <c r="H56" s="49"/>
      <c r="I56" s="71"/>
      <c r="J56" s="71"/>
      <c r="K56" s="40" t="s">
        <v>1129</v>
      </c>
      <c r="L56" s="40">
        <f t="shared" si="8"/>
        <v>0</v>
      </c>
      <c r="M56" s="40" t="s">
        <v>1129</v>
      </c>
      <c r="N56" s="40">
        <f t="shared" si="9"/>
        <v>0</v>
      </c>
      <c r="P56" s="49"/>
      <c r="Q56" s="49"/>
      <c r="R56" s="49"/>
    </row>
    <row r="57" spans="1:25">
      <c r="A57" s="118"/>
      <c r="B57" s="49"/>
      <c r="C57" s="49"/>
      <c r="D57" s="49"/>
      <c r="E57" s="49"/>
      <c r="F57" s="49"/>
      <c r="G57" s="49"/>
      <c r="H57" s="49"/>
      <c r="I57" s="71"/>
      <c r="J57" s="71"/>
      <c r="K57" s="40" t="s">
        <v>312</v>
      </c>
      <c r="L57" s="40">
        <f t="shared" si="8"/>
        <v>0</v>
      </c>
      <c r="M57" s="40" t="s">
        <v>312</v>
      </c>
      <c r="N57" s="40">
        <f t="shared" si="9"/>
        <v>0</v>
      </c>
      <c r="P57" s="49"/>
      <c r="Q57" s="49"/>
      <c r="R57" s="49"/>
    </row>
    <row r="58" spans="1:25">
      <c r="A58" s="100"/>
      <c r="B58" s="49"/>
      <c r="C58" s="49"/>
      <c r="D58" s="49"/>
      <c r="E58" s="49"/>
      <c r="F58" s="49"/>
      <c r="G58" s="49"/>
      <c r="H58" s="49"/>
      <c r="K58" s="40" t="s">
        <v>864</v>
      </c>
      <c r="L58" s="40">
        <f t="shared" si="8"/>
        <v>0</v>
      </c>
      <c r="M58" s="40" t="s">
        <v>864</v>
      </c>
      <c r="N58" s="40">
        <f t="shared" si="9"/>
        <v>0</v>
      </c>
      <c r="P58" s="49"/>
      <c r="Q58" s="49"/>
      <c r="R58" s="49"/>
    </row>
    <row r="59" spans="1:25">
      <c r="A59" s="125"/>
      <c r="B59" s="49"/>
      <c r="C59" s="49"/>
      <c r="D59" s="49"/>
      <c r="E59" s="49"/>
      <c r="F59" s="49"/>
      <c r="G59" s="49"/>
      <c r="H59" s="49"/>
      <c r="L59" s="40">
        <f>SUM(L44:L58)</f>
        <v>0</v>
      </c>
      <c r="N59" s="40">
        <f>SUM(N44:N58)</f>
        <v>0</v>
      </c>
      <c r="P59" s="40">
        <f>SUM(P44:P58)</f>
        <v>0</v>
      </c>
      <c r="Q59" s="49"/>
      <c r="R59" s="40">
        <f>SUM(R44:R58)</f>
        <v>0</v>
      </c>
      <c r="V59" s="71"/>
      <c r="W59" s="71"/>
      <c r="X59" s="71"/>
      <c r="Y59" s="71"/>
    </row>
    <row r="60" spans="1:25">
      <c r="A60" s="126"/>
      <c r="B60" s="49"/>
      <c r="C60" s="49"/>
      <c r="D60" s="49"/>
      <c r="E60" s="49"/>
      <c r="F60" s="49"/>
      <c r="G60" s="49"/>
      <c r="H60" s="49"/>
      <c r="I60" s="49"/>
      <c r="J60" s="49"/>
      <c r="K60" s="49"/>
      <c r="L60" s="49"/>
      <c r="M60" s="49"/>
      <c r="N60" s="49"/>
      <c r="O60" s="49"/>
      <c r="P60" s="49"/>
      <c r="Q60" s="49"/>
      <c r="R60" s="49"/>
      <c r="S60" s="49"/>
      <c r="T60" s="71"/>
      <c r="U60" s="71"/>
      <c r="V60" s="71"/>
      <c r="W60" s="71"/>
      <c r="X60" s="71"/>
      <c r="Y60" s="71"/>
    </row>
    <row r="61" spans="1:25">
      <c r="A61" s="79"/>
      <c r="B61" s="73"/>
      <c r="C61" s="73"/>
      <c r="D61" s="73"/>
      <c r="E61" s="73"/>
      <c r="F61" s="73"/>
      <c r="G61" s="73"/>
      <c r="H61" s="73"/>
      <c r="I61" s="73"/>
      <c r="J61" s="73"/>
      <c r="K61" s="73"/>
      <c r="L61" s="73"/>
      <c r="M61" s="73"/>
      <c r="N61" s="73"/>
      <c r="O61" s="73"/>
      <c r="P61" s="73"/>
      <c r="Q61" s="73"/>
      <c r="R61" s="73"/>
      <c r="S61" s="49"/>
      <c r="T61" s="71"/>
      <c r="U61" s="71"/>
      <c r="V61" s="71"/>
      <c r="W61" s="71"/>
      <c r="X61" s="71"/>
      <c r="Y61" s="71"/>
    </row>
    <row r="62" spans="1:25">
      <c r="A62" s="50"/>
      <c r="B62" s="73"/>
      <c r="C62" s="73"/>
      <c r="D62" s="73"/>
      <c r="E62" s="73"/>
      <c r="F62" s="73"/>
      <c r="G62" s="73"/>
      <c r="H62" s="73"/>
      <c r="I62" s="73"/>
      <c r="J62" s="73"/>
      <c r="K62" s="73"/>
      <c r="L62" s="73"/>
      <c r="M62" s="73"/>
      <c r="N62" s="73"/>
      <c r="O62" s="73"/>
      <c r="P62" s="73"/>
      <c r="Q62" s="73"/>
      <c r="R62" s="73"/>
      <c r="S62" s="49"/>
      <c r="T62" s="71"/>
      <c r="U62" s="71"/>
      <c r="V62" s="71"/>
      <c r="W62" s="71"/>
      <c r="X62" s="71"/>
      <c r="Y62" s="71"/>
    </row>
    <row r="63" spans="1:25">
      <c r="A63" s="119"/>
      <c r="B63" s="73"/>
      <c r="C63" s="73"/>
      <c r="D63" s="73"/>
      <c r="E63" s="73"/>
      <c r="F63" s="73"/>
      <c r="G63" s="73"/>
      <c r="H63" s="73"/>
      <c r="I63" s="73"/>
      <c r="J63" s="73"/>
      <c r="K63" s="73"/>
      <c r="L63" s="73"/>
      <c r="M63" s="73"/>
      <c r="N63" s="73"/>
      <c r="O63" s="73"/>
      <c r="P63" s="73"/>
      <c r="Q63" s="73"/>
      <c r="R63" s="73"/>
      <c r="S63" s="49"/>
      <c r="T63" s="71"/>
      <c r="U63" s="71"/>
      <c r="V63" s="71"/>
      <c r="W63" s="71"/>
      <c r="X63" s="71"/>
      <c r="Y63" s="71"/>
    </row>
    <row r="64" spans="1:25">
      <c r="A64" s="50"/>
      <c r="B64" s="73"/>
      <c r="C64" s="73"/>
      <c r="D64" s="73"/>
      <c r="E64" s="73"/>
      <c r="F64" s="73"/>
      <c r="G64" s="73"/>
      <c r="H64" s="73"/>
      <c r="I64" s="73"/>
      <c r="J64" s="73"/>
      <c r="K64" s="73"/>
      <c r="L64" s="73"/>
      <c r="M64" s="73"/>
      <c r="N64" s="73"/>
      <c r="O64" s="73"/>
      <c r="P64" s="73"/>
      <c r="Q64" s="73"/>
      <c r="R64" s="73"/>
      <c r="S64" s="49"/>
      <c r="T64" s="71"/>
      <c r="U64" s="71"/>
      <c r="V64" s="71"/>
      <c r="W64" s="71"/>
      <c r="X64" s="71"/>
      <c r="Y64" s="71"/>
    </row>
    <row r="65" spans="1:19">
      <c r="A65" s="119"/>
      <c r="B65" s="73"/>
      <c r="C65" s="73"/>
      <c r="D65" s="73"/>
      <c r="E65" s="73"/>
      <c r="F65" s="73"/>
      <c r="G65" s="73"/>
      <c r="H65" s="73"/>
      <c r="I65" s="73"/>
      <c r="J65" s="73"/>
      <c r="K65" s="73"/>
      <c r="L65" s="73"/>
      <c r="M65" s="73"/>
      <c r="N65" s="73"/>
      <c r="O65" s="73"/>
      <c r="P65" s="73"/>
      <c r="Q65" s="73"/>
      <c r="R65" s="73"/>
      <c r="S65" s="73"/>
    </row>
    <row r="66" spans="1:19">
      <c r="A66" s="73"/>
      <c r="B66" s="73"/>
      <c r="C66" s="73"/>
      <c r="D66" s="73"/>
      <c r="E66" s="73"/>
      <c r="F66" s="73"/>
      <c r="G66" s="73"/>
      <c r="H66" s="73"/>
      <c r="I66" s="73"/>
      <c r="J66" s="73"/>
      <c r="K66" s="73"/>
      <c r="L66" s="73"/>
      <c r="M66" s="73"/>
      <c r="N66" s="73"/>
      <c r="O66" s="73"/>
      <c r="P66" s="73"/>
      <c r="Q66" s="73"/>
      <c r="R66" s="73"/>
      <c r="S66" s="73"/>
    </row>
    <row r="67" spans="1:19">
      <c r="A67" s="73"/>
      <c r="B67" s="73"/>
      <c r="C67" s="73"/>
      <c r="D67" s="73"/>
      <c r="E67" s="73"/>
      <c r="F67" s="73"/>
      <c r="G67" s="73"/>
      <c r="H67" s="73"/>
      <c r="I67" s="73"/>
      <c r="J67" s="73"/>
      <c r="K67" s="73"/>
      <c r="L67" s="73"/>
      <c r="M67" s="73"/>
      <c r="N67" s="73"/>
      <c r="O67" s="73"/>
      <c r="P67" s="73"/>
      <c r="Q67" s="73"/>
      <c r="R67" s="73"/>
      <c r="S67" s="73"/>
    </row>
    <row r="68" spans="1:19">
      <c r="A68" s="73"/>
      <c r="B68" s="73"/>
      <c r="C68" s="73"/>
      <c r="D68" s="73"/>
      <c r="E68" s="73"/>
      <c r="F68" s="73"/>
      <c r="G68" s="73"/>
      <c r="H68" s="73"/>
      <c r="I68" s="73"/>
      <c r="J68" s="73"/>
      <c r="K68" s="73"/>
      <c r="L68" s="73"/>
      <c r="M68" s="73"/>
      <c r="N68" s="73"/>
      <c r="O68" s="73"/>
      <c r="P68" s="73"/>
      <c r="Q68" s="73"/>
      <c r="R68" s="73"/>
      <c r="S68" s="73"/>
    </row>
    <row r="69" spans="1:19">
      <c r="A69" s="73"/>
      <c r="B69" s="73"/>
      <c r="C69" s="73"/>
      <c r="D69" s="73"/>
      <c r="E69" s="73"/>
      <c r="F69" s="73"/>
      <c r="G69" s="73"/>
      <c r="H69" s="73"/>
      <c r="I69" s="73"/>
      <c r="J69" s="73"/>
      <c r="K69" s="73"/>
      <c r="L69" s="73"/>
      <c r="M69" s="73"/>
      <c r="N69" s="73"/>
      <c r="O69" s="73"/>
      <c r="P69" s="73"/>
      <c r="Q69" s="73"/>
      <c r="R69" s="73"/>
      <c r="S69" s="73"/>
    </row>
    <row r="70" spans="1:19">
      <c r="A70" s="73"/>
      <c r="B70" s="73"/>
      <c r="C70" s="73"/>
      <c r="D70" s="73"/>
      <c r="E70" s="73"/>
      <c r="F70" s="73"/>
      <c r="G70" s="73"/>
      <c r="H70" s="73"/>
      <c r="I70" s="73"/>
      <c r="J70" s="73"/>
      <c r="K70" s="73"/>
      <c r="L70" s="73"/>
      <c r="M70" s="73"/>
      <c r="N70" s="73"/>
      <c r="O70" s="73"/>
      <c r="P70" s="73"/>
      <c r="Q70" s="73"/>
      <c r="R70" s="73"/>
      <c r="S70" s="73"/>
    </row>
    <row r="71" spans="1:19">
      <c r="S71" s="73"/>
    </row>
    <row r="72" spans="1:19">
      <c r="S72" s="73"/>
    </row>
    <row r="73" spans="1:19">
      <c r="S73" s="73"/>
    </row>
    <row r="74" spans="1:19">
      <c r="S74" s="73"/>
    </row>
  </sheetData>
  <mergeCells count="3">
    <mergeCell ref="G1:H1"/>
    <mergeCell ref="K1:M1"/>
    <mergeCell ref="Q31:R31"/>
  </mergeCells>
  <phoneticPr fontId="2"/>
  <pageMargins left="0.23622047244094491" right="0.23622047244094491" top="0" bottom="0" header="0.31496062992125984" footer="0.31496062992125984"/>
  <pageSetup paperSize="9" orientation="landscape"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A5F96-8D76-44E6-AA49-AC871B059E42}">
  <dimension ref="A1:AE73"/>
  <sheetViews>
    <sheetView zoomScale="90" zoomScaleNormal="90" workbookViewId="0">
      <selection activeCell="T11" sqref="T11"/>
    </sheetView>
  </sheetViews>
  <sheetFormatPr defaultColWidth="9" defaultRowHeight="18.75"/>
  <cols>
    <col min="1" max="18" width="6.625" style="40" customWidth="1"/>
    <col min="19" max="19" width="3.625" style="40" customWidth="1"/>
    <col min="20" max="20" width="6.625" style="40" customWidth="1"/>
    <col min="21" max="21" width="3.625" style="40" customWidth="1"/>
    <col min="22" max="37" width="6.625" style="40" customWidth="1"/>
    <col min="38" max="38" width="3.625" style="40" customWidth="1"/>
    <col min="39" max="16384" width="9" style="40"/>
  </cols>
  <sheetData>
    <row r="1" spans="1:31">
      <c r="A1" s="147" t="s">
        <v>985</v>
      </c>
      <c r="B1" s="147"/>
      <c r="C1" s="147"/>
      <c r="D1" s="147"/>
      <c r="E1" s="147"/>
      <c r="F1" s="147"/>
      <c r="G1" s="147"/>
      <c r="H1" s="147"/>
      <c r="I1" s="147"/>
      <c r="J1" s="147"/>
      <c r="K1" s="147"/>
      <c r="L1" s="147"/>
      <c r="M1" s="147"/>
      <c r="N1" s="147"/>
      <c r="O1" s="147"/>
      <c r="P1" s="147"/>
      <c r="Q1" s="147"/>
      <c r="R1" s="147"/>
      <c r="X1" s="40" t="s">
        <v>779</v>
      </c>
    </row>
    <row r="2" spans="1:31" ht="16.5" customHeight="1">
      <c r="A2" s="26" t="s">
        <v>325</v>
      </c>
      <c r="B2" s="31">
        <v>45403</v>
      </c>
      <c r="C2" s="27">
        <v>45404</v>
      </c>
      <c r="D2" s="27">
        <v>45405</v>
      </c>
      <c r="E2" s="27">
        <v>45406</v>
      </c>
      <c r="F2" s="27">
        <v>45407</v>
      </c>
      <c r="G2" s="27">
        <v>45408</v>
      </c>
      <c r="H2" s="31">
        <v>45409</v>
      </c>
      <c r="I2" s="31">
        <v>45410</v>
      </c>
      <c r="J2" s="27">
        <v>45411</v>
      </c>
      <c r="K2" s="27">
        <v>45412</v>
      </c>
      <c r="L2" s="27"/>
      <c r="M2" s="23" t="s">
        <v>354</v>
      </c>
      <c r="N2" s="25">
        <v>45413</v>
      </c>
      <c r="O2" s="25">
        <v>45414</v>
      </c>
      <c r="P2" s="25">
        <v>45415</v>
      </c>
      <c r="Q2" s="30">
        <v>45416</v>
      </c>
      <c r="R2" s="30">
        <v>45417</v>
      </c>
      <c r="V2" s="40" t="s">
        <v>63</v>
      </c>
      <c r="X2" s="40" t="s">
        <v>64</v>
      </c>
      <c r="Z2" s="40" t="s">
        <v>65</v>
      </c>
      <c r="AB2" s="40" t="s">
        <v>169</v>
      </c>
      <c r="AD2" s="40" t="s">
        <v>874</v>
      </c>
    </row>
    <row r="3" spans="1:31" ht="16.5" customHeight="1">
      <c r="A3" s="28">
        <v>1</v>
      </c>
      <c r="B3" s="19" t="s">
        <v>107</v>
      </c>
      <c r="C3" s="19"/>
      <c r="D3" s="19"/>
      <c r="E3" s="19"/>
      <c r="F3" s="19"/>
      <c r="G3" s="19"/>
      <c r="H3" s="19" t="s">
        <v>1032</v>
      </c>
      <c r="I3" s="19" t="s">
        <v>899</v>
      </c>
      <c r="J3" s="19"/>
      <c r="K3" s="19"/>
      <c r="L3" s="19"/>
      <c r="M3" s="36"/>
      <c r="N3" s="81"/>
      <c r="O3" s="81"/>
      <c r="P3" s="81"/>
      <c r="Q3" s="81"/>
      <c r="R3" s="81"/>
      <c r="V3" s="40" t="s">
        <v>25</v>
      </c>
      <c r="W3" s="40">
        <v>1</v>
      </c>
      <c r="X3" s="40" t="s">
        <v>93</v>
      </c>
      <c r="Y3" s="40">
        <v>2</v>
      </c>
      <c r="Z3" s="40" t="s">
        <v>6</v>
      </c>
      <c r="AA3" s="40">
        <v>2</v>
      </c>
      <c r="AB3" s="40" t="s">
        <v>153</v>
      </c>
      <c r="AC3" s="40">
        <v>7</v>
      </c>
      <c r="AD3" s="40" t="s">
        <v>37</v>
      </c>
      <c r="AE3" s="40">
        <v>1</v>
      </c>
    </row>
    <row r="4" spans="1:31" ht="16.5" customHeight="1">
      <c r="A4" s="28">
        <v>2</v>
      </c>
      <c r="B4" s="19" t="s">
        <v>153</v>
      </c>
      <c r="C4" s="19"/>
      <c r="D4" s="19"/>
      <c r="E4" s="19"/>
      <c r="F4" s="19"/>
      <c r="G4" s="61"/>
      <c r="H4" s="19" t="s">
        <v>314</v>
      </c>
      <c r="I4" s="19" t="s">
        <v>864</v>
      </c>
      <c r="J4" s="19"/>
      <c r="K4" s="19"/>
      <c r="L4" s="19"/>
      <c r="M4" s="36"/>
      <c r="N4" s="81"/>
      <c r="O4" s="81"/>
      <c r="P4" s="81"/>
      <c r="Q4" s="81"/>
      <c r="R4" s="81"/>
      <c r="T4" s="41"/>
      <c r="U4" s="41"/>
      <c r="V4" s="40" t="s">
        <v>2</v>
      </c>
      <c r="W4" s="40">
        <v>2</v>
      </c>
      <c r="X4" s="40" t="s">
        <v>14</v>
      </c>
      <c r="Y4" s="40">
        <v>2</v>
      </c>
      <c r="Z4" s="40" t="s">
        <v>1065</v>
      </c>
      <c r="AA4" s="40">
        <v>4</v>
      </c>
      <c r="AB4" s="40" t="s">
        <v>26</v>
      </c>
      <c r="AC4" s="40">
        <v>2</v>
      </c>
      <c r="AD4" s="40" t="s">
        <v>863</v>
      </c>
      <c r="AE4" s="40">
        <v>7</v>
      </c>
    </row>
    <row r="5" spans="1:31" ht="16.5" customHeight="1">
      <c r="A5" s="28">
        <v>3</v>
      </c>
      <c r="B5" s="19" t="s">
        <v>1157</v>
      </c>
      <c r="C5" s="19"/>
      <c r="D5" s="19"/>
      <c r="E5" s="19"/>
      <c r="F5" s="19"/>
      <c r="G5" s="19"/>
      <c r="H5" s="19" t="s">
        <v>1065</v>
      </c>
      <c r="I5" s="19" t="s">
        <v>1156</v>
      </c>
      <c r="J5" s="19"/>
      <c r="K5" s="19"/>
      <c r="L5" s="19"/>
      <c r="M5" s="36"/>
      <c r="N5" s="81"/>
      <c r="O5" s="81"/>
      <c r="P5" s="81"/>
      <c r="Q5" s="81"/>
      <c r="R5" s="81"/>
      <c r="T5" s="41"/>
      <c r="U5" s="41"/>
      <c r="V5" s="40" t="s">
        <v>516</v>
      </c>
      <c r="W5" s="40">
        <v>1</v>
      </c>
      <c r="X5" s="40" t="s">
        <v>23</v>
      </c>
      <c r="Y5" s="40">
        <v>0</v>
      </c>
      <c r="Z5" s="40" t="s">
        <v>863</v>
      </c>
      <c r="AA5" s="40">
        <v>3</v>
      </c>
      <c r="AB5" s="40" t="s">
        <v>1032</v>
      </c>
      <c r="AC5" s="40">
        <v>4</v>
      </c>
      <c r="AD5" s="40" t="s">
        <v>875</v>
      </c>
      <c r="AE5" s="40" t="s">
        <v>895</v>
      </c>
    </row>
    <row r="6" spans="1:31" ht="16.5" customHeight="1">
      <c r="A6" s="28" t="s">
        <v>20</v>
      </c>
      <c r="B6" s="19" t="s">
        <v>769</v>
      </c>
      <c r="C6" s="19" t="s">
        <v>516</v>
      </c>
      <c r="D6" s="19" t="s">
        <v>13</v>
      </c>
      <c r="E6" s="19" t="s">
        <v>13</v>
      </c>
      <c r="F6" s="19" t="s">
        <v>13</v>
      </c>
      <c r="G6" s="19" t="s">
        <v>13</v>
      </c>
      <c r="H6" s="19" t="s">
        <v>13</v>
      </c>
      <c r="I6" s="19" t="s">
        <v>13</v>
      </c>
      <c r="J6" s="19" t="s">
        <v>774</v>
      </c>
      <c r="K6" s="19" t="s">
        <v>13</v>
      </c>
      <c r="L6" s="19"/>
      <c r="M6" s="36"/>
      <c r="N6" s="81"/>
      <c r="O6" s="81"/>
      <c r="P6" s="81"/>
      <c r="Q6" s="81"/>
      <c r="R6" s="81"/>
      <c r="T6" s="41"/>
      <c r="U6" s="41"/>
      <c r="V6" s="40" t="s">
        <v>7</v>
      </c>
      <c r="W6" s="40">
        <v>2</v>
      </c>
      <c r="X6" s="40" t="s">
        <v>153</v>
      </c>
      <c r="Y6" s="40">
        <v>2</v>
      </c>
      <c r="Z6" s="40" t="s">
        <v>37</v>
      </c>
      <c r="AA6" s="68">
        <v>3</v>
      </c>
      <c r="AB6" s="40" t="s">
        <v>23</v>
      </c>
      <c r="AC6" s="68">
        <v>9</v>
      </c>
      <c r="AD6" s="40" t="s">
        <v>356</v>
      </c>
      <c r="AE6" s="40" t="s">
        <v>931</v>
      </c>
    </row>
    <row r="7" spans="1:31" ht="16.5" customHeight="1">
      <c r="A7" s="28" t="s">
        <v>0</v>
      </c>
      <c r="B7" s="19" t="s">
        <v>9</v>
      </c>
      <c r="C7" s="19" t="s">
        <v>1153</v>
      </c>
      <c r="D7" s="19" t="s">
        <v>13</v>
      </c>
      <c r="E7" s="19" t="s">
        <v>13</v>
      </c>
      <c r="F7" s="19" t="s">
        <v>13</v>
      </c>
      <c r="G7" s="19" t="s">
        <v>13</v>
      </c>
      <c r="H7" s="19" t="s">
        <v>1154</v>
      </c>
      <c r="I7" s="19" t="s">
        <v>13</v>
      </c>
      <c r="J7" s="19" t="s">
        <v>1155</v>
      </c>
      <c r="K7" s="19" t="s">
        <v>13</v>
      </c>
      <c r="L7" s="19"/>
      <c r="M7" s="36"/>
      <c r="N7" s="81"/>
      <c r="O7" s="81"/>
      <c r="P7" s="81"/>
      <c r="Q7" s="81"/>
      <c r="R7" s="81"/>
      <c r="T7" s="41"/>
      <c r="U7" s="41"/>
      <c r="V7" s="40" t="s">
        <v>21</v>
      </c>
      <c r="W7" s="40">
        <v>2</v>
      </c>
      <c r="X7" s="40" t="s">
        <v>327</v>
      </c>
      <c r="Y7" s="40">
        <v>0</v>
      </c>
      <c r="Z7" s="40" t="s">
        <v>875</v>
      </c>
      <c r="AA7" s="40">
        <v>2</v>
      </c>
      <c r="AB7" s="40" t="s">
        <v>25</v>
      </c>
      <c r="AC7" s="40">
        <v>6</v>
      </c>
      <c r="AD7" s="40" t="s">
        <v>6</v>
      </c>
      <c r="AE7" s="40">
        <v>5</v>
      </c>
    </row>
    <row r="8" spans="1:31" ht="16.5" customHeight="1">
      <c r="A8" s="28" t="s">
        <v>1</v>
      </c>
      <c r="B8" s="19"/>
      <c r="C8" s="19"/>
      <c r="D8" s="19"/>
      <c r="E8" s="19"/>
      <c r="F8" s="19"/>
      <c r="G8" s="19"/>
      <c r="H8" s="19"/>
      <c r="I8" s="19"/>
      <c r="J8" s="19"/>
      <c r="K8" s="19"/>
      <c r="L8" s="19"/>
      <c r="M8" s="36"/>
      <c r="N8" s="81"/>
      <c r="O8" s="81"/>
      <c r="P8" s="81"/>
      <c r="Q8" s="81"/>
      <c r="R8" s="81"/>
      <c r="T8" s="41"/>
      <c r="V8" s="40" t="s">
        <v>26</v>
      </c>
      <c r="W8" s="40">
        <v>2</v>
      </c>
      <c r="X8" s="40" t="s">
        <v>28</v>
      </c>
      <c r="Y8" s="40">
        <v>2</v>
      </c>
      <c r="Z8" s="40" t="s">
        <v>36</v>
      </c>
      <c r="AA8" s="64">
        <v>3</v>
      </c>
      <c r="AB8" s="40" t="s">
        <v>327</v>
      </c>
      <c r="AC8" s="64">
        <v>1</v>
      </c>
    </row>
    <row r="9" spans="1:31" ht="16.5" customHeight="1">
      <c r="A9" s="28" t="s">
        <v>366</v>
      </c>
      <c r="B9" s="19"/>
      <c r="C9" s="19"/>
      <c r="D9" s="19"/>
      <c r="E9" s="19"/>
      <c r="F9" s="19"/>
      <c r="G9" s="19"/>
      <c r="H9" s="19"/>
      <c r="I9" s="19"/>
      <c r="J9" s="19"/>
      <c r="K9" s="19"/>
      <c r="L9" s="19"/>
      <c r="M9" s="36"/>
      <c r="N9" s="81"/>
      <c r="O9" s="81"/>
      <c r="P9" s="81"/>
      <c r="Q9" s="81"/>
      <c r="R9" s="81"/>
      <c r="T9" s="41"/>
      <c r="V9" s="40" t="s">
        <v>27</v>
      </c>
      <c r="W9" s="40">
        <v>2</v>
      </c>
      <c r="X9" s="40" t="s">
        <v>152</v>
      </c>
      <c r="Y9" s="40">
        <v>2</v>
      </c>
      <c r="AB9" s="40" t="s">
        <v>516</v>
      </c>
      <c r="AC9" s="40">
        <v>3</v>
      </c>
    </row>
    <row r="10" spans="1:31" ht="16.5" customHeight="1">
      <c r="A10" s="23" t="s">
        <v>354</v>
      </c>
      <c r="B10" s="25">
        <v>45418</v>
      </c>
      <c r="C10" s="25">
        <v>45419</v>
      </c>
      <c r="D10" s="25">
        <v>45420</v>
      </c>
      <c r="E10" s="25">
        <v>45421</v>
      </c>
      <c r="F10" s="25">
        <v>45422</v>
      </c>
      <c r="G10" s="30">
        <v>45423</v>
      </c>
      <c r="H10" s="30">
        <v>45424</v>
      </c>
      <c r="I10" s="25">
        <v>45425</v>
      </c>
      <c r="J10" s="25">
        <v>45426</v>
      </c>
      <c r="K10" s="25">
        <v>45427</v>
      </c>
      <c r="L10" s="25">
        <v>45428</v>
      </c>
      <c r="M10" s="25">
        <v>45429</v>
      </c>
      <c r="N10" s="30">
        <v>45430</v>
      </c>
      <c r="O10" s="30">
        <v>45431</v>
      </c>
      <c r="P10" s="25">
        <v>45432</v>
      </c>
      <c r="Q10" s="19"/>
      <c r="R10" s="19"/>
      <c r="T10" s="41"/>
      <c r="V10" s="40" t="s">
        <v>533</v>
      </c>
      <c r="W10" s="40">
        <v>0</v>
      </c>
      <c r="X10" s="40" t="s">
        <v>864</v>
      </c>
      <c r="Y10" s="40">
        <v>1</v>
      </c>
      <c r="AB10" s="40" t="s">
        <v>864</v>
      </c>
      <c r="AC10" s="40">
        <v>8</v>
      </c>
    </row>
    <row r="11" spans="1:31" ht="16.5" customHeight="1">
      <c r="A11" s="36">
        <v>1</v>
      </c>
      <c r="B11" s="19"/>
      <c r="C11" s="19"/>
      <c r="D11" s="19"/>
      <c r="E11" s="19"/>
      <c r="F11" s="19"/>
      <c r="G11" s="19" t="s">
        <v>7</v>
      </c>
      <c r="H11" s="19" t="s">
        <v>2</v>
      </c>
      <c r="I11" s="19"/>
      <c r="J11" s="19"/>
      <c r="K11" s="19"/>
      <c r="L11" s="19"/>
      <c r="N11" s="19" t="s">
        <v>769</v>
      </c>
      <c r="O11" s="19" t="s">
        <v>516</v>
      </c>
      <c r="P11" s="19"/>
      <c r="Q11" s="19"/>
      <c r="R11" s="19"/>
      <c r="T11" s="41"/>
      <c r="V11" s="40" t="s">
        <v>774</v>
      </c>
      <c r="W11" s="40">
        <v>2</v>
      </c>
      <c r="X11" s="40" t="s">
        <v>1032</v>
      </c>
      <c r="Y11" s="40">
        <v>2</v>
      </c>
      <c r="AB11" s="40" t="s">
        <v>1114</v>
      </c>
      <c r="AC11" s="40">
        <v>5</v>
      </c>
    </row>
    <row r="12" spans="1:31" ht="16.5" customHeight="1">
      <c r="A12" s="36">
        <v>2</v>
      </c>
      <c r="B12" s="19"/>
      <c r="C12" s="19"/>
      <c r="D12" s="19"/>
      <c r="E12" s="19"/>
      <c r="F12" s="19"/>
      <c r="G12" s="19" t="s">
        <v>313</v>
      </c>
      <c r="H12" s="19" t="s">
        <v>93</v>
      </c>
      <c r="I12" s="19"/>
      <c r="J12" s="19"/>
      <c r="K12" s="19"/>
      <c r="L12" s="19"/>
      <c r="M12" s="19"/>
      <c r="N12" s="19" t="s">
        <v>1129</v>
      </c>
      <c r="O12" s="19" t="s">
        <v>14</v>
      </c>
      <c r="P12" s="19"/>
      <c r="Q12" s="19"/>
      <c r="R12" s="19"/>
      <c r="T12" s="41"/>
      <c r="V12" s="40" t="s">
        <v>769</v>
      </c>
      <c r="W12" s="40">
        <v>2</v>
      </c>
      <c r="X12" s="40" t="s">
        <v>516</v>
      </c>
      <c r="Y12" s="40">
        <v>1</v>
      </c>
    </row>
    <row r="13" spans="1:31" ht="16.5" customHeight="1">
      <c r="A13" s="36">
        <v>3</v>
      </c>
      <c r="B13" s="19"/>
      <c r="C13" s="19"/>
      <c r="D13" s="19"/>
      <c r="E13" s="19"/>
      <c r="F13" s="19"/>
      <c r="G13" s="19" t="s">
        <v>36</v>
      </c>
      <c r="H13" s="19" t="s">
        <v>37</v>
      </c>
      <c r="I13" s="19"/>
      <c r="J13" s="19"/>
      <c r="K13" s="19"/>
      <c r="L13" s="19"/>
      <c r="M13" s="19"/>
      <c r="N13" s="19" t="s">
        <v>1157</v>
      </c>
      <c r="O13" s="19" t="s">
        <v>863</v>
      </c>
      <c r="P13" s="19"/>
      <c r="Q13" s="19"/>
      <c r="R13" s="19"/>
      <c r="T13" s="41"/>
      <c r="V13" s="40" t="s">
        <v>314</v>
      </c>
      <c r="W13" s="40">
        <v>0</v>
      </c>
      <c r="X13" s="40" t="s">
        <v>1114</v>
      </c>
      <c r="Y13" s="40">
        <v>2</v>
      </c>
    </row>
    <row r="14" spans="1:31" ht="16.5" customHeight="1">
      <c r="A14" s="36" t="s">
        <v>20</v>
      </c>
      <c r="B14" s="19" t="s">
        <v>774</v>
      </c>
      <c r="C14" s="19" t="s">
        <v>13</v>
      </c>
      <c r="D14" s="19" t="s">
        <v>13</v>
      </c>
      <c r="E14" s="19" t="s">
        <v>13</v>
      </c>
      <c r="F14" s="19" t="s">
        <v>13</v>
      </c>
      <c r="G14" s="19" t="s">
        <v>13</v>
      </c>
      <c r="H14" s="19" t="s">
        <v>13</v>
      </c>
      <c r="I14" s="19" t="s">
        <v>312</v>
      </c>
      <c r="J14" s="19" t="s">
        <v>13</v>
      </c>
      <c r="K14" s="19" t="s">
        <v>13</v>
      </c>
      <c r="L14" s="19" t="s">
        <v>13</v>
      </c>
      <c r="M14" s="19" t="s">
        <v>13</v>
      </c>
      <c r="N14" s="19" t="s">
        <v>13</v>
      </c>
      <c r="O14" s="19" t="s">
        <v>13</v>
      </c>
      <c r="P14" s="19" t="s">
        <v>1032</v>
      </c>
      <c r="Q14" s="19"/>
      <c r="R14" s="19"/>
      <c r="T14" s="41"/>
      <c r="V14" s="40" t="s">
        <v>864</v>
      </c>
      <c r="W14" s="40">
        <v>1</v>
      </c>
      <c r="X14" s="40" t="s">
        <v>25</v>
      </c>
      <c r="Y14" s="40">
        <v>1</v>
      </c>
    </row>
    <row r="15" spans="1:31" ht="16.5" customHeight="1">
      <c r="A15" s="36" t="s">
        <v>0</v>
      </c>
      <c r="B15" s="19" t="s">
        <v>1153</v>
      </c>
      <c r="C15" s="19" t="s">
        <v>13</v>
      </c>
      <c r="D15" s="19" t="s">
        <v>13</v>
      </c>
      <c r="E15" s="19" t="s">
        <v>13</v>
      </c>
      <c r="F15" s="19" t="s">
        <v>13</v>
      </c>
      <c r="G15" s="19" t="s">
        <v>1154</v>
      </c>
      <c r="H15" s="19" t="s">
        <v>13</v>
      </c>
      <c r="I15" s="19" t="s">
        <v>1156</v>
      </c>
      <c r="J15" s="19" t="s">
        <v>13</v>
      </c>
      <c r="K15" s="19" t="s">
        <v>13</v>
      </c>
      <c r="L15" s="19" t="s">
        <v>13</v>
      </c>
      <c r="M15" s="19" t="s">
        <v>13</v>
      </c>
      <c r="N15" s="19" t="s">
        <v>1154</v>
      </c>
      <c r="O15" s="19" t="s">
        <v>13</v>
      </c>
      <c r="P15" s="19" t="s">
        <v>1153</v>
      </c>
      <c r="Q15" s="19"/>
      <c r="R15" s="19"/>
      <c r="T15" s="41"/>
      <c r="V15" s="40" t="s">
        <v>780</v>
      </c>
      <c r="W15" s="40">
        <f>SUM(W2:W14)</f>
        <v>17</v>
      </c>
      <c r="Y15" s="40">
        <f>SUM(Y2:Y14)</f>
        <v>17</v>
      </c>
      <c r="AA15" s="40">
        <f>SUM(AA2:AA14)</f>
        <v>17</v>
      </c>
    </row>
    <row r="16" spans="1:31" ht="16.5" customHeight="1">
      <c r="A16" s="36" t="s">
        <v>1</v>
      </c>
      <c r="B16" s="19"/>
      <c r="C16" s="19"/>
      <c r="D16" s="19"/>
      <c r="E16" s="19"/>
      <c r="F16" s="19"/>
      <c r="G16" s="19"/>
      <c r="H16" s="19"/>
      <c r="I16" s="19"/>
      <c r="J16" s="19"/>
      <c r="K16" s="19"/>
      <c r="L16" s="19"/>
      <c r="M16" s="19"/>
      <c r="N16" s="19"/>
      <c r="O16" s="19"/>
      <c r="P16" s="19"/>
      <c r="Q16" s="19"/>
      <c r="R16" s="19"/>
      <c r="T16" s="41"/>
    </row>
    <row r="17" spans="1:31" ht="16.5" customHeight="1">
      <c r="A17" s="36" t="s">
        <v>366</v>
      </c>
      <c r="B17" s="19"/>
      <c r="C17" s="19"/>
      <c r="D17" s="19"/>
      <c r="E17" s="19"/>
      <c r="F17" s="19"/>
      <c r="G17" s="19"/>
      <c r="H17" s="19"/>
      <c r="I17" s="19"/>
      <c r="J17" s="19"/>
      <c r="K17" s="19"/>
      <c r="L17" s="19"/>
      <c r="M17" s="19"/>
      <c r="N17" s="19"/>
      <c r="O17" s="19"/>
      <c r="P17" s="19"/>
      <c r="Q17" s="19"/>
      <c r="R17" s="19"/>
      <c r="T17" s="41"/>
    </row>
    <row r="18" spans="1:31" ht="11.25" customHeight="1">
      <c r="A18" s="42"/>
      <c r="B18" s="37"/>
      <c r="C18" s="37"/>
      <c r="D18" s="37"/>
      <c r="E18" s="37"/>
      <c r="F18" s="37"/>
      <c r="G18" s="37"/>
      <c r="H18" s="38"/>
      <c r="I18" s="38"/>
      <c r="J18" s="38"/>
      <c r="K18" s="38"/>
      <c r="L18" s="38"/>
      <c r="M18" s="38"/>
      <c r="N18" s="38"/>
      <c r="O18" s="38"/>
      <c r="P18" s="37"/>
      <c r="Q18" s="37"/>
      <c r="R18" s="39"/>
      <c r="T18" s="41"/>
      <c r="X18" s="40" t="s">
        <v>116</v>
      </c>
    </row>
    <row r="19" spans="1:31" ht="16.5" customHeight="1">
      <c r="A19" s="23" t="s">
        <v>354</v>
      </c>
      <c r="B19" s="25">
        <v>45433</v>
      </c>
      <c r="C19" s="25">
        <v>45434</v>
      </c>
      <c r="D19" s="25">
        <v>45435</v>
      </c>
      <c r="E19" s="25">
        <v>45436</v>
      </c>
      <c r="F19" s="30">
        <v>45437</v>
      </c>
      <c r="G19" s="30">
        <v>45438</v>
      </c>
      <c r="H19" s="25">
        <v>45439</v>
      </c>
      <c r="I19" s="25">
        <v>45440</v>
      </c>
      <c r="J19" s="25">
        <v>45441</v>
      </c>
      <c r="K19" s="25">
        <v>45442</v>
      </c>
      <c r="L19" s="25">
        <v>45443</v>
      </c>
      <c r="M19" s="26" t="s">
        <v>355</v>
      </c>
      <c r="N19" s="31">
        <v>45444</v>
      </c>
      <c r="O19" s="31">
        <v>45445</v>
      </c>
      <c r="P19" s="27">
        <v>45446</v>
      </c>
      <c r="Q19" s="27">
        <v>45447</v>
      </c>
      <c r="R19" s="27">
        <v>45448</v>
      </c>
      <c r="T19" s="41"/>
      <c r="V19" s="40" t="s">
        <v>63</v>
      </c>
      <c r="X19" s="40" t="s">
        <v>64</v>
      </c>
      <c r="Z19" s="40" t="s">
        <v>65</v>
      </c>
      <c r="AB19" s="40" t="s">
        <v>169</v>
      </c>
      <c r="AD19" s="40" t="s">
        <v>874</v>
      </c>
    </row>
    <row r="20" spans="1:31" ht="16.5" customHeight="1">
      <c r="A20" s="36">
        <v>1</v>
      </c>
      <c r="B20" s="19"/>
      <c r="C20" s="19"/>
      <c r="D20" s="19"/>
      <c r="E20" s="19"/>
      <c r="F20" s="19" t="s">
        <v>315</v>
      </c>
      <c r="G20" s="19" t="s">
        <v>25</v>
      </c>
      <c r="H20" s="19"/>
      <c r="I20" s="19"/>
      <c r="J20" s="19"/>
      <c r="K20" s="19"/>
      <c r="L20" s="19"/>
      <c r="M20" s="28"/>
      <c r="N20" s="19" t="s">
        <v>107</v>
      </c>
      <c r="O20" s="19" t="s">
        <v>312</v>
      </c>
      <c r="P20" s="19"/>
      <c r="Q20" s="19"/>
      <c r="R20" s="19"/>
      <c r="T20" s="41"/>
      <c r="V20" s="40" t="s">
        <v>25</v>
      </c>
      <c r="W20" s="40">
        <v>1</v>
      </c>
      <c r="X20" s="40" t="s">
        <v>93</v>
      </c>
      <c r="Y20" s="40">
        <v>2</v>
      </c>
      <c r="Z20" s="40" t="s">
        <v>1159</v>
      </c>
      <c r="AA20" s="40">
        <v>3</v>
      </c>
      <c r="AB20" s="40" t="s">
        <v>153</v>
      </c>
      <c r="AC20" s="40">
        <v>8</v>
      </c>
      <c r="AD20" s="40" t="s">
        <v>37</v>
      </c>
      <c r="AE20" s="40">
        <v>2</v>
      </c>
    </row>
    <row r="21" spans="1:31" ht="16.5" customHeight="1">
      <c r="A21" s="36">
        <v>2</v>
      </c>
      <c r="B21" s="19"/>
      <c r="C21" s="19"/>
      <c r="D21" s="19"/>
      <c r="F21" s="19" t="s">
        <v>153</v>
      </c>
      <c r="G21" s="19" t="s">
        <v>314</v>
      </c>
      <c r="H21" s="19"/>
      <c r="I21" s="19"/>
      <c r="J21" s="19"/>
      <c r="K21" s="19"/>
      <c r="L21" s="61"/>
      <c r="M21" s="28"/>
      <c r="N21" s="19" t="s">
        <v>864</v>
      </c>
      <c r="O21" s="19" t="s">
        <v>774</v>
      </c>
      <c r="P21" s="19"/>
      <c r="Q21" s="19"/>
      <c r="R21" s="19"/>
      <c r="T21" s="41"/>
      <c r="V21" s="40" t="s">
        <v>2</v>
      </c>
      <c r="W21" s="40">
        <v>2</v>
      </c>
      <c r="X21" s="40" t="s">
        <v>14</v>
      </c>
      <c r="Y21" s="40">
        <v>2</v>
      </c>
      <c r="Z21" s="40" t="s">
        <v>1065</v>
      </c>
      <c r="AA21" s="40">
        <v>3</v>
      </c>
      <c r="AB21" s="40" t="s">
        <v>26</v>
      </c>
      <c r="AC21" s="40">
        <v>5</v>
      </c>
      <c r="AD21" s="40" t="s">
        <v>863</v>
      </c>
    </row>
    <row r="22" spans="1:31" ht="16.5" customHeight="1">
      <c r="A22" s="36">
        <v>3</v>
      </c>
      <c r="B22" s="19"/>
      <c r="C22" s="19"/>
      <c r="D22" s="19"/>
      <c r="E22" s="19"/>
      <c r="F22" s="19" t="s">
        <v>1161</v>
      </c>
      <c r="G22" s="19" t="s">
        <v>1065</v>
      </c>
      <c r="H22" s="19"/>
      <c r="I22" s="19"/>
      <c r="J22" s="19"/>
      <c r="K22" s="19"/>
      <c r="L22" s="19"/>
      <c r="M22" s="28"/>
      <c r="N22" s="19" t="s">
        <v>1162</v>
      </c>
      <c r="O22" s="19" t="s">
        <v>37</v>
      </c>
      <c r="P22" s="19"/>
      <c r="Q22" s="19"/>
      <c r="R22" s="19"/>
      <c r="T22" s="41"/>
      <c r="V22" s="40" t="s">
        <v>516</v>
      </c>
      <c r="W22" s="40">
        <v>2</v>
      </c>
      <c r="X22" s="40" t="s">
        <v>23</v>
      </c>
      <c r="Y22" s="40">
        <v>0</v>
      </c>
      <c r="Z22" s="40" t="s">
        <v>863</v>
      </c>
      <c r="AA22" s="40">
        <v>2</v>
      </c>
      <c r="AB22" s="40" t="s">
        <v>1032</v>
      </c>
      <c r="AC22" s="40">
        <v>6</v>
      </c>
      <c r="AD22" s="40" t="s">
        <v>875</v>
      </c>
      <c r="AE22" s="40" t="s">
        <v>1160</v>
      </c>
    </row>
    <row r="23" spans="1:31" ht="16.5" customHeight="1">
      <c r="A23" s="36" t="s">
        <v>20</v>
      </c>
      <c r="B23" s="19" t="s">
        <v>1032</v>
      </c>
      <c r="C23" s="19" t="s">
        <v>13</v>
      </c>
      <c r="D23" s="19" t="s">
        <v>13</v>
      </c>
      <c r="E23" s="19" t="s">
        <v>13</v>
      </c>
      <c r="F23" s="19" t="s">
        <v>13</v>
      </c>
      <c r="G23" s="19" t="s">
        <v>13</v>
      </c>
      <c r="H23" s="19" t="s">
        <v>1129</v>
      </c>
      <c r="I23" s="19" t="s">
        <v>13</v>
      </c>
      <c r="J23" s="19" t="s">
        <v>13</v>
      </c>
      <c r="K23" s="19" t="s">
        <v>13</v>
      </c>
      <c r="L23" s="19" t="s">
        <v>13</v>
      </c>
      <c r="M23" s="28"/>
      <c r="N23" s="19" t="s">
        <v>1129</v>
      </c>
      <c r="O23" s="19" t="s">
        <v>13</v>
      </c>
      <c r="P23" s="19" t="s">
        <v>25</v>
      </c>
      <c r="Q23" s="19" t="s">
        <v>13</v>
      </c>
      <c r="R23" s="19" t="s">
        <v>13</v>
      </c>
      <c r="T23" s="41"/>
      <c r="V23" s="40" t="s">
        <v>7</v>
      </c>
      <c r="W23" s="40">
        <v>2</v>
      </c>
      <c r="X23" s="40" t="s">
        <v>153</v>
      </c>
      <c r="Y23" s="40">
        <v>2</v>
      </c>
      <c r="Z23" s="40" t="s">
        <v>37</v>
      </c>
      <c r="AA23" s="68">
        <v>2</v>
      </c>
      <c r="AB23" s="40" t="s">
        <v>23</v>
      </c>
      <c r="AC23" s="68">
        <v>1</v>
      </c>
      <c r="AD23" s="40" t="s">
        <v>356</v>
      </c>
      <c r="AE23" s="40" t="s">
        <v>1158</v>
      </c>
    </row>
    <row r="24" spans="1:31" ht="16.5" customHeight="1">
      <c r="A24" s="36" t="s">
        <v>0</v>
      </c>
      <c r="B24" s="19" t="s">
        <v>1153</v>
      </c>
      <c r="C24" s="19" t="s">
        <v>13</v>
      </c>
      <c r="D24" s="19" t="s">
        <v>13</v>
      </c>
      <c r="E24" s="19" t="s">
        <v>13</v>
      </c>
      <c r="F24" s="19" t="s">
        <v>1154</v>
      </c>
      <c r="G24" s="19" t="s">
        <v>13</v>
      </c>
      <c r="H24" s="19" t="s">
        <v>1157</v>
      </c>
      <c r="I24" s="19" t="s">
        <v>13</v>
      </c>
      <c r="J24" s="19" t="s">
        <v>13</v>
      </c>
      <c r="K24" s="19" t="s">
        <v>13</v>
      </c>
      <c r="L24" s="19" t="s">
        <v>13</v>
      </c>
      <c r="M24" s="28"/>
      <c r="N24" s="19" t="s">
        <v>1157</v>
      </c>
      <c r="O24" s="19" t="s">
        <v>13</v>
      </c>
      <c r="P24" s="19" t="s">
        <v>1153</v>
      </c>
      <c r="Q24" s="19" t="s">
        <v>13</v>
      </c>
      <c r="R24" s="19" t="s">
        <v>13</v>
      </c>
      <c r="T24" s="41"/>
      <c r="V24" s="40" t="s">
        <v>21</v>
      </c>
      <c r="W24" s="40">
        <v>2</v>
      </c>
      <c r="X24" s="40" t="s">
        <v>327</v>
      </c>
      <c r="Y24" s="40">
        <v>1</v>
      </c>
      <c r="Z24" s="40" t="s">
        <v>875</v>
      </c>
      <c r="AA24" s="40">
        <v>2</v>
      </c>
      <c r="AB24" s="40" t="s">
        <v>25</v>
      </c>
      <c r="AC24" s="40">
        <v>8</v>
      </c>
      <c r="AD24" s="40" t="s">
        <v>1159</v>
      </c>
      <c r="AE24" s="40">
        <v>6</v>
      </c>
    </row>
    <row r="25" spans="1:31" ht="16.5" customHeight="1">
      <c r="A25" s="36" t="s">
        <v>1</v>
      </c>
      <c r="B25" s="19"/>
      <c r="C25" s="19"/>
      <c r="D25" s="19"/>
      <c r="E25" s="19"/>
      <c r="F25" s="19"/>
      <c r="G25" s="19"/>
      <c r="H25" s="19"/>
      <c r="I25" s="19"/>
      <c r="J25" s="19"/>
      <c r="K25" s="19"/>
      <c r="L25" s="19"/>
      <c r="M25" s="28"/>
      <c r="N25" s="19"/>
      <c r="O25" s="19"/>
      <c r="P25" s="19"/>
      <c r="Q25" s="19"/>
      <c r="R25" s="19"/>
      <c r="T25" s="41"/>
      <c r="V25" s="40" t="s">
        <v>26</v>
      </c>
      <c r="W25" s="40">
        <v>1</v>
      </c>
      <c r="X25" s="40" t="s">
        <v>28</v>
      </c>
      <c r="Y25" s="40">
        <v>2</v>
      </c>
      <c r="Z25" s="40" t="s">
        <v>36</v>
      </c>
      <c r="AA25" s="64">
        <v>3</v>
      </c>
      <c r="AB25" s="40" t="s">
        <v>327</v>
      </c>
      <c r="AC25" s="64" t="s">
        <v>1152</v>
      </c>
    </row>
    <row r="26" spans="1:31" ht="16.5" customHeight="1">
      <c r="A26" s="36" t="s">
        <v>366</v>
      </c>
      <c r="B26" s="19"/>
      <c r="C26" s="19"/>
      <c r="D26" s="19"/>
      <c r="E26" s="19"/>
      <c r="F26" s="19"/>
      <c r="G26" s="19"/>
      <c r="H26" s="19"/>
      <c r="I26" s="19"/>
      <c r="J26" s="19"/>
      <c r="K26" s="19"/>
      <c r="L26" s="19"/>
      <c r="M26" s="28"/>
      <c r="N26" s="19"/>
      <c r="O26" s="19"/>
      <c r="P26" s="19"/>
      <c r="Q26" s="19"/>
      <c r="R26" s="19"/>
      <c r="T26" s="41"/>
      <c r="V26" s="40" t="s">
        <v>27</v>
      </c>
      <c r="W26" s="40">
        <v>2</v>
      </c>
      <c r="X26" s="40" t="s">
        <v>152</v>
      </c>
      <c r="Y26" s="40">
        <v>2</v>
      </c>
      <c r="AB26" s="40" t="s">
        <v>516</v>
      </c>
      <c r="AC26" s="40">
        <v>2</v>
      </c>
    </row>
    <row r="27" spans="1:31" ht="16.5" customHeight="1">
      <c r="A27" s="26" t="s">
        <v>355</v>
      </c>
      <c r="B27" s="27">
        <v>45449</v>
      </c>
      <c r="C27" s="27">
        <v>45450</v>
      </c>
      <c r="D27" s="31">
        <v>45451</v>
      </c>
      <c r="E27" s="31">
        <v>45452</v>
      </c>
      <c r="F27" s="27">
        <v>45453</v>
      </c>
      <c r="G27" s="27">
        <v>45454</v>
      </c>
      <c r="H27" s="27">
        <v>45455</v>
      </c>
      <c r="I27" s="27">
        <v>45456</v>
      </c>
      <c r="J27" s="27">
        <v>45457</v>
      </c>
      <c r="K27" s="31">
        <v>45458</v>
      </c>
      <c r="L27" s="31">
        <v>45459</v>
      </c>
      <c r="M27" s="27">
        <v>45460</v>
      </c>
      <c r="N27" s="27">
        <v>45461</v>
      </c>
      <c r="O27" s="27">
        <v>45462</v>
      </c>
      <c r="P27" s="27">
        <v>45463</v>
      </c>
      <c r="Q27" s="19"/>
      <c r="R27" s="19"/>
      <c r="T27" s="41"/>
      <c r="V27" s="40" t="s">
        <v>774</v>
      </c>
      <c r="W27" s="40">
        <v>0</v>
      </c>
      <c r="X27" s="40" t="s">
        <v>864</v>
      </c>
      <c r="Y27" s="40">
        <v>2</v>
      </c>
      <c r="AB27" s="40" t="s">
        <v>864</v>
      </c>
      <c r="AC27" s="40">
        <v>9</v>
      </c>
    </row>
    <row r="28" spans="1:31" ht="16.5" customHeight="1">
      <c r="A28" s="28">
        <v>1</v>
      </c>
      <c r="B28" s="19"/>
      <c r="C28" s="19"/>
      <c r="D28" s="19" t="s">
        <v>516</v>
      </c>
      <c r="E28" s="40" t="s">
        <v>7</v>
      </c>
      <c r="F28" s="19"/>
      <c r="G28" s="19"/>
      <c r="H28" s="19"/>
      <c r="I28" s="19"/>
      <c r="J28" s="19"/>
      <c r="K28" s="19" t="s">
        <v>2</v>
      </c>
      <c r="L28" s="19" t="s">
        <v>769</v>
      </c>
      <c r="M28" s="19"/>
      <c r="N28" s="19"/>
      <c r="O28" s="19"/>
      <c r="P28" s="19"/>
      <c r="Q28" s="19"/>
      <c r="R28" s="19"/>
      <c r="T28" s="41"/>
      <c r="V28" s="40" t="s">
        <v>769</v>
      </c>
      <c r="W28" s="40">
        <v>2</v>
      </c>
      <c r="X28" s="40" t="s">
        <v>1032</v>
      </c>
      <c r="Y28" s="40">
        <v>0</v>
      </c>
      <c r="AB28" s="40" t="s">
        <v>1114</v>
      </c>
      <c r="AC28" s="40">
        <v>7</v>
      </c>
    </row>
    <row r="29" spans="1:31" ht="16.5" customHeight="1">
      <c r="A29" s="28">
        <v>2</v>
      </c>
      <c r="B29" s="19"/>
      <c r="C29" s="19"/>
      <c r="D29" s="19" t="s">
        <v>313</v>
      </c>
      <c r="E29" s="19" t="s">
        <v>93</v>
      </c>
      <c r="F29" s="19"/>
      <c r="G29" s="19"/>
      <c r="H29" s="19"/>
      <c r="I29" s="19"/>
      <c r="J29" s="19"/>
      <c r="K29" s="19" t="s">
        <v>14</v>
      </c>
      <c r="L29" s="19" t="s">
        <v>1129</v>
      </c>
      <c r="M29" s="19"/>
      <c r="N29" s="19"/>
      <c r="O29" s="19"/>
      <c r="P29" s="19"/>
      <c r="Q29" s="19"/>
      <c r="R29" s="19"/>
      <c r="T29" s="41"/>
      <c r="V29" s="40" t="s">
        <v>864</v>
      </c>
      <c r="W29" s="40">
        <v>0</v>
      </c>
      <c r="X29" s="40" t="s">
        <v>516</v>
      </c>
      <c r="Y29" s="40">
        <v>0</v>
      </c>
    </row>
    <row r="30" spans="1:31" ht="16.5" customHeight="1">
      <c r="A30" s="28">
        <v>3</v>
      </c>
      <c r="B30" s="19"/>
      <c r="C30" s="19"/>
      <c r="D30" s="19" t="s">
        <v>863</v>
      </c>
      <c r="E30" s="19" t="s">
        <v>1163</v>
      </c>
      <c r="F30" s="19"/>
      <c r="G30" s="19"/>
      <c r="H30" s="19"/>
      <c r="I30" s="19"/>
      <c r="J30" s="19"/>
      <c r="K30" s="19" t="s">
        <v>1161</v>
      </c>
      <c r="L30" s="19" t="s">
        <v>1157</v>
      </c>
      <c r="M30" s="19"/>
      <c r="N30" s="19"/>
      <c r="O30" s="19"/>
      <c r="P30" s="19"/>
      <c r="Q30" s="19"/>
      <c r="R30" s="19"/>
      <c r="T30" s="41"/>
      <c r="V30" s="40" t="s">
        <v>1032</v>
      </c>
      <c r="W30" s="40">
        <v>1</v>
      </c>
      <c r="X30" s="40" t="s">
        <v>1114</v>
      </c>
      <c r="Y30" s="40">
        <v>2</v>
      </c>
    </row>
    <row r="31" spans="1:31" ht="16.5" customHeight="1">
      <c r="A31" s="28" t="s">
        <v>20</v>
      </c>
      <c r="B31" s="19" t="s">
        <v>25</v>
      </c>
      <c r="C31" s="19" t="s">
        <v>13</v>
      </c>
      <c r="D31" s="19" t="s">
        <v>13</v>
      </c>
      <c r="E31" s="19" t="s">
        <v>13</v>
      </c>
      <c r="F31" s="19" t="s">
        <v>1151</v>
      </c>
      <c r="G31" s="19" t="s">
        <v>13</v>
      </c>
      <c r="H31" s="19" t="s">
        <v>13</v>
      </c>
      <c r="I31" s="19" t="s">
        <v>13</v>
      </c>
      <c r="J31" s="19" t="s">
        <v>13</v>
      </c>
      <c r="K31" s="19" t="s">
        <v>13</v>
      </c>
      <c r="L31" s="19" t="s">
        <v>13</v>
      </c>
      <c r="M31" s="19" t="s">
        <v>864</v>
      </c>
      <c r="N31" s="19" t="s">
        <v>13</v>
      </c>
      <c r="O31" s="19" t="s">
        <v>13</v>
      </c>
      <c r="P31" s="19" t="s">
        <v>13</v>
      </c>
      <c r="Q31" s="19"/>
      <c r="R31" s="19"/>
      <c r="T31" s="41"/>
      <c r="X31" s="40" t="s">
        <v>25</v>
      </c>
      <c r="Y31" s="40">
        <v>0</v>
      </c>
    </row>
    <row r="32" spans="1:31" ht="16.5" customHeight="1">
      <c r="A32" s="28" t="s">
        <v>0</v>
      </c>
      <c r="B32" s="19" t="s">
        <v>1153</v>
      </c>
      <c r="C32" s="19" t="s">
        <v>13</v>
      </c>
      <c r="D32" s="19" t="s">
        <v>1154</v>
      </c>
      <c r="E32" s="19" t="s">
        <v>13</v>
      </c>
      <c r="F32" s="19" t="s">
        <v>1156</v>
      </c>
      <c r="G32" s="19" t="s">
        <v>13</v>
      </c>
      <c r="H32" s="19" t="s">
        <v>13</v>
      </c>
      <c r="I32" s="19" t="s">
        <v>13</v>
      </c>
      <c r="J32" s="19" t="s">
        <v>13</v>
      </c>
      <c r="K32" s="19" t="s">
        <v>1154</v>
      </c>
      <c r="L32" s="19" t="s">
        <v>13</v>
      </c>
      <c r="M32" s="19" t="s">
        <v>1153</v>
      </c>
      <c r="N32" s="19" t="s">
        <v>13</v>
      </c>
      <c r="O32" s="19" t="s">
        <v>13</v>
      </c>
      <c r="P32" s="19" t="s">
        <v>13</v>
      </c>
      <c r="Q32" s="19"/>
      <c r="R32" s="19"/>
      <c r="T32" s="41"/>
      <c r="V32" s="40" t="s">
        <v>602</v>
      </c>
      <c r="W32" s="40">
        <f>SUM(W19:W31)</f>
        <v>15</v>
      </c>
      <c r="Y32" s="40">
        <f>SUM(Y19:Y31)</f>
        <v>15</v>
      </c>
      <c r="AA32" s="40">
        <f>SUM(AA19:AA31)</f>
        <v>15</v>
      </c>
    </row>
    <row r="33" spans="1:25" ht="16.5" customHeight="1">
      <c r="A33" s="28" t="s">
        <v>1</v>
      </c>
      <c r="B33" s="19"/>
      <c r="C33" s="19"/>
      <c r="D33" s="19"/>
      <c r="E33" s="19"/>
      <c r="F33" s="19"/>
      <c r="G33" s="19"/>
      <c r="H33" s="19"/>
      <c r="I33" s="19"/>
      <c r="J33" s="19"/>
      <c r="K33" s="19"/>
      <c r="L33" s="19"/>
      <c r="M33" s="19"/>
      <c r="N33" s="19"/>
      <c r="O33" s="19"/>
      <c r="P33" s="19"/>
      <c r="Q33" s="19"/>
      <c r="R33" s="19"/>
    </row>
    <row r="34" spans="1:25" ht="16.5" customHeight="1">
      <c r="A34" s="28" t="s">
        <v>366</v>
      </c>
      <c r="B34" s="19"/>
      <c r="C34" s="19"/>
      <c r="D34" s="19"/>
      <c r="E34" s="19"/>
      <c r="F34" s="19"/>
      <c r="G34" s="19"/>
      <c r="H34" s="19"/>
      <c r="I34" s="19"/>
      <c r="J34" s="19"/>
      <c r="K34" s="19"/>
      <c r="L34" s="19"/>
      <c r="M34" s="19"/>
      <c r="N34" s="19"/>
      <c r="O34" s="19"/>
      <c r="P34" s="19"/>
      <c r="Q34" s="19"/>
      <c r="R34" s="19"/>
    </row>
    <row r="35" spans="1:25" ht="12.75" customHeight="1">
      <c r="Q35" s="145" t="s">
        <v>82</v>
      </c>
      <c r="R35" s="145"/>
      <c r="T35" s="41"/>
    </row>
    <row r="36" spans="1:25">
      <c r="A36" s="40" t="s">
        <v>322</v>
      </c>
      <c r="B36" s="49"/>
      <c r="C36" s="49"/>
      <c r="D36" s="49"/>
      <c r="E36" s="49"/>
      <c r="F36" s="49"/>
      <c r="G36" s="49"/>
      <c r="H36" s="55"/>
      <c r="I36" s="49"/>
      <c r="J36" s="49"/>
      <c r="K36" s="49"/>
      <c r="L36" s="49"/>
      <c r="M36" s="49"/>
      <c r="N36" s="49"/>
      <c r="O36" s="49"/>
      <c r="T36" s="41"/>
    </row>
    <row r="37" spans="1:25">
      <c r="A37" s="49" t="s">
        <v>1062</v>
      </c>
      <c r="B37" s="49" t="s">
        <v>1063</v>
      </c>
      <c r="C37" s="49"/>
      <c r="D37" s="49"/>
      <c r="E37" s="49"/>
      <c r="F37" s="49"/>
      <c r="G37" s="49" t="s">
        <v>1000</v>
      </c>
      <c r="H37" s="49"/>
      <c r="I37" s="55"/>
      <c r="J37" s="55"/>
      <c r="K37" s="55" t="s">
        <v>1108</v>
      </c>
      <c r="L37" s="55"/>
      <c r="M37" s="55"/>
      <c r="N37" s="55"/>
      <c r="O37" s="55"/>
      <c r="P37" s="43"/>
      <c r="Q37" s="43"/>
      <c r="R37" s="43"/>
      <c r="T37" s="41"/>
    </row>
    <row r="38" spans="1:25">
      <c r="A38" s="50" t="s">
        <v>1140</v>
      </c>
      <c r="B38" s="49"/>
      <c r="C38" s="49"/>
      <c r="D38" s="49"/>
      <c r="E38" s="49"/>
      <c r="F38" s="50" t="s">
        <v>1140</v>
      </c>
      <c r="G38" s="49"/>
      <c r="H38" s="49"/>
      <c r="I38" s="55"/>
      <c r="J38" s="55"/>
      <c r="K38" s="55" t="s">
        <v>945</v>
      </c>
      <c r="L38" s="55"/>
      <c r="M38" s="55"/>
      <c r="N38" s="55"/>
      <c r="O38" s="55"/>
      <c r="P38" s="55"/>
      <c r="Q38" s="55"/>
      <c r="R38" s="55"/>
      <c r="S38" s="49"/>
      <c r="T38" s="72"/>
      <c r="U38" s="71"/>
      <c r="V38" s="71"/>
      <c r="W38" s="71"/>
      <c r="X38" s="71"/>
      <c r="Y38" s="71"/>
    </row>
    <row r="39" spans="1:25">
      <c r="A39" s="50" t="s">
        <v>1150</v>
      </c>
      <c r="B39" s="49"/>
      <c r="C39" s="76"/>
      <c r="D39" s="49"/>
      <c r="E39" s="49"/>
      <c r="F39" s="50" t="s">
        <v>1143</v>
      </c>
      <c r="G39" s="77"/>
      <c r="H39" s="49"/>
      <c r="I39" s="55"/>
      <c r="J39" s="55"/>
      <c r="K39" s="55" t="s">
        <v>1130</v>
      </c>
      <c r="L39" s="55"/>
      <c r="M39" s="55"/>
      <c r="N39" s="55"/>
      <c r="O39" s="55"/>
      <c r="P39" s="55"/>
      <c r="Q39" s="55"/>
      <c r="R39" s="55"/>
      <c r="S39" s="49"/>
      <c r="T39" s="72"/>
      <c r="U39" s="71"/>
      <c r="V39" s="71"/>
      <c r="W39" s="71"/>
      <c r="X39" s="71"/>
      <c r="Y39" s="71"/>
    </row>
    <row r="40" spans="1:25">
      <c r="A40" s="50" t="s">
        <v>1141</v>
      </c>
      <c r="B40" s="49"/>
      <c r="C40" s="49"/>
      <c r="D40" s="49"/>
      <c r="E40" s="49"/>
      <c r="F40" s="79" t="s">
        <v>1049</v>
      </c>
      <c r="G40" s="49"/>
      <c r="H40" s="49"/>
      <c r="I40" s="55"/>
      <c r="J40" s="55"/>
      <c r="K40" s="77" t="s">
        <v>1145</v>
      </c>
      <c r="L40" s="55"/>
      <c r="M40" s="55"/>
      <c r="N40" s="55"/>
      <c r="O40" s="55"/>
      <c r="P40" s="55"/>
      <c r="Q40" s="55"/>
      <c r="R40" s="55"/>
      <c r="S40" s="49"/>
      <c r="T40" s="71"/>
      <c r="U40" s="71"/>
      <c r="V40" s="71"/>
      <c r="W40" s="71"/>
      <c r="X40" s="71"/>
      <c r="Y40" s="71"/>
    </row>
    <row r="41" spans="1:25">
      <c r="A41" s="50" t="s">
        <v>1132</v>
      </c>
      <c r="B41" s="49"/>
      <c r="C41" s="49"/>
      <c r="D41" s="49"/>
      <c r="E41" s="49"/>
      <c r="F41" s="75" t="s">
        <v>1144</v>
      </c>
      <c r="G41" s="77"/>
      <c r="H41" s="49"/>
      <c r="I41" s="55"/>
      <c r="J41" s="55"/>
      <c r="K41" s="55"/>
      <c r="L41" s="55"/>
      <c r="M41" s="55"/>
      <c r="N41" s="55"/>
      <c r="O41" s="55"/>
      <c r="P41" s="55"/>
      <c r="Q41" s="55"/>
      <c r="R41" s="55"/>
      <c r="S41" s="49"/>
      <c r="T41" s="71"/>
      <c r="U41" s="71"/>
      <c r="V41" s="71"/>
      <c r="W41" s="71"/>
      <c r="X41" s="71"/>
      <c r="Y41" s="71"/>
    </row>
    <row r="42" spans="1:25">
      <c r="A42" s="50" t="s">
        <v>1049</v>
      </c>
      <c r="B42" s="49"/>
      <c r="C42" s="49"/>
      <c r="D42" s="49"/>
      <c r="E42" s="49"/>
      <c r="F42" s="77"/>
      <c r="G42" s="49"/>
      <c r="H42" s="49"/>
      <c r="I42" s="55"/>
      <c r="J42" s="55"/>
      <c r="K42" s="55" t="s">
        <v>1131</v>
      </c>
      <c r="L42" s="55"/>
      <c r="M42" s="55"/>
      <c r="N42" s="55"/>
      <c r="O42" s="55"/>
      <c r="P42" s="55"/>
      <c r="Q42" s="55"/>
      <c r="R42" s="55"/>
      <c r="S42" s="49"/>
      <c r="T42" s="72"/>
      <c r="U42" s="71"/>
      <c r="V42" s="71"/>
      <c r="W42" s="71"/>
      <c r="X42" s="71"/>
      <c r="Y42" s="71"/>
    </row>
    <row r="43" spans="1:25">
      <c r="A43" s="50" t="s">
        <v>1133</v>
      </c>
      <c r="B43" s="49"/>
      <c r="C43" s="49"/>
      <c r="D43" s="49"/>
      <c r="E43" s="49"/>
      <c r="F43" s="75" t="s">
        <v>1056</v>
      </c>
      <c r="G43" s="49"/>
      <c r="H43" s="49"/>
      <c r="I43" s="55"/>
      <c r="J43" s="55"/>
      <c r="K43" s="55"/>
      <c r="L43" s="55"/>
      <c r="M43" s="55"/>
      <c r="N43" s="55"/>
      <c r="O43" s="55"/>
      <c r="P43" s="55"/>
      <c r="Q43" s="55"/>
      <c r="R43" s="55"/>
      <c r="S43" s="49"/>
      <c r="T43" s="72"/>
      <c r="U43" s="71"/>
      <c r="V43" s="71"/>
      <c r="W43" s="71"/>
      <c r="X43" s="71"/>
      <c r="Y43" s="71"/>
    </row>
    <row r="44" spans="1:25">
      <c r="A44" s="50" t="s">
        <v>1102</v>
      </c>
      <c r="B44" s="49"/>
      <c r="C44" s="49"/>
      <c r="D44" s="49"/>
      <c r="E44" s="49"/>
      <c r="F44" s="75" t="s">
        <v>1148</v>
      </c>
      <c r="G44" s="49"/>
      <c r="H44" s="49"/>
      <c r="I44" s="55"/>
      <c r="J44" s="55"/>
      <c r="K44" s="55"/>
      <c r="L44" s="55"/>
      <c r="M44" s="55"/>
      <c r="N44" s="55"/>
      <c r="O44" s="55"/>
      <c r="P44" s="55"/>
      <c r="Q44" s="55"/>
      <c r="R44" s="55"/>
      <c r="S44" s="49"/>
      <c r="T44" s="72"/>
      <c r="U44" s="71"/>
      <c r="V44" s="71"/>
      <c r="W44" s="71"/>
      <c r="X44" s="71"/>
      <c r="Y44" s="71"/>
    </row>
    <row r="45" spans="1:25">
      <c r="A45" s="50" t="s">
        <v>1134</v>
      </c>
      <c r="B45" s="49"/>
      <c r="C45" s="76"/>
      <c r="D45" s="49"/>
      <c r="E45" s="49"/>
      <c r="F45" s="50" t="s">
        <v>1142</v>
      </c>
      <c r="G45" s="77"/>
      <c r="H45" s="49"/>
      <c r="I45" s="55"/>
      <c r="J45" s="55"/>
      <c r="K45" s="55"/>
      <c r="L45" s="55"/>
      <c r="M45" s="55"/>
      <c r="N45" s="55"/>
      <c r="O45" s="55"/>
      <c r="P45" s="55"/>
      <c r="Q45" s="55"/>
      <c r="R45" s="55"/>
      <c r="S45" s="49"/>
      <c r="T45" s="71"/>
      <c r="U45" s="71"/>
      <c r="V45" s="71"/>
      <c r="W45" s="71"/>
      <c r="X45" s="71"/>
      <c r="Y45" s="71"/>
    </row>
    <row r="46" spans="1:25">
      <c r="A46" s="50" t="s">
        <v>1054</v>
      </c>
      <c r="B46" s="49"/>
      <c r="C46" s="49"/>
      <c r="D46" s="49"/>
      <c r="E46" s="49"/>
      <c r="F46" s="75" t="s">
        <v>1146</v>
      </c>
      <c r="G46" s="49"/>
      <c r="H46" s="49"/>
      <c r="I46" s="55"/>
      <c r="J46" s="55"/>
      <c r="K46" s="55"/>
      <c r="L46" s="55"/>
      <c r="M46" s="55"/>
      <c r="N46" s="55"/>
      <c r="O46" s="55"/>
      <c r="P46" s="55"/>
      <c r="Q46" s="55"/>
      <c r="R46" s="55"/>
      <c r="S46" s="49"/>
      <c r="T46" s="72"/>
      <c r="U46" s="71"/>
      <c r="V46" s="71"/>
      <c r="W46" s="71"/>
      <c r="X46" s="71"/>
      <c r="Y46" s="71"/>
    </row>
    <row r="47" spans="1:25">
      <c r="A47" s="75" t="s">
        <v>1135</v>
      </c>
      <c r="B47" s="49"/>
      <c r="C47" s="49"/>
      <c r="D47" s="49"/>
      <c r="E47" s="49"/>
      <c r="F47" s="75" t="s">
        <v>1048</v>
      </c>
      <c r="G47" s="49"/>
      <c r="H47" s="49"/>
      <c r="I47" s="55"/>
      <c r="J47" s="55"/>
      <c r="K47" s="55"/>
      <c r="L47" s="55"/>
      <c r="M47" s="55"/>
      <c r="N47" s="55"/>
      <c r="O47" s="55"/>
      <c r="P47" s="55"/>
      <c r="Q47" s="55"/>
      <c r="R47" s="55"/>
      <c r="S47" s="49"/>
      <c r="T47" s="72"/>
      <c r="U47" s="71"/>
      <c r="V47" s="71"/>
      <c r="W47" s="71"/>
      <c r="X47" s="71"/>
      <c r="Y47" s="71"/>
    </row>
    <row r="48" spans="1:25">
      <c r="A48" s="50" t="s">
        <v>1142</v>
      </c>
      <c r="B48" s="49"/>
      <c r="C48" s="49"/>
      <c r="D48" s="49"/>
      <c r="E48" s="49"/>
      <c r="F48" s="75" t="s">
        <v>1147</v>
      </c>
      <c r="G48" s="49"/>
      <c r="H48" s="49"/>
      <c r="I48" s="55"/>
      <c r="J48" s="55"/>
      <c r="K48" s="55"/>
      <c r="L48" s="55"/>
      <c r="M48" s="55"/>
      <c r="N48" s="55"/>
      <c r="O48" s="55"/>
      <c r="P48" s="55"/>
      <c r="Q48" s="55"/>
      <c r="R48" s="55"/>
      <c r="S48" s="49"/>
      <c r="T48" s="72"/>
      <c r="U48" s="71"/>
      <c r="V48" s="71"/>
      <c r="W48" s="71"/>
      <c r="X48" s="71"/>
      <c r="Y48" s="71"/>
    </row>
    <row r="49" spans="1:25">
      <c r="A49" s="50" t="s">
        <v>1136</v>
      </c>
      <c r="B49" s="49"/>
      <c r="C49" s="49"/>
      <c r="D49" s="49"/>
      <c r="E49" s="49"/>
      <c r="F49" s="50" t="s">
        <v>1052</v>
      </c>
      <c r="G49" s="49"/>
      <c r="H49" s="49"/>
      <c r="I49" s="55"/>
      <c r="J49" s="55"/>
      <c r="K49" s="55"/>
      <c r="L49" s="55"/>
      <c r="M49" s="55"/>
      <c r="N49" s="55"/>
      <c r="O49" s="55"/>
      <c r="P49" s="55"/>
      <c r="Q49" s="55"/>
      <c r="R49" s="55"/>
      <c r="S49" s="49"/>
      <c r="T49" s="71"/>
      <c r="U49" s="71"/>
      <c r="V49" s="71"/>
      <c r="W49" s="71"/>
      <c r="X49" s="71"/>
      <c r="Y49" s="71"/>
    </row>
    <row r="50" spans="1:25">
      <c r="A50" s="50" t="s">
        <v>1048</v>
      </c>
      <c r="B50" s="49"/>
      <c r="C50" s="49"/>
      <c r="D50" s="49"/>
      <c r="E50" s="49"/>
      <c r="F50" s="75" t="s">
        <v>1149</v>
      </c>
      <c r="G50" s="49"/>
      <c r="H50" s="49"/>
      <c r="I50" s="55"/>
      <c r="J50" s="55"/>
      <c r="K50" s="55"/>
      <c r="L50" s="55"/>
      <c r="M50" s="55"/>
      <c r="N50" s="55"/>
      <c r="O50" s="55"/>
      <c r="P50" s="55"/>
      <c r="Q50" s="55"/>
      <c r="R50" s="55"/>
      <c r="S50" s="49"/>
      <c r="T50" s="71"/>
      <c r="U50" s="71"/>
      <c r="V50" s="71"/>
      <c r="W50" s="71"/>
      <c r="X50" s="71"/>
      <c r="Y50" s="71"/>
    </row>
    <row r="51" spans="1:25">
      <c r="A51" s="50" t="s">
        <v>1137</v>
      </c>
      <c r="B51" s="49"/>
      <c r="C51" s="49"/>
      <c r="D51" s="49"/>
      <c r="E51" s="49"/>
      <c r="F51" s="49"/>
      <c r="G51" s="49"/>
      <c r="H51" s="49"/>
      <c r="I51" s="55"/>
      <c r="J51" s="55"/>
      <c r="K51" s="55"/>
      <c r="L51" s="55"/>
      <c r="M51" s="55"/>
      <c r="N51" s="55"/>
      <c r="O51" s="55"/>
      <c r="P51" s="55"/>
      <c r="Q51" s="55"/>
      <c r="R51" s="55"/>
      <c r="S51" s="49"/>
      <c r="T51" s="71"/>
      <c r="U51" s="71"/>
      <c r="V51" s="71"/>
      <c r="W51" s="71"/>
      <c r="X51" s="71"/>
      <c r="Y51" s="71"/>
    </row>
    <row r="52" spans="1:25">
      <c r="A52" s="50" t="s">
        <v>1052</v>
      </c>
      <c r="B52" s="49"/>
      <c r="C52" s="49"/>
      <c r="D52" s="49"/>
      <c r="E52" s="49"/>
      <c r="F52" s="49"/>
      <c r="G52" s="49"/>
      <c r="H52" s="49"/>
      <c r="I52" s="49"/>
      <c r="J52" s="49"/>
      <c r="K52" s="49"/>
      <c r="L52" s="49"/>
      <c r="M52" s="49"/>
      <c r="N52" s="49"/>
      <c r="O52" s="49"/>
      <c r="P52" s="49"/>
      <c r="Q52" s="49"/>
      <c r="R52" s="49"/>
      <c r="S52" s="49"/>
      <c r="T52" s="71"/>
      <c r="U52" s="71"/>
      <c r="V52" s="71"/>
      <c r="W52" s="71"/>
      <c r="X52" s="71"/>
      <c r="Y52" s="71"/>
    </row>
    <row r="53" spans="1:25">
      <c r="A53" s="50" t="s">
        <v>1138</v>
      </c>
      <c r="B53" s="49"/>
      <c r="C53" s="49"/>
      <c r="D53" s="49"/>
      <c r="E53" s="49"/>
      <c r="F53" s="49"/>
      <c r="G53" s="49"/>
      <c r="H53" s="49"/>
      <c r="I53" s="49"/>
      <c r="J53" s="49"/>
      <c r="K53" s="49"/>
      <c r="L53" s="49"/>
      <c r="M53" s="49"/>
      <c r="N53" s="49"/>
      <c r="O53" s="49"/>
      <c r="P53" s="49"/>
      <c r="Q53" s="49"/>
      <c r="R53" s="49"/>
      <c r="S53" s="49"/>
      <c r="T53" s="71"/>
      <c r="U53" s="71"/>
      <c r="V53" s="71"/>
      <c r="W53" s="71"/>
      <c r="X53" s="71"/>
      <c r="Y53" s="71"/>
    </row>
    <row r="54" spans="1:25">
      <c r="A54" s="50" t="s">
        <v>1082</v>
      </c>
      <c r="B54" s="73"/>
      <c r="C54" s="49"/>
      <c r="D54" s="49"/>
      <c r="E54" s="49"/>
      <c r="F54" s="76"/>
      <c r="G54" s="49"/>
      <c r="H54" s="49"/>
      <c r="I54" s="49"/>
      <c r="J54" s="49"/>
      <c r="K54" s="49"/>
      <c r="L54" s="49"/>
      <c r="M54" s="49"/>
      <c r="N54" s="49"/>
      <c r="O54" s="49"/>
      <c r="P54" s="49"/>
      <c r="Q54" s="49"/>
      <c r="R54" s="49"/>
      <c r="S54" s="49"/>
      <c r="T54" s="71"/>
      <c r="U54" s="71"/>
      <c r="V54" s="71"/>
      <c r="W54" s="71"/>
      <c r="X54" s="71"/>
      <c r="Y54" s="71"/>
    </row>
    <row r="55" spans="1:25">
      <c r="A55" s="50" t="s">
        <v>1139</v>
      </c>
      <c r="B55" s="49"/>
      <c r="C55" s="49"/>
      <c r="D55" s="49"/>
      <c r="E55" s="49"/>
      <c r="F55" s="49"/>
      <c r="G55" s="49"/>
      <c r="H55" s="49"/>
      <c r="I55" s="49"/>
      <c r="J55" s="49"/>
      <c r="K55" s="49"/>
      <c r="L55" s="49"/>
      <c r="M55" s="49"/>
      <c r="N55" s="49"/>
      <c r="O55" s="49"/>
      <c r="P55" s="49"/>
      <c r="Q55" s="49"/>
      <c r="R55" s="49"/>
      <c r="S55" s="49"/>
      <c r="T55" s="71"/>
      <c r="U55" s="71"/>
      <c r="V55" s="71"/>
      <c r="W55" s="71"/>
      <c r="X55" s="71"/>
      <c r="Y55" s="71"/>
    </row>
    <row r="56" spans="1:25">
      <c r="A56" s="50" t="s">
        <v>2</v>
      </c>
      <c r="B56" s="49"/>
      <c r="C56" s="49"/>
      <c r="D56" s="49"/>
      <c r="E56" s="49"/>
      <c r="F56" s="49"/>
      <c r="G56" s="49"/>
      <c r="H56" s="49"/>
      <c r="I56" s="49"/>
      <c r="J56" s="49"/>
      <c r="K56" s="49"/>
      <c r="L56" s="49"/>
      <c r="M56" s="49"/>
      <c r="N56" s="49"/>
      <c r="O56" s="49"/>
      <c r="P56" s="49"/>
      <c r="Q56" s="49"/>
      <c r="R56" s="49"/>
      <c r="S56" s="49"/>
      <c r="T56" s="71"/>
      <c r="U56" s="71"/>
      <c r="V56" s="71"/>
      <c r="W56" s="71"/>
      <c r="X56" s="71"/>
      <c r="Y56" s="71"/>
    </row>
    <row r="57" spans="1:25">
      <c r="A57" s="50" t="s">
        <v>1164</v>
      </c>
      <c r="B57" s="49"/>
      <c r="C57" s="49"/>
      <c r="D57" s="49"/>
      <c r="E57" s="49"/>
      <c r="F57" s="49"/>
      <c r="G57" s="49"/>
      <c r="H57" s="49"/>
      <c r="I57" s="49"/>
      <c r="J57" s="49"/>
      <c r="K57" s="49"/>
      <c r="L57" s="49"/>
      <c r="M57" s="49"/>
      <c r="N57" s="49"/>
      <c r="O57" s="49"/>
      <c r="P57" s="49"/>
      <c r="Q57" s="49"/>
      <c r="R57" s="49"/>
      <c r="S57" s="49"/>
      <c r="T57" s="71"/>
      <c r="U57" s="71"/>
      <c r="V57" s="71"/>
      <c r="W57" s="71"/>
      <c r="X57" s="71"/>
      <c r="Y57" s="71"/>
    </row>
    <row r="58" spans="1:25">
      <c r="A58" s="49"/>
      <c r="B58" s="49"/>
      <c r="C58" s="49"/>
      <c r="D58" s="49"/>
      <c r="E58" s="49"/>
      <c r="F58" s="49"/>
      <c r="G58" s="49"/>
      <c r="H58" s="49"/>
      <c r="I58" s="49"/>
      <c r="J58" s="49"/>
      <c r="K58" s="49"/>
      <c r="L58" s="49"/>
      <c r="M58" s="49"/>
      <c r="N58" s="49"/>
      <c r="O58" s="49"/>
      <c r="P58" s="49"/>
      <c r="Q58" s="49"/>
      <c r="R58" s="49"/>
      <c r="S58" s="49"/>
      <c r="T58" s="71"/>
      <c r="U58" s="71"/>
      <c r="V58" s="71"/>
      <c r="W58" s="71"/>
      <c r="X58" s="71"/>
      <c r="Y58" s="71"/>
    </row>
    <row r="59" spans="1:25">
      <c r="A59" s="49"/>
      <c r="B59" s="49"/>
      <c r="C59" s="49"/>
      <c r="D59" s="49"/>
      <c r="E59" s="49"/>
      <c r="F59" s="49"/>
      <c r="G59" s="49"/>
      <c r="H59" s="49"/>
      <c r="I59" s="49"/>
      <c r="J59" s="49"/>
      <c r="K59" s="49"/>
      <c r="L59" s="49"/>
      <c r="M59" s="49"/>
      <c r="N59" s="49"/>
      <c r="O59" s="49"/>
      <c r="P59" s="49"/>
      <c r="Q59" s="49"/>
      <c r="R59" s="49"/>
      <c r="S59" s="49"/>
      <c r="T59" s="71"/>
      <c r="U59" s="71"/>
      <c r="V59" s="71"/>
      <c r="W59" s="71"/>
      <c r="X59" s="71"/>
      <c r="Y59" s="71"/>
    </row>
    <row r="60" spans="1:25">
      <c r="A60" s="49"/>
      <c r="B60" s="49"/>
      <c r="C60" s="49"/>
      <c r="D60" s="49"/>
      <c r="E60" s="49"/>
      <c r="F60" s="49"/>
      <c r="G60" s="49"/>
      <c r="H60" s="49"/>
      <c r="I60" s="49"/>
      <c r="J60" s="49"/>
      <c r="K60" s="49"/>
      <c r="L60" s="49"/>
      <c r="M60" s="49"/>
      <c r="N60" s="49"/>
      <c r="O60" s="49"/>
      <c r="P60" s="49"/>
      <c r="Q60" s="49"/>
      <c r="R60" s="49"/>
      <c r="S60" s="49"/>
      <c r="T60" s="71"/>
      <c r="U60" s="71"/>
      <c r="V60" s="71"/>
      <c r="W60" s="71"/>
      <c r="X60" s="71"/>
      <c r="Y60" s="71"/>
    </row>
    <row r="61" spans="1:25">
      <c r="A61" s="49"/>
      <c r="B61" s="49"/>
      <c r="C61" s="49"/>
      <c r="D61" s="49"/>
      <c r="E61" s="49"/>
      <c r="F61" s="49"/>
      <c r="G61" s="49"/>
      <c r="H61" s="49"/>
      <c r="I61" s="49"/>
      <c r="J61" s="49"/>
      <c r="K61" s="49"/>
      <c r="L61" s="49"/>
      <c r="M61" s="49"/>
      <c r="N61" s="49"/>
      <c r="O61" s="49"/>
      <c r="P61" s="49"/>
      <c r="Q61" s="49"/>
      <c r="R61" s="49"/>
      <c r="S61" s="49"/>
      <c r="T61" s="71"/>
      <c r="U61" s="71"/>
      <c r="V61" s="71"/>
      <c r="W61" s="71"/>
      <c r="X61" s="71"/>
      <c r="Y61" s="71"/>
    </row>
    <row r="62" spans="1:25">
      <c r="A62" s="49"/>
      <c r="B62" s="49"/>
      <c r="C62" s="49"/>
      <c r="D62" s="49"/>
      <c r="E62" s="49"/>
      <c r="F62" s="49"/>
      <c r="G62" s="49"/>
      <c r="H62" s="49"/>
      <c r="I62" s="49"/>
      <c r="J62" s="49"/>
      <c r="K62" s="49"/>
      <c r="L62" s="49"/>
      <c r="M62" s="49"/>
      <c r="N62" s="49"/>
      <c r="O62" s="49"/>
      <c r="P62" s="49"/>
      <c r="Q62" s="49"/>
      <c r="R62" s="49"/>
      <c r="S62" s="49"/>
      <c r="T62" s="71"/>
      <c r="U62" s="71"/>
      <c r="V62" s="71"/>
      <c r="W62" s="71"/>
      <c r="X62" s="71"/>
      <c r="Y62" s="71"/>
    </row>
    <row r="63" spans="1:25">
      <c r="A63" s="49"/>
      <c r="B63" s="49"/>
      <c r="C63" s="49"/>
      <c r="D63" s="49"/>
      <c r="E63" s="49"/>
      <c r="F63" s="49"/>
      <c r="G63" s="49"/>
      <c r="H63" s="49"/>
      <c r="I63" s="49"/>
      <c r="J63" s="49"/>
      <c r="K63" s="49"/>
      <c r="L63" s="49"/>
      <c r="M63" s="49"/>
      <c r="N63" s="49"/>
      <c r="O63" s="49"/>
      <c r="P63" s="49"/>
      <c r="Q63" s="49"/>
      <c r="R63" s="49"/>
      <c r="S63" s="49"/>
      <c r="T63" s="71"/>
      <c r="U63" s="71"/>
      <c r="V63" s="71"/>
      <c r="W63" s="71"/>
      <c r="X63" s="71"/>
      <c r="Y63" s="71"/>
    </row>
    <row r="64" spans="1:25">
      <c r="A64" s="73"/>
      <c r="B64" s="73"/>
      <c r="C64" s="73"/>
      <c r="D64" s="73"/>
      <c r="E64" s="73"/>
      <c r="F64" s="73"/>
      <c r="G64" s="73"/>
      <c r="H64" s="73"/>
      <c r="I64" s="73"/>
      <c r="J64" s="73"/>
      <c r="K64" s="73"/>
      <c r="L64" s="73"/>
      <c r="M64" s="73"/>
      <c r="N64" s="73"/>
      <c r="O64" s="73"/>
      <c r="P64" s="73"/>
      <c r="Q64" s="73"/>
      <c r="R64" s="73"/>
      <c r="S64" s="73"/>
    </row>
    <row r="65" spans="1:19">
      <c r="A65" s="49"/>
      <c r="B65" s="73"/>
      <c r="C65" s="73"/>
      <c r="D65" s="73"/>
      <c r="E65" s="73"/>
      <c r="F65" s="73"/>
      <c r="G65" s="73"/>
      <c r="H65" s="73"/>
      <c r="I65" s="73"/>
      <c r="J65" s="73"/>
      <c r="K65" s="73"/>
      <c r="L65" s="73"/>
      <c r="M65" s="73"/>
      <c r="N65" s="73"/>
      <c r="O65" s="73"/>
      <c r="P65" s="73"/>
      <c r="Q65" s="73"/>
      <c r="R65" s="73"/>
      <c r="S65" s="73"/>
    </row>
    <row r="66" spans="1:19">
      <c r="A66" s="73"/>
      <c r="B66" s="73"/>
      <c r="C66" s="73"/>
      <c r="D66" s="73"/>
      <c r="E66" s="73"/>
      <c r="F66" s="73"/>
      <c r="G66" s="73"/>
      <c r="H66" s="73"/>
      <c r="I66" s="73"/>
      <c r="J66" s="73"/>
      <c r="K66" s="73"/>
      <c r="L66" s="73"/>
      <c r="M66" s="73"/>
      <c r="N66" s="73"/>
      <c r="O66" s="73"/>
      <c r="P66" s="73"/>
      <c r="Q66" s="73"/>
      <c r="R66" s="73"/>
      <c r="S66" s="73"/>
    </row>
    <row r="67" spans="1:19">
      <c r="A67" s="49"/>
      <c r="B67" s="73"/>
      <c r="C67" s="73"/>
      <c r="D67" s="73"/>
      <c r="E67" s="73"/>
      <c r="F67" s="73"/>
      <c r="G67" s="73"/>
      <c r="H67" s="73"/>
      <c r="I67" s="73"/>
      <c r="J67" s="73"/>
      <c r="K67" s="73"/>
      <c r="L67" s="73"/>
      <c r="M67" s="73"/>
      <c r="N67" s="73"/>
      <c r="O67" s="73"/>
      <c r="P67" s="73"/>
      <c r="Q67" s="73"/>
      <c r="R67" s="73"/>
      <c r="S67" s="73"/>
    </row>
    <row r="68" spans="1:19">
      <c r="A68" s="73"/>
      <c r="B68" s="73"/>
      <c r="C68" s="73"/>
      <c r="D68" s="73"/>
      <c r="E68" s="73"/>
      <c r="F68" s="73"/>
      <c r="G68" s="73"/>
      <c r="H68" s="73"/>
      <c r="I68" s="73"/>
      <c r="J68" s="73"/>
      <c r="K68" s="73"/>
      <c r="L68" s="73"/>
      <c r="M68" s="73"/>
      <c r="N68" s="73"/>
      <c r="O68" s="73"/>
      <c r="P68" s="73"/>
      <c r="Q68" s="73"/>
      <c r="R68" s="73"/>
      <c r="S68" s="73"/>
    </row>
    <row r="69" spans="1:19">
      <c r="A69" s="73"/>
      <c r="B69" s="73"/>
      <c r="C69" s="73"/>
      <c r="D69" s="73"/>
      <c r="E69" s="73"/>
      <c r="F69" s="73"/>
      <c r="G69" s="73"/>
      <c r="H69" s="73"/>
      <c r="I69" s="73"/>
      <c r="J69" s="73"/>
      <c r="K69" s="73"/>
      <c r="L69" s="73"/>
      <c r="M69" s="73"/>
      <c r="N69" s="73"/>
      <c r="O69" s="73"/>
      <c r="P69" s="73"/>
      <c r="Q69" s="73"/>
      <c r="R69" s="73"/>
      <c r="S69" s="73"/>
    </row>
    <row r="70" spans="1:19">
      <c r="A70" s="73"/>
      <c r="B70" s="73"/>
      <c r="C70" s="73"/>
      <c r="D70" s="73"/>
      <c r="E70" s="73"/>
      <c r="F70" s="73"/>
      <c r="G70" s="73"/>
      <c r="H70" s="73"/>
      <c r="I70" s="73"/>
      <c r="J70" s="73"/>
      <c r="K70" s="73"/>
      <c r="L70" s="73"/>
      <c r="M70" s="73"/>
      <c r="N70" s="73"/>
      <c r="O70" s="73"/>
      <c r="P70" s="73"/>
      <c r="Q70" s="73"/>
      <c r="R70" s="73"/>
      <c r="S70" s="73"/>
    </row>
    <row r="71" spans="1:19">
      <c r="A71" s="73"/>
      <c r="B71" s="73"/>
      <c r="C71" s="73"/>
      <c r="D71" s="73"/>
      <c r="E71" s="73"/>
      <c r="F71" s="73"/>
      <c r="G71" s="73"/>
      <c r="H71" s="73"/>
      <c r="I71" s="73"/>
      <c r="J71" s="73"/>
      <c r="K71" s="73"/>
      <c r="L71" s="73"/>
      <c r="M71" s="73"/>
      <c r="N71" s="73"/>
      <c r="O71" s="73"/>
      <c r="P71" s="73"/>
      <c r="Q71" s="73"/>
      <c r="R71" s="73"/>
      <c r="S71" s="73"/>
    </row>
    <row r="72" spans="1:19">
      <c r="A72" s="73"/>
      <c r="B72" s="73"/>
      <c r="C72" s="73"/>
      <c r="D72" s="73"/>
      <c r="E72" s="73"/>
      <c r="F72" s="73"/>
      <c r="G72" s="73"/>
      <c r="H72" s="73"/>
      <c r="I72" s="73"/>
      <c r="J72" s="73"/>
      <c r="K72" s="73"/>
      <c r="L72" s="73"/>
      <c r="M72" s="73"/>
      <c r="N72" s="73"/>
      <c r="O72" s="73"/>
      <c r="P72" s="73"/>
      <c r="Q72" s="73"/>
      <c r="R72" s="73"/>
      <c r="S72" s="73"/>
    </row>
    <row r="73" spans="1:19">
      <c r="A73" s="73"/>
      <c r="B73" s="73"/>
      <c r="C73" s="73"/>
      <c r="D73" s="73"/>
      <c r="E73" s="73"/>
      <c r="F73" s="73"/>
      <c r="G73" s="73"/>
      <c r="H73" s="73"/>
      <c r="I73" s="73"/>
      <c r="J73" s="73"/>
      <c r="K73" s="73"/>
      <c r="L73" s="73"/>
      <c r="M73" s="73"/>
      <c r="N73" s="73"/>
      <c r="O73" s="73"/>
      <c r="P73" s="73"/>
      <c r="Q73" s="73"/>
      <c r="R73" s="73"/>
      <c r="S73" s="73"/>
    </row>
  </sheetData>
  <mergeCells count="2">
    <mergeCell ref="A1:R1"/>
    <mergeCell ref="Q35:R35"/>
  </mergeCells>
  <phoneticPr fontId="2"/>
  <pageMargins left="0.70866141732283472" right="0.70866141732283472" top="0" bottom="0" header="0.31496062992125984" footer="0.31496062992125984"/>
  <pageSetup paperSize="9" orientation="landscape" r:id="rId1"/>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414B2-B2C7-441C-B466-75EF3C7CD97A}">
  <dimension ref="A1:AE73"/>
  <sheetViews>
    <sheetView zoomScale="90" zoomScaleNormal="90" workbookViewId="0">
      <selection activeCell="G29" sqref="G29"/>
    </sheetView>
  </sheetViews>
  <sheetFormatPr defaultColWidth="9" defaultRowHeight="18.75"/>
  <cols>
    <col min="1" max="18" width="6.625" style="40" customWidth="1"/>
    <col min="19" max="19" width="3.625" style="40" customWidth="1"/>
    <col min="20" max="20" width="6.625" style="40" customWidth="1"/>
    <col min="21" max="21" width="3.625" style="40" customWidth="1"/>
    <col min="22" max="37" width="6.625" style="40" customWidth="1"/>
    <col min="38" max="38" width="3.625" style="40" customWidth="1"/>
    <col min="39" max="16384" width="9" style="40"/>
  </cols>
  <sheetData>
    <row r="1" spans="1:31">
      <c r="A1" s="147" t="s">
        <v>975</v>
      </c>
      <c r="B1" s="147"/>
      <c r="C1" s="147"/>
      <c r="D1" s="147"/>
      <c r="E1" s="147"/>
      <c r="F1" s="147"/>
      <c r="G1" s="147"/>
      <c r="H1" s="147"/>
      <c r="I1" s="147"/>
      <c r="J1" s="147"/>
      <c r="K1" s="147"/>
      <c r="L1" s="147"/>
      <c r="M1" s="147"/>
      <c r="N1" s="147"/>
      <c r="O1" s="147"/>
      <c r="P1" s="147"/>
      <c r="Q1" s="147"/>
      <c r="R1" s="147"/>
      <c r="X1" s="40" t="s">
        <v>495</v>
      </c>
    </row>
    <row r="2" spans="1:31" ht="16.5" customHeight="1">
      <c r="A2" s="26" t="s">
        <v>279</v>
      </c>
      <c r="B2" s="27">
        <v>45343</v>
      </c>
      <c r="C2" s="27">
        <v>45344</v>
      </c>
      <c r="D2" s="27">
        <v>45345</v>
      </c>
      <c r="E2" s="31">
        <v>45346</v>
      </c>
      <c r="F2" s="31">
        <v>45347</v>
      </c>
      <c r="G2" s="27">
        <v>45348</v>
      </c>
      <c r="H2" s="27">
        <v>45349</v>
      </c>
      <c r="I2" s="27">
        <v>45350</v>
      </c>
      <c r="J2" s="27">
        <v>45351</v>
      </c>
      <c r="K2" s="27"/>
      <c r="L2" s="27"/>
      <c r="M2" s="23" t="s">
        <v>324</v>
      </c>
      <c r="N2" s="25">
        <v>45352</v>
      </c>
      <c r="O2" s="30">
        <v>45353</v>
      </c>
      <c r="P2" s="30">
        <v>45354</v>
      </c>
      <c r="Q2" s="25">
        <v>45355</v>
      </c>
      <c r="R2" s="25">
        <v>45356</v>
      </c>
      <c r="V2" s="40" t="s">
        <v>63</v>
      </c>
      <c r="X2" s="40" t="s">
        <v>64</v>
      </c>
      <c r="Z2" s="40" t="s">
        <v>65</v>
      </c>
      <c r="AB2" s="40" t="s">
        <v>169</v>
      </c>
      <c r="AD2" s="40" t="s">
        <v>874</v>
      </c>
    </row>
    <row r="3" spans="1:31" ht="16.5" customHeight="1">
      <c r="A3" s="28">
        <v>1</v>
      </c>
      <c r="B3" s="19"/>
      <c r="C3" s="19"/>
      <c r="D3" s="19"/>
      <c r="E3" s="19" t="s">
        <v>864</v>
      </c>
      <c r="F3" s="19" t="s">
        <v>107</v>
      </c>
      <c r="G3" s="19"/>
      <c r="H3" s="19"/>
      <c r="I3" s="19"/>
      <c r="J3" s="19"/>
      <c r="K3" s="19"/>
      <c r="L3" s="19"/>
      <c r="M3" s="36"/>
      <c r="N3" s="19"/>
      <c r="O3" s="19" t="s">
        <v>769</v>
      </c>
      <c r="P3" s="19" t="s">
        <v>315</v>
      </c>
      <c r="Q3" s="19"/>
      <c r="R3" s="19"/>
      <c r="V3" s="40" t="s">
        <v>25</v>
      </c>
      <c r="W3" s="40">
        <v>1</v>
      </c>
      <c r="X3" s="40" t="s">
        <v>93</v>
      </c>
      <c r="Y3" s="40">
        <v>2</v>
      </c>
      <c r="Z3" s="40" t="s">
        <v>6</v>
      </c>
      <c r="AA3" s="40">
        <v>2</v>
      </c>
      <c r="AB3" s="40" t="s">
        <v>153</v>
      </c>
      <c r="AC3" s="40">
        <v>6</v>
      </c>
      <c r="AD3" s="40" t="s">
        <v>37</v>
      </c>
      <c r="AE3" s="40" t="s">
        <v>1113</v>
      </c>
    </row>
    <row r="4" spans="1:31" ht="16.5" customHeight="1">
      <c r="A4" s="28">
        <v>2</v>
      </c>
      <c r="B4" s="19"/>
      <c r="C4" s="19"/>
      <c r="D4" s="19"/>
      <c r="E4" s="19" t="s">
        <v>1032</v>
      </c>
      <c r="F4" s="19" t="s">
        <v>313</v>
      </c>
      <c r="G4" s="61"/>
      <c r="H4" s="19"/>
      <c r="I4" s="19"/>
      <c r="J4" s="19"/>
      <c r="K4" s="19"/>
      <c r="L4" s="19"/>
      <c r="M4" s="36"/>
      <c r="N4" s="19"/>
      <c r="O4" s="19" t="s">
        <v>153</v>
      </c>
      <c r="P4" s="19" t="s">
        <v>314</v>
      </c>
      <c r="Q4" s="19"/>
      <c r="R4" s="19"/>
      <c r="T4" s="41"/>
      <c r="U4" s="41"/>
      <c r="V4" s="40" t="s">
        <v>2</v>
      </c>
      <c r="W4" s="40">
        <v>2</v>
      </c>
      <c r="X4" s="40" t="s">
        <v>14</v>
      </c>
      <c r="Y4" s="40">
        <v>2</v>
      </c>
      <c r="Z4" s="40" t="s">
        <v>1065</v>
      </c>
      <c r="AA4" s="40">
        <v>3</v>
      </c>
      <c r="AB4" s="40" t="s">
        <v>26</v>
      </c>
      <c r="AC4" s="40">
        <v>2</v>
      </c>
      <c r="AD4" s="40" t="s">
        <v>863</v>
      </c>
      <c r="AE4" s="40">
        <v>4</v>
      </c>
    </row>
    <row r="5" spans="1:31" ht="16.5" customHeight="1">
      <c r="A5" s="28">
        <v>3</v>
      </c>
      <c r="B5" s="19"/>
      <c r="C5" s="19"/>
      <c r="D5" s="19"/>
      <c r="E5" s="19" t="s">
        <v>36</v>
      </c>
      <c r="F5" s="19" t="s">
        <v>1065</v>
      </c>
      <c r="G5" s="19"/>
      <c r="H5" s="19"/>
      <c r="I5" s="19"/>
      <c r="J5" s="19"/>
      <c r="K5" s="19"/>
      <c r="L5" s="19"/>
      <c r="M5" s="36"/>
      <c r="N5" s="19"/>
      <c r="O5" s="19" t="s">
        <v>863</v>
      </c>
      <c r="P5" s="19" t="s">
        <v>6</v>
      </c>
      <c r="Q5" s="19"/>
      <c r="R5" s="19"/>
      <c r="T5" s="41"/>
      <c r="U5" s="41"/>
      <c r="V5" s="40" t="s">
        <v>516</v>
      </c>
      <c r="W5" s="40">
        <v>1</v>
      </c>
      <c r="X5" s="40" t="s">
        <v>23</v>
      </c>
      <c r="Y5" s="40">
        <v>1</v>
      </c>
      <c r="Z5" s="40" t="s">
        <v>863</v>
      </c>
      <c r="AA5" s="40">
        <v>2</v>
      </c>
      <c r="AB5" s="40" t="s">
        <v>1032</v>
      </c>
      <c r="AC5" s="40">
        <v>4</v>
      </c>
      <c r="AD5" s="40" t="s">
        <v>875</v>
      </c>
      <c r="AE5" s="40" t="s">
        <v>1112</v>
      </c>
    </row>
    <row r="6" spans="1:31" ht="16.5" customHeight="1">
      <c r="A6" s="28" t="s">
        <v>20</v>
      </c>
      <c r="B6" s="19" t="s">
        <v>774</v>
      </c>
      <c r="C6" s="19" t="s">
        <v>13</v>
      </c>
      <c r="D6" s="19" t="s">
        <v>13</v>
      </c>
      <c r="E6" s="19" t="s">
        <v>13</v>
      </c>
      <c r="F6" s="19" t="s">
        <v>13</v>
      </c>
      <c r="G6" s="19" t="s">
        <v>312</v>
      </c>
      <c r="H6" s="19" t="s">
        <v>13</v>
      </c>
      <c r="I6" s="19" t="s">
        <v>13</v>
      </c>
      <c r="J6" s="19" t="s">
        <v>13</v>
      </c>
      <c r="K6" s="19"/>
      <c r="L6" s="19"/>
      <c r="M6" s="36"/>
      <c r="N6" s="19" t="s">
        <v>312</v>
      </c>
      <c r="O6" s="19" t="s">
        <v>13</v>
      </c>
      <c r="P6" s="19" t="s">
        <v>13</v>
      </c>
      <c r="Q6" s="19" t="s">
        <v>516</v>
      </c>
      <c r="R6" s="19" t="s">
        <v>13</v>
      </c>
      <c r="T6" s="41"/>
      <c r="U6" s="41"/>
      <c r="V6" s="40" t="s">
        <v>7</v>
      </c>
      <c r="W6" s="40">
        <v>2</v>
      </c>
      <c r="X6" s="40" t="s">
        <v>153</v>
      </c>
      <c r="Y6" s="40">
        <v>1</v>
      </c>
      <c r="Z6" s="40" t="s">
        <v>37</v>
      </c>
      <c r="AA6" s="68">
        <v>3</v>
      </c>
      <c r="AB6" s="40" t="s">
        <v>23</v>
      </c>
      <c r="AC6" s="68">
        <v>8</v>
      </c>
      <c r="AD6" s="40" t="s">
        <v>356</v>
      </c>
      <c r="AE6" s="40" t="s">
        <v>1091</v>
      </c>
    </row>
    <row r="7" spans="1:31" ht="16.5" customHeight="1">
      <c r="A7" s="28" t="s">
        <v>0</v>
      </c>
      <c r="B7" s="19" t="s">
        <v>37</v>
      </c>
      <c r="C7" s="19" t="s">
        <v>13</v>
      </c>
      <c r="D7" s="19" t="s">
        <v>13</v>
      </c>
      <c r="E7" s="19" t="s">
        <v>13</v>
      </c>
      <c r="F7" s="19" t="s">
        <v>13</v>
      </c>
      <c r="G7" s="19" t="s">
        <v>356</v>
      </c>
      <c r="H7" s="19" t="s">
        <v>13</v>
      </c>
      <c r="I7" s="19" t="s">
        <v>13</v>
      </c>
      <c r="J7" s="19" t="s">
        <v>13</v>
      </c>
      <c r="K7" s="19"/>
      <c r="L7" s="19"/>
      <c r="M7" s="36"/>
      <c r="N7" s="19" t="s">
        <v>356</v>
      </c>
      <c r="O7" s="19" t="s">
        <v>9</v>
      </c>
      <c r="P7" s="19" t="s">
        <v>13</v>
      </c>
      <c r="Q7" s="19" t="s">
        <v>875</v>
      </c>
      <c r="R7" s="19" t="s">
        <v>13</v>
      </c>
      <c r="T7" s="41"/>
      <c r="U7" s="41"/>
      <c r="V7" s="40" t="s">
        <v>21</v>
      </c>
      <c r="W7" s="40">
        <v>2</v>
      </c>
      <c r="X7" s="40" t="s">
        <v>327</v>
      </c>
      <c r="Y7" s="40">
        <v>1</v>
      </c>
      <c r="Z7" s="40" t="s">
        <v>875</v>
      </c>
      <c r="AA7" s="40">
        <v>2</v>
      </c>
      <c r="AB7" s="40" t="s">
        <v>25</v>
      </c>
      <c r="AC7" s="40">
        <v>5</v>
      </c>
      <c r="AD7" s="40" t="s">
        <v>6</v>
      </c>
      <c r="AE7" s="40">
        <v>6</v>
      </c>
    </row>
    <row r="8" spans="1:31" ht="16.5" customHeight="1">
      <c r="A8" s="28" t="s">
        <v>1</v>
      </c>
      <c r="B8" s="19"/>
      <c r="C8" s="19"/>
      <c r="D8" s="19"/>
      <c r="E8" s="19"/>
      <c r="F8" s="19"/>
      <c r="G8" s="19"/>
      <c r="H8" s="19"/>
      <c r="I8" s="19"/>
      <c r="J8" s="19"/>
      <c r="K8" s="19"/>
      <c r="L8" s="19"/>
      <c r="M8" s="36"/>
      <c r="N8" s="19"/>
      <c r="O8" s="19"/>
      <c r="P8" s="19"/>
      <c r="Q8" s="19"/>
      <c r="R8" s="19"/>
      <c r="T8" s="41"/>
      <c r="V8" s="40" t="s">
        <v>26</v>
      </c>
      <c r="W8" s="40">
        <v>2</v>
      </c>
      <c r="X8" s="40" t="s">
        <v>28</v>
      </c>
      <c r="Y8" s="40">
        <v>1</v>
      </c>
      <c r="Z8" s="40" t="s">
        <v>36</v>
      </c>
      <c r="AA8" s="64">
        <v>2</v>
      </c>
      <c r="AB8" s="40" t="s">
        <v>327</v>
      </c>
      <c r="AC8" s="64" t="s">
        <v>930</v>
      </c>
    </row>
    <row r="9" spans="1:31" ht="16.5" customHeight="1">
      <c r="A9" s="28" t="s">
        <v>366</v>
      </c>
      <c r="B9" s="19"/>
      <c r="C9" s="19"/>
      <c r="D9" s="19"/>
      <c r="E9" s="19"/>
      <c r="F9" s="19"/>
      <c r="G9" s="19"/>
      <c r="H9" s="19"/>
      <c r="I9" s="19"/>
      <c r="J9" s="19"/>
      <c r="K9" s="19"/>
      <c r="L9" s="19"/>
      <c r="M9" s="36"/>
      <c r="N9" s="19"/>
      <c r="O9" s="19"/>
      <c r="P9" s="19"/>
      <c r="Q9" s="19"/>
      <c r="R9" s="19"/>
      <c r="T9" s="41"/>
      <c r="V9" s="40" t="s">
        <v>27</v>
      </c>
      <c r="W9" s="40">
        <v>2</v>
      </c>
      <c r="X9" s="40" t="s">
        <v>152</v>
      </c>
      <c r="Y9" s="40">
        <v>0</v>
      </c>
      <c r="AB9" s="40" t="s">
        <v>516</v>
      </c>
      <c r="AC9" s="40">
        <v>3</v>
      </c>
    </row>
    <row r="10" spans="1:31" ht="16.5" customHeight="1">
      <c r="A10" s="23" t="s">
        <v>324</v>
      </c>
      <c r="B10" s="25">
        <v>45357</v>
      </c>
      <c r="C10" s="25">
        <v>45358</v>
      </c>
      <c r="D10" s="25">
        <v>45359</v>
      </c>
      <c r="E10" s="30">
        <v>45360</v>
      </c>
      <c r="F10" s="30">
        <v>45361</v>
      </c>
      <c r="G10" s="25">
        <v>45362</v>
      </c>
      <c r="H10" s="25">
        <v>45363</v>
      </c>
      <c r="I10" s="25">
        <v>45364</v>
      </c>
      <c r="J10" s="25">
        <v>45365</v>
      </c>
      <c r="K10" s="25">
        <v>45366</v>
      </c>
      <c r="L10" s="30">
        <v>45367</v>
      </c>
      <c r="M10" s="30">
        <v>45368</v>
      </c>
      <c r="N10" s="25">
        <v>45369</v>
      </c>
      <c r="O10" s="25">
        <v>45370</v>
      </c>
      <c r="P10" s="25">
        <v>45371</v>
      </c>
      <c r="Q10" s="19"/>
      <c r="R10" s="19"/>
      <c r="T10" s="41"/>
      <c r="V10" s="40" t="s">
        <v>533</v>
      </c>
      <c r="W10" s="40">
        <v>0</v>
      </c>
      <c r="X10" s="40" t="s">
        <v>864</v>
      </c>
      <c r="Y10" s="40">
        <v>1</v>
      </c>
      <c r="AB10" s="40" t="s">
        <v>864</v>
      </c>
      <c r="AC10" s="40">
        <v>7</v>
      </c>
    </row>
    <row r="11" spans="1:31" ht="16.5" customHeight="1">
      <c r="A11" s="36">
        <v>1</v>
      </c>
      <c r="B11" s="19"/>
      <c r="C11" s="19"/>
      <c r="D11" s="19"/>
      <c r="E11" s="19" t="s">
        <v>774</v>
      </c>
      <c r="F11" s="19" t="s">
        <v>2</v>
      </c>
      <c r="G11" s="19"/>
      <c r="H11" s="19"/>
      <c r="I11" s="19"/>
      <c r="J11" s="19"/>
      <c r="K11" s="19"/>
      <c r="L11" s="19" t="s">
        <v>7</v>
      </c>
      <c r="M11" s="40" t="s">
        <v>25</v>
      </c>
      <c r="N11" s="19"/>
      <c r="O11" s="19"/>
      <c r="P11" s="19"/>
      <c r="Q11" s="19"/>
      <c r="R11" s="19"/>
      <c r="T11" s="41"/>
      <c r="V11" s="40" t="s">
        <v>774</v>
      </c>
      <c r="W11" s="40">
        <v>1</v>
      </c>
      <c r="X11" s="40" t="s">
        <v>1032</v>
      </c>
      <c r="Y11" s="40">
        <v>1</v>
      </c>
    </row>
    <row r="12" spans="1:31" ht="16.5" customHeight="1">
      <c r="A12" s="36">
        <v>2</v>
      </c>
      <c r="B12" s="19"/>
      <c r="C12" s="19"/>
      <c r="D12" s="19"/>
      <c r="E12" s="19" t="s">
        <v>1129</v>
      </c>
      <c r="F12" s="19" t="s">
        <v>93</v>
      </c>
      <c r="G12" s="19"/>
      <c r="H12" s="19"/>
      <c r="I12" s="19"/>
      <c r="J12" s="19"/>
      <c r="K12" s="19"/>
      <c r="L12" s="19" t="s">
        <v>14</v>
      </c>
      <c r="M12" s="19" t="s">
        <v>864</v>
      </c>
      <c r="N12" s="19"/>
      <c r="O12" s="19"/>
      <c r="P12" s="19"/>
      <c r="Q12" s="19"/>
      <c r="R12" s="19"/>
      <c r="T12" s="41"/>
      <c r="V12" s="40" t="s">
        <v>769</v>
      </c>
      <c r="W12" s="40">
        <v>1</v>
      </c>
      <c r="X12" s="40" t="s">
        <v>516</v>
      </c>
      <c r="Y12" s="40">
        <v>1</v>
      </c>
    </row>
    <row r="13" spans="1:31" ht="16.5" customHeight="1">
      <c r="A13" s="36">
        <v>3</v>
      </c>
      <c r="B13" s="19"/>
      <c r="C13" s="19"/>
      <c r="D13" s="19"/>
      <c r="E13" s="19" t="s">
        <v>1065</v>
      </c>
      <c r="F13" s="19" t="s">
        <v>37</v>
      </c>
      <c r="G13" s="19"/>
      <c r="H13" s="19"/>
      <c r="I13" s="19"/>
      <c r="J13" s="19"/>
      <c r="K13" s="19"/>
      <c r="L13" s="19" t="s">
        <v>36</v>
      </c>
      <c r="M13" s="19" t="s">
        <v>875</v>
      </c>
      <c r="N13" s="19"/>
      <c r="O13" s="19"/>
      <c r="P13" s="19"/>
      <c r="Q13" s="19"/>
      <c r="R13" s="19"/>
      <c r="T13" s="41"/>
      <c r="V13" s="40" t="s">
        <v>314</v>
      </c>
      <c r="W13" s="40">
        <v>0</v>
      </c>
      <c r="X13" s="40" t="s">
        <v>1110</v>
      </c>
      <c r="Y13" s="40">
        <v>2</v>
      </c>
    </row>
    <row r="14" spans="1:31" ht="16.5" customHeight="1">
      <c r="A14" s="36" t="s">
        <v>20</v>
      </c>
      <c r="B14" s="19" t="s">
        <v>516</v>
      </c>
      <c r="C14" s="19" t="s">
        <v>13</v>
      </c>
      <c r="D14" s="19" t="s">
        <v>13</v>
      </c>
      <c r="E14" s="19" t="s">
        <v>13</v>
      </c>
      <c r="F14" s="19" t="s">
        <v>13</v>
      </c>
      <c r="G14" s="19" t="s">
        <v>1032</v>
      </c>
      <c r="H14" s="19" t="s">
        <v>13</v>
      </c>
      <c r="I14" s="19" t="s">
        <v>13</v>
      </c>
      <c r="J14" s="19" t="s">
        <v>13</v>
      </c>
      <c r="K14" s="19" t="s">
        <v>13</v>
      </c>
      <c r="L14" s="19" t="s">
        <v>13</v>
      </c>
      <c r="M14" s="19" t="s">
        <v>13</v>
      </c>
      <c r="N14" s="19" t="s">
        <v>1114</v>
      </c>
      <c r="O14" s="19" t="s">
        <v>13</v>
      </c>
      <c r="P14" s="19" t="s">
        <v>13</v>
      </c>
      <c r="Q14" s="19"/>
      <c r="R14" s="19"/>
      <c r="T14" s="41"/>
      <c r="X14" s="40" t="s">
        <v>25</v>
      </c>
      <c r="Y14" s="40">
        <v>1</v>
      </c>
    </row>
    <row r="15" spans="1:31" ht="16.5" customHeight="1">
      <c r="A15" s="36" t="s">
        <v>0</v>
      </c>
      <c r="B15" s="19" t="s">
        <v>875</v>
      </c>
      <c r="C15" s="19" t="s">
        <v>13</v>
      </c>
      <c r="D15" s="19" t="s">
        <v>13</v>
      </c>
      <c r="E15" s="19" t="s">
        <v>9</v>
      </c>
      <c r="F15" s="19" t="s">
        <v>13</v>
      </c>
      <c r="G15" s="19" t="s">
        <v>356</v>
      </c>
      <c r="H15" s="19" t="s">
        <v>13</v>
      </c>
      <c r="I15" s="19" t="s">
        <v>13</v>
      </c>
      <c r="J15" s="19" t="s">
        <v>13</v>
      </c>
      <c r="K15" s="19" t="s">
        <v>13</v>
      </c>
      <c r="L15" s="19" t="s">
        <v>9</v>
      </c>
      <c r="M15" s="19" t="s">
        <v>13</v>
      </c>
      <c r="N15" s="19" t="s">
        <v>6</v>
      </c>
      <c r="O15" s="19" t="s">
        <v>13</v>
      </c>
      <c r="P15" s="19" t="s">
        <v>13</v>
      </c>
      <c r="Q15" s="19"/>
      <c r="R15" s="19"/>
      <c r="T15" s="41"/>
      <c r="V15" s="40" t="s">
        <v>1111</v>
      </c>
      <c r="W15" s="40">
        <f>SUM(W2:W14)</f>
        <v>14</v>
      </c>
      <c r="Y15" s="40">
        <f>SUM(Y2:Y14)</f>
        <v>14</v>
      </c>
      <c r="AA15" s="40">
        <f>SUM(AA2:AA14)</f>
        <v>14</v>
      </c>
    </row>
    <row r="16" spans="1:31" ht="16.5" customHeight="1">
      <c r="A16" s="36" t="s">
        <v>1</v>
      </c>
      <c r="B16" s="19"/>
      <c r="C16" s="19"/>
      <c r="D16" s="19"/>
      <c r="E16" s="19"/>
      <c r="F16" s="19"/>
      <c r="G16" s="19"/>
      <c r="H16" s="19"/>
      <c r="I16" s="19"/>
      <c r="J16" s="19"/>
      <c r="K16" s="19"/>
      <c r="L16" s="19"/>
      <c r="M16" s="19"/>
      <c r="N16" s="19"/>
      <c r="O16" s="19"/>
      <c r="P16" s="19"/>
      <c r="Q16" s="19"/>
      <c r="R16" s="19"/>
      <c r="T16" s="41"/>
    </row>
    <row r="17" spans="1:31" ht="16.5" customHeight="1">
      <c r="A17" s="36" t="s">
        <v>366</v>
      </c>
      <c r="B17" s="19"/>
      <c r="C17" s="19"/>
      <c r="D17" s="19"/>
      <c r="E17" s="19"/>
      <c r="F17" s="19"/>
      <c r="G17" s="19"/>
      <c r="H17" s="19"/>
      <c r="I17" s="19"/>
      <c r="J17" s="19"/>
      <c r="K17" s="19"/>
      <c r="L17" s="19"/>
      <c r="M17" s="19"/>
      <c r="N17" s="19"/>
      <c r="O17" s="19"/>
      <c r="P17" s="19"/>
      <c r="Q17" s="19"/>
      <c r="R17" s="19"/>
      <c r="T17" s="41"/>
    </row>
    <row r="18" spans="1:31" ht="11.25" customHeight="1">
      <c r="A18" s="42"/>
      <c r="B18" s="37"/>
      <c r="C18" s="37"/>
      <c r="D18" s="37"/>
      <c r="E18" s="37"/>
      <c r="F18" s="37"/>
      <c r="G18" s="37"/>
      <c r="H18" s="38"/>
      <c r="I18" s="38"/>
      <c r="J18" s="38"/>
      <c r="K18" s="38"/>
      <c r="L18" s="38"/>
      <c r="M18" s="38"/>
      <c r="N18" s="38"/>
      <c r="O18" s="38"/>
      <c r="P18" s="37"/>
      <c r="Q18" s="37"/>
      <c r="R18" s="39"/>
      <c r="T18" s="41"/>
      <c r="X18" s="40" t="s">
        <v>779</v>
      </c>
    </row>
    <row r="19" spans="1:31" ht="16.5" customHeight="1">
      <c r="A19" s="23" t="s">
        <v>324</v>
      </c>
      <c r="B19" s="25">
        <v>45372</v>
      </c>
      <c r="C19" s="25">
        <v>45373</v>
      </c>
      <c r="D19" s="30">
        <v>45374</v>
      </c>
      <c r="E19" s="30">
        <v>45375</v>
      </c>
      <c r="F19" s="25">
        <v>45376</v>
      </c>
      <c r="G19" s="25">
        <v>45377</v>
      </c>
      <c r="H19" s="25">
        <v>45378</v>
      </c>
      <c r="I19" s="25">
        <v>45379</v>
      </c>
      <c r="J19" s="25">
        <v>45380</v>
      </c>
      <c r="K19" s="30">
        <v>45381</v>
      </c>
      <c r="L19" s="30">
        <v>45382</v>
      </c>
      <c r="M19" s="26" t="s">
        <v>325</v>
      </c>
      <c r="N19" s="27">
        <v>45383</v>
      </c>
      <c r="O19" s="27">
        <v>45384</v>
      </c>
      <c r="P19" s="27">
        <v>45385</v>
      </c>
      <c r="Q19" s="27">
        <v>45386</v>
      </c>
      <c r="R19" s="27">
        <v>45387</v>
      </c>
      <c r="T19" s="41"/>
      <c r="V19" s="40" t="s">
        <v>63</v>
      </c>
      <c r="X19" s="40" t="s">
        <v>64</v>
      </c>
      <c r="Z19" s="40" t="s">
        <v>65</v>
      </c>
      <c r="AB19" s="40" t="s">
        <v>169</v>
      </c>
      <c r="AD19" s="40" t="s">
        <v>874</v>
      </c>
    </row>
    <row r="20" spans="1:31" ht="16.5" customHeight="1">
      <c r="A20" s="36">
        <v>1</v>
      </c>
      <c r="B20" s="19"/>
      <c r="C20" s="19"/>
      <c r="D20" s="19" t="s">
        <v>312</v>
      </c>
      <c r="E20" s="19" t="s">
        <v>516</v>
      </c>
      <c r="F20" s="19"/>
      <c r="G20" s="19"/>
      <c r="H20" s="19"/>
      <c r="I20" s="19"/>
      <c r="J20" s="19"/>
      <c r="K20" s="19" t="s">
        <v>107</v>
      </c>
      <c r="L20" s="19" t="s">
        <v>769</v>
      </c>
      <c r="M20" s="28"/>
      <c r="N20" s="19"/>
      <c r="O20" s="19"/>
      <c r="P20" s="19"/>
      <c r="Q20" s="19"/>
      <c r="R20" s="19"/>
      <c r="T20" s="41"/>
      <c r="V20" s="40" t="s">
        <v>25</v>
      </c>
      <c r="W20" s="40">
        <v>1</v>
      </c>
      <c r="X20" s="40" t="s">
        <v>93</v>
      </c>
      <c r="Y20" s="40">
        <v>2</v>
      </c>
      <c r="Z20" s="40" t="s">
        <v>6</v>
      </c>
      <c r="AA20" s="40">
        <v>2</v>
      </c>
      <c r="AB20" s="40" t="s">
        <v>153</v>
      </c>
      <c r="AC20" s="40">
        <v>7</v>
      </c>
      <c r="AD20" s="40" t="s">
        <v>37</v>
      </c>
      <c r="AE20" s="40">
        <v>1</v>
      </c>
    </row>
    <row r="21" spans="1:31" ht="16.5" customHeight="1">
      <c r="A21" s="36">
        <v>2</v>
      </c>
      <c r="B21" s="19"/>
      <c r="C21" s="19"/>
      <c r="D21" s="19" t="s">
        <v>313</v>
      </c>
      <c r="E21" s="40" t="s">
        <v>153</v>
      </c>
      <c r="F21" s="19"/>
      <c r="G21" s="19"/>
      <c r="H21" s="19"/>
      <c r="I21" s="19"/>
      <c r="J21" s="19"/>
      <c r="K21" s="19" t="s">
        <v>1032</v>
      </c>
      <c r="L21" s="61" t="s">
        <v>314</v>
      </c>
      <c r="M21" s="28"/>
      <c r="N21" s="19"/>
      <c r="O21" s="19"/>
      <c r="P21" s="19"/>
      <c r="Q21" s="19"/>
      <c r="R21" s="19"/>
      <c r="T21" s="41"/>
      <c r="V21" s="40" t="s">
        <v>2</v>
      </c>
      <c r="W21" s="40">
        <v>2</v>
      </c>
      <c r="X21" s="40" t="s">
        <v>14</v>
      </c>
      <c r="Y21" s="40">
        <v>2</v>
      </c>
      <c r="Z21" s="40" t="s">
        <v>1065</v>
      </c>
      <c r="AA21" s="40">
        <v>4</v>
      </c>
      <c r="AB21" s="40" t="s">
        <v>26</v>
      </c>
      <c r="AC21" s="40">
        <v>2</v>
      </c>
      <c r="AD21" s="40" t="s">
        <v>863</v>
      </c>
      <c r="AE21" s="40">
        <v>7</v>
      </c>
    </row>
    <row r="22" spans="1:31" ht="16.5" customHeight="1">
      <c r="A22" s="36">
        <v>3</v>
      </c>
      <c r="B22" s="19"/>
      <c r="C22" s="19"/>
      <c r="D22" s="19" t="s">
        <v>37</v>
      </c>
      <c r="E22" s="19" t="s">
        <v>863</v>
      </c>
      <c r="F22" s="19"/>
      <c r="G22" s="19"/>
      <c r="H22" s="19"/>
      <c r="I22" s="19"/>
      <c r="J22" s="19"/>
      <c r="K22" s="19" t="s">
        <v>875</v>
      </c>
      <c r="L22" s="19" t="s">
        <v>1065</v>
      </c>
      <c r="M22" s="28"/>
      <c r="N22" s="19"/>
      <c r="O22" s="19"/>
      <c r="P22" s="19"/>
      <c r="Q22" s="19"/>
      <c r="R22" s="19"/>
      <c r="T22" s="41"/>
      <c r="V22" s="40" t="s">
        <v>516</v>
      </c>
      <c r="W22" s="40">
        <v>1</v>
      </c>
      <c r="X22" s="40" t="s">
        <v>23</v>
      </c>
      <c r="Y22" s="40">
        <v>0</v>
      </c>
      <c r="Z22" s="40" t="s">
        <v>863</v>
      </c>
      <c r="AA22" s="40">
        <v>3</v>
      </c>
      <c r="AB22" s="40" t="s">
        <v>1032</v>
      </c>
      <c r="AC22" s="40">
        <v>4</v>
      </c>
      <c r="AD22" s="40" t="s">
        <v>875</v>
      </c>
      <c r="AE22" s="40" t="s">
        <v>895</v>
      </c>
    </row>
    <row r="23" spans="1:31" ht="16.5" customHeight="1">
      <c r="A23" s="36" t="s">
        <v>20</v>
      </c>
      <c r="B23" s="19" t="s">
        <v>1129</v>
      </c>
      <c r="C23" s="19" t="s">
        <v>13</v>
      </c>
      <c r="D23" s="19" t="s">
        <v>13</v>
      </c>
      <c r="E23" s="19" t="s">
        <v>13</v>
      </c>
      <c r="F23" s="19" t="s">
        <v>25</v>
      </c>
      <c r="G23" s="19" t="s">
        <v>13</v>
      </c>
      <c r="H23" s="19" t="s">
        <v>13</v>
      </c>
      <c r="I23" s="19" t="s">
        <v>13</v>
      </c>
      <c r="J23" s="19" t="s">
        <v>13</v>
      </c>
      <c r="K23" s="19" t="s">
        <v>13</v>
      </c>
      <c r="L23" s="19" t="s">
        <v>13</v>
      </c>
      <c r="M23" s="28"/>
      <c r="N23" s="19" t="s">
        <v>153</v>
      </c>
      <c r="O23" s="19" t="s">
        <v>13</v>
      </c>
      <c r="P23" s="19" t="s">
        <v>13</v>
      </c>
      <c r="Q23" s="19" t="s">
        <v>13</v>
      </c>
      <c r="R23" s="19" t="s">
        <v>13</v>
      </c>
      <c r="T23" s="41"/>
      <c r="V23" s="40" t="s">
        <v>7</v>
      </c>
      <c r="W23" s="40">
        <v>2</v>
      </c>
      <c r="X23" s="40" t="s">
        <v>153</v>
      </c>
      <c r="Y23" s="40">
        <v>2</v>
      </c>
      <c r="Z23" s="40" t="s">
        <v>37</v>
      </c>
      <c r="AA23" s="68">
        <v>3</v>
      </c>
      <c r="AB23" s="40" t="s">
        <v>23</v>
      </c>
      <c r="AC23" s="68">
        <v>9</v>
      </c>
      <c r="AD23" s="40" t="s">
        <v>356</v>
      </c>
      <c r="AE23" s="40" t="s">
        <v>931</v>
      </c>
    </row>
    <row r="24" spans="1:31" ht="16.5" customHeight="1">
      <c r="A24" s="36" t="s">
        <v>0</v>
      </c>
      <c r="B24" s="19" t="s">
        <v>6</v>
      </c>
      <c r="C24" s="19" t="s">
        <v>13</v>
      </c>
      <c r="D24" s="19" t="s">
        <v>13</v>
      </c>
      <c r="E24" s="19" t="s">
        <v>13</v>
      </c>
      <c r="F24" s="19" t="s">
        <v>356</v>
      </c>
      <c r="G24" s="19" t="s">
        <v>13</v>
      </c>
      <c r="H24" s="19" t="s">
        <v>13</v>
      </c>
      <c r="I24" s="19" t="s">
        <v>13</v>
      </c>
      <c r="J24" s="19" t="s">
        <v>13</v>
      </c>
      <c r="K24" s="19" t="s">
        <v>9</v>
      </c>
      <c r="L24" s="19" t="s">
        <v>13</v>
      </c>
      <c r="M24" s="28"/>
      <c r="N24" s="19" t="s">
        <v>863</v>
      </c>
      <c r="O24" s="19" t="s">
        <v>13</v>
      </c>
      <c r="P24" s="19" t="s">
        <v>13</v>
      </c>
      <c r="Q24" s="19" t="s">
        <v>13</v>
      </c>
      <c r="R24" s="19" t="s">
        <v>13</v>
      </c>
      <c r="T24" s="41"/>
      <c r="V24" s="40" t="s">
        <v>21</v>
      </c>
      <c r="W24" s="40">
        <v>2</v>
      </c>
      <c r="X24" s="40" t="s">
        <v>327</v>
      </c>
      <c r="Y24" s="40">
        <v>0</v>
      </c>
      <c r="Z24" s="40" t="s">
        <v>875</v>
      </c>
      <c r="AA24" s="40">
        <v>2</v>
      </c>
      <c r="AB24" s="40" t="s">
        <v>25</v>
      </c>
      <c r="AC24" s="40">
        <v>6</v>
      </c>
      <c r="AD24" s="40" t="s">
        <v>6</v>
      </c>
      <c r="AE24" s="40">
        <v>5</v>
      </c>
    </row>
    <row r="25" spans="1:31" ht="16.5" customHeight="1">
      <c r="A25" s="36" t="s">
        <v>1</v>
      </c>
      <c r="B25" s="19"/>
      <c r="C25" s="19"/>
      <c r="D25" s="19"/>
      <c r="E25" s="19"/>
      <c r="F25" s="19"/>
      <c r="G25" s="19"/>
      <c r="H25" s="19"/>
      <c r="I25" s="19"/>
      <c r="J25" s="19"/>
      <c r="K25" s="19"/>
      <c r="L25" s="19"/>
      <c r="M25" s="28"/>
      <c r="N25" s="19"/>
      <c r="O25" s="19"/>
      <c r="P25" s="19"/>
      <c r="Q25" s="19"/>
      <c r="R25" s="19"/>
      <c r="T25" s="41"/>
      <c r="V25" s="40" t="s">
        <v>26</v>
      </c>
      <c r="W25" s="40">
        <v>2</v>
      </c>
      <c r="X25" s="40" t="s">
        <v>28</v>
      </c>
      <c r="Y25" s="40">
        <v>2</v>
      </c>
      <c r="Z25" s="40" t="s">
        <v>36</v>
      </c>
      <c r="AA25" s="64">
        <v>3</v>
      </c>
      <c r="AB25" s="40" t="s">
        <v>327</v>
      </c>
      <c r="AC25" s="64">
        <v>1</v>
      </c>
    </row>
    <row r="26" spans="1:31" ht="16.5" customHeight="1">
      <c r="A26" s="36" t="s">
        <v>366</v>
      </c>
      <c r="B26" s="19"/>
      <c r="C26" s="19"/>
      <c r="D26" s="19"/>
      <c r="E26" s="19"/>
      <c r="F26" s="19"/>
      <c r="G26" s="19"/>
      <c r="H26" s="19"/>
      <c r="I26" s="19"/>
      <c r="J26" s="19"/>
      <c r="K26" s="19"/>
      <c r="L26" s="19"/>
      <c r="M26" s="28"/>
      <c r="N26" s="19"/>
      <c r="O26" s="19"/>
      <c r="P26" s="19"/>
      <c r="Q26" s="19"/>
      <c r="R26" s="19"/>
      <c r="T26" s="41"/>
      <c r="V26" s="40" t="s">
        <v>27</v>
      </c>
      <c r="W26" s="40">
        <v>2</v>
      </c>
      <c r="X26" s="40" t="s">
        <v>152</v>
      </c>
      <c r="Y26" s="40">
        <v>2</v>
      </c>
      <c r="AB26" s="40" t="s">
        <v>516</v>
      </c>
      <c r="AC26" s="40">
        <v>3</v>
      </c>
    </row>
    <row r="27" spans="1:31" ht="16.5" customHeight="1">
      <c r="A27" s="26" t="s">
        <v>325</v>
      </c>
      <c r="B27" s="31">
        <v>45388</v>
      </c>
      <c r="C27" s="31">
        <v>45389</v>
      </c>
      <c r="D27" s="27">
        <v>45390</v>
      </c>
      <c r="E27" s="27">
        <v>45391</v>
      </c>
      <c r="F27" s="27">
        <v>45392</v>
      </c>
      <c r="G27" s="27">
        <v>45393</v>
      </c>
      <c r="H27" s="27">
        <v>45394</v>
      </c>
      <c r="I27" s="31">
        <v>45395</v>
      </c>
      <c r="J27" s="31">
        <v>45396</v>
      </c>
      <c r="K27" s="27">
        <v>45397</v>
      </c>
      <c r="L27" s="27">
        <v>45398</v>
      </c>
      <c r="M27" s="27">
        <v>45399</v>
      </c>
      <c r="N27" s="27">
        <v>45400</v>
      </c>
      <c r="O27" s="27">
        <v>45401</v>
      </c>
      <c r="P27" s="31">
        <v>45402</v>
      </c>
      <c r="Q27" s="19"/>
      <c r="R27" s="19"/>
      <c r="T27" s="41"/>
      <c r="V27" s="40" t="s">
        <v>533</v>
      </c>
      <c r="W27" s="40">
        <v>0</v>
      </c>
      <c r="X27" s="40" t="s">
        <v>864</v>
      </c>
      <c r="Y27" s="40">
        <v>1</v>
      </c>
      <c r="AB27" s="40" t="s">
        <v>864</v>
      </c>
      <c r="AC27" s="40">
        <v>8</v>
      </c>
    </row>
    <row r="28" spans="1:31" ht="16.5" customHeight="1">
      <c r="A28" s="28">
        <v>1</v>
      </c>
      <c r="B28" s="19" t="s">
        <v>315</v>
      </c>
      <c r="C28" s="19" t="s">
        <v>774</v>
      </c>
      <c r="D28" s="19"/>
      <c r="E28" s="19"/>
      <c r="F28" s="19"/>
      <c r="G28" s="19"/>
      <c r="H28" s="19"/>
      <c r="I28" s="19" t="s">
        <v>2</v>
      </c>
      <c r="J28" s="19" t="s">
        <v>7</v>
      </c>
      <c r="K28" s="19"/>
      <c r="L28" s="19"/>
      <c r="M28" s="19"/>
      <c r="N28" s="19"/>
      <c r="O28" s="19"/>
      <c r="P28" s="19" t="s">
        <v>312</v>
      </c>
      <c r="Q28" s="19"/>
      <c r="R28" s="19"/>
      <c r="T28" s="41"/>
      <c r="V28" s="40" t="s">
        <v>774</v>
      </c>
      <c r="W28" s="40">
        <v>2</v>
      </c>
      <c r="X28" s="40" t="s">
        <v>1032</v>
      </c>
      <c r="Y28" s="40">
        <v>2</v>
      </c>
      <c r="AB28" s="40" t="s">
        <v>1114</v>
      </c>
      <c r="AC28" s="40">
        <v>5</v>
      </c>
    </row>
    <row r="29" spans="1:31" ht="16.5" customHeight="1">
      <c r="A29" s="28">
        <v>2</v>
      </c>
      <c r="B29" s="19" t="s">
        <v>93</v>
      </c>
      <c r="C29" s="19" t="s">
        <v>1129</v>
      </c>
      <c r="D29" s="19"/>
      <c r="E29" s="19"/>
      <c r="F29" s="19"/>
      <c r="G29" s="19"/>
      <c r="H29" s="19"/>
      <c r="I29" s="19" t="s">
        <v>14</v>
      </c>
      <c r="J29" s="19" t="s">
        <v>516</v>
      </c>
      <c r="K29" s="19"/>
      <c r="L29" s="19"/>
      <c r="M29" s="19"/>
      <c r="N29" s="19"/>
      <c r="O29" s="19"/>
      <c r="P29" s="19" t="s">
        <v>25</v>
      </c>
      <c r="Q29" s="19"/>
      <c r="R29" s="19"/>
      <c r="T29" s="41"/>
      <c r="V29" s="40" t="s">
        <v>769</v>
      </c>
      <c r="W29" s="40">
        <v>2</v>
      </c>
      <c r="X29" s="40" t="s">
        <v>516</v>
      </c>
      <c r="Y29" s="40">
        <v>1</v>
      </c>
    </row>
    <row r="30" spans="1:31" ht="16.5" customHeight="1">
      <c r="A30" s="28">
        <v>3</v>
      </c>
      <c r="B30" s="19" t="s">
        <v>6</v>
      </c>
      <c r="C30" s="19" t="s">
        <v>37</v>
      </c>
      <c r="D30" s="19"/>
      <c r="E30" s="19"/>
      <c r="F30" s="19"/>
      <c r="G30" s="19"/>
      <c r="H30" s="19"/>
      <c r="I30" s="19" t="s">
        <v>1065</v>
      </c>
      <c r="J30" s="19" t="s">
        <v>36</v>
      </c>
      <c r="K30" s="19"/>
      <c r="L30" s="19"/>
      <c r="M30" s="19"/>
      <c r="N30" s="19"/>
      <c r="O30" s="19"/>
      <c r="P30" s="19" t="s">
        <v>863</v>
      </c>
      <c r="Q30" s="19"/>
      <c r="R30" s="19"/>
      <c r="T30" s="41"/>
      <c r="V30" s="40" t="s">
        <v>314</v>
      </c>
      <c r="W30" s="40">
        <v>0</v>
      </c>
      <c r="X30" s="40" t="s">
        <v>1114</v>
      </c>
      <c r="Y30" s="40">
        <v>2</v>
      </c>
    </row>
    <row r="31" spans="1:31" ht="16.5" customHeight="1">
      <c r="A31" s="28" t="s">
        <v>20</v>
      </c>
      <c r="B31" s="19" t="s">
        <v>153</v>
      </c>
      <c r="C31" s="19" t="s">
        <v>13</v>
      </c>
      <c r="D31" s="19" t="s">
        <v>864</v>
      </c>
      <c r="E31" s="19" t="s">
        <v>13</v>
      </c>
      <c r="F31" s="19" t="s">
        <v>13</v>
      </c>
      <c r="G31" s="19" t="s">
        <v>13</v>
      </c>
      <c r="H31" s="19" t="s">
        <v>13</v>
      </c>
      <c r="I31" s="19" t="s">
        <v>13</v>
      </c>
      <c r="J31" s="19" t="s">
        <v>13</v>
      </c>
      <c r="K31" s="19" t="s">
        <v>769</v>
      </c>
      <c r="L31" s="19" t="s">
        <v>13</v>
      </c>
      <c r="M31" s="19" t="s">
        <v>13</v>
      </c>
      <c r="N31" s="19" t="s">
        <v>13</v>
      </c>
      <c r="O31" s="19" t="s">
        <v>13</v>
      </c>
      <c r="P31" s="19" t="s">
        <v>13</v>
      </c>
      <c r="Q31" s="19"/>
      <c r="R31" s="19"/>
      <c r="T31" s="41"/>
      <c r="V31" s="40" t="s">
        <v>864</v>
      </c>
      <c r="W31" s="40">
        <v>1</v>
      </c>
      <c r="X31" s="40" t="s">
        <v>25</v>
      </c>
      <c r="Y31" s="40">
        <v>1</v>
      </c>
    </row>
    <row r="32" spans="1:31" ht="16.5" customHeight="1">
      <c r="A32" s="28" t="s">
        <v>0</v>
      </c>
      <c r="B32" s="19" t="s">
        <v>9</v>
      </c>
      <c r="C32" s="19" t="s">
        <v>13</v>
      </c>
      <c r="D32" s="19" t="s">
        <v>356</v>
      </c>
      <c r="E32" s="19" t="s">
        <v>13</v>
      </c>
      <c r="F32" s="19" t="s">
        <v>13</v>
      </c>
      <c r="G32" s="19" t="s">
        <v>13</v>
      </c>
      <c r="H32" s="19" t="s">
        <v>13</v>
      </c>
      <c r="I32" s="19" t="s">
        <v>9</v>
      </c>
      <c r="J32" s="19" t="s">
        <v>13</v>
      </c>
      <c r="K32" s="19" t="s">
        <v>875</v>
      </c>
      <c r="L32" s="19" t="s">
        <v>13</v>
      </c>
      <c r="M32" s="19" t="s">
        <v>13</v>
      </c>
      <c r="N32" s="19" t="s">
        <v>13</v>
      </c>
      <c r="O32" s="19" t="s">
        <v>13</v>
      </c>
      <c r="P32" s="19" t="s">
        <v>9</v>
      </c>
      <c r="Q32" s="19"/>
      <c r="R32" s="19"/>
      <c r="T32" s="41"/>
      <c r="V32" s="40" t="s">
        <v>780</v>
      </c>
      <c r="W32" s="40">
        <f>SUM(W19:W31)</f>
        <v>17</v>
      </c>
      <c r="Y32" s="40">
        <f>SUM(Y19:Y31)</f>
        <v>17</v>
      </c>
      <c r="AA32" s="40">
        <f>SUM(AA19:AA31)</f>
        <v>17</v>
      </c>
    </row>
    <row r="33" spans="1:25" ht="16.5" customHeight="1">
      <c r="A33" s="28" t="s">
        <v>1</v>
      </c>
      <c r="B33" s="19"/>
      <c r="C33" s="19"/>
      <c r="D33" s="19"/>
      <c r="E33" s="19"/>
      <c r="F33" s="19"/>
      <c r="G33" s="19"/>
      <c r="H33" s="19"/>
      <c r="I33" s="19"/>
      <c r="J33" s="19"/>
      <c r="K33" s="19"/>
      <c r="L33" s="19"/>
      <c r="M33" s="19"/>
      <c r="N33" s="19"/>
      <c r="O33" s="19"/>
      <c r="P33" s="19"/>
      <c r="Q33" s="19"/>
      <c r="R33" s="19"/>
    </row>
    <row r="34" spans="1:25" ht="16.5" customHeight="1">
      <c r="A34" s="28" t="s">
        <v>366</v>
      </c>
      <c r="B34" s="19"/>
      <c r="C34" s="19"/>
      <c r="D34" s="19"/>
      <c r="E34" s="19"/>
      <c r="F34" s="19"/>
      <c r="G34" s="19"/>
      <c r="H34" s="19"/>
      <c r="I34" s="19"/>
      <c r="J34" s="19"/>
      <c r="K34" s="19"/>
      <c r="L34" s="19"/>
      <c r="M34" s="19"/>
      <c r="N34" s="19"/>
      <c r="O34" s="19"/>
      <c r="P34" s="19"/>
      <c r="Q34" s="19"/>
      <c r="R34" s="19"/>
    </row>
    <row r="35" spans="1:25" ht="12.75" customHeight="1">
      <c r="Q35" s="145" t="s">
        <v>82</v>
      </c>
      <c r="R35" s="145"/>
      <c r="T35" s="41"/>
    </row>
    <row r="36" spans="1:25">
      <c r="A36" s="40" t="s">
        <v>322</v>
      </c>
      <c r="B36" s="49"/>
      <c r="C36" s="49"/>
      <c r="D36" s="49"/>
      <c r="E36" s="49"/>
      <c r="F36" s="49"/>
      <c r="G36" s="49"/>
      <c r="H36" s="55"/>
      <c r="I36" s="49"/>
      <c r="J36" s="49"/>
      <c r="K36" s="49"/>
      <c r="L36" s="49"/>
      <c r="M36" s="49"/>
      <c r="N36" s="49"/>
      <c r="O36" s="49"/>
      <c r="T36" s="41"/>
    </row>
    <row r="37" spans="1:25">
      <c r="A37" t="s">
        <v>1062</v>
      </c>
      <c r="B37" t="s">
        <v>1063</v>
      </c>
      <c r="C37"/>
      <c r="D37"/>
      <c r="E37"/>
      <c r="F37"/>
      <c r="G37" t="s">
        <v>1000</v>
      </c>
      <c r="H37"/>
      <c r="I37" s="55"/>
      <c r="J37" s="55"/>
      <c r="K37" s="55" t="s">
        <v>1108</v>
      </c>
      <c r="L37" s="55"/>
      <c r="M37" s="55"/>
      <c r="N37" s="55"/>
      <c r="O37" s="55"/>
      <c r="P37" s="43"/>
      <c r="Q37" s="43"/>
      <c r="R37" s="43"/>
      <c r="T37" s="41"/>
    </row>
    <row r="38" spans="1:25">
      <c r="A38" s="49" t="s">
        <v>1092</v>
      </c>
      <c r="B38" s="49"/>
      <c r="C38" s="49"/>
      <c r="D38" s="49"/>
      <c r="E38" s="49"/>
      <c r="F38" s="49" t="s">
        <v>1000</v>
      </c>
      <c r="G38" s="49"/>
      <c r="H38" s="49"/>
      <c r="I38" s="55"/>
      <c r="J38" s="55"/>
      <c r="K38" s="55" t="s">
        <v>945</v>
      </c>
      <c r="L38" s="55"/>
      <c r="M38" s="55"/>
      <c r="N38" s="55"/>
      <c r="O38" s="55"/>
      <c r="P38" s="55"/>
      <c r="Q38" s="55"/>
      <c r="R38" s="55"/>
      <c r="S38" s="49"/>
      <c r="T38" s="72"/>
      <c r="U38" s="71"/>
      <c r="V38" s="71"/>
      <c r="W38" s="71"/>
      <c r="X38" s="71"/>
      <c r="Y38" s="71"/>
    </row>
    <row r="39" spans="1:25">
      <c r="A39" s="50" t="s">
        <v>1081</v>
      </c>
      <c r="B39" s="49"/>
      <c r="C39" s="76"/>
      <c r="D39" s="49"/>
      <c r="E39" s="49"/>
      <c r="F39" s="50" t="s">
        <v>1046</v>
      </c>
      <c r="G39" s="77"/>
      <c r="H39" s="49"/>
      <c r="I39" s="55"/>
      <c r="J39" s="55"/>
      <c r="K39" s="55" t="s">
        <v>1130</v>
      </c>
      <c r="L39" s="55"/>
      <c r="M39" s="55"/>
      <c r="N39" s="55"/>
      <c r="O39" s="55"/>
      <c r="P39" s="55"/>
      <c r="Q39" s="55"/>
      <c r="R39" s="55"/>
      <c r="S39" s="49"/>
      <c r="T39" s="72"/>
      <c r="U39" s="71"/>
      <c r="V39" s="71"/>
      <c r="W39" s="71"/>
      <c r="X39" s="71"/>
      <c r="Y39" s="71"/>
    </row>
    <row r="40" spans="1:25">
      <c r="A40" s="50" t="s">
        <v>1115</v>
      </c>
      <c r="B40" s="49"/>
      <c r="C40" s="49"/>
      <c r="D40" s="49"/>
      <c r="E40" s="49"/>
      <c r="F40" s="79" t="s">
        <v>1124</v>
      </c>
      <c r="G40" s="49"/>
      <c r="H40" s="49"/>
      <c r="I40" s="55"/>
      <c r="J40" s="55"/>
      <c r="K40" s="55" t="s">
        <v>1107</v>
      </c>
      <c r="L40" s="55"/>
      <c r="M40" s="55"/>
      <c r="N40" s="55"/>
      <c r="O40" s="55"/>
      <c r="P40" s="55"/>
      <c r="Q40" s="55"/>
      <c r="R40" s="55"/>
      <c r="S40" s="49"/>
      <c r="T40" s="71"/>
      <c r="U40" s="71"/>
      <c r="V40" s="71"/>
      <c r="W40" s="71"/>
      <c r="X40" s="71"/>
      <c r="Y40" s="71"/>
    </row>
    <row r="41" spans="1:25">
      <c r="A41" s="50" t="s">
        <v>1046</v>
      </c>
      <c r="B41" s="49"/>
      <c r="C41" s="49"/>
      <c r="D41" s="49"/>
      <c r="E41" s="49"/>
      <c r="F41" s="75" t="s">
        <v>1048</v>
      </c>
      <c r="G41" s="77"/>
      <c r="H41" s="49"/>
      <c r="I41" s="55"/>
      <c r="J41" s="55"/>
      <c r="K41" s="55" t="s">
        <v>533</v>
      </c>
      <c r="L41" s="55"/>
      <c r="M41" s="55"/>
      <c r="N41" s="55"/>
      <c r="O41" s="55"/>
      <c r="P41" s="55"/>
      <c r="Q41" s="55"/>
      <c r="R41" s="55"/>
      <c r="S41" s="49"/>
      <c r="T41" s="71"/>
      <c r="U41" s="71"/>
      <c r="V41" s="71"/>
      <c r="W41" s="71"/>
      <c r="X41" s="71"/>
      <c r="Y41" s="71"/>
    </row>
    <row r="42" spans="1:25">
      <c r="A42" s="50" t="s">
        <v>1116</v>
      </c>
      <c r="B42" s="49"/>
      <c r="C42" s="49"/>
      <c r="D42" s="49"/>
      <c r="E42" s="49"/>
      <c r="F42" s="75" t="s">
        <v>1125</v>
      </c>
      <c r="G42" s="49"/>
      <c r="H42" s="49"/>
      <c r="I42" s="55"/>
      <c r="J42" s="55"/>
      <c r="K42" s="55" t="s">
        <v>1131</v>
      </c>
      <c r="L42" s="55"/>
      <c r="M42" s="55"/>
      <c r="N42" s="55"/>
      <c r="O42" s="55"/>
      <c r="P42" s="55"/>
      <c r="Q42" s="55"/>
      <c r="R42" s="55"/>
      <c r="S42" s="49"/>
      <c r="T42" s="72"/>
      <c r="U42" s="71"/>
      <c r="V42" s="71"/>
      <c r="W42" s="71"/>
      <c r="X42" s="71"/>
      <c r="Y42" s="71"/>
    </row>
    <row r="43" spans="1:25">
      <c r="A43" s="50" t="s">
        <v>1048</v>
      </c>
      <c r="B43" s="49"/>
      <c r="C43" s="49"/>
      <c r="D43" s="49"/>
      <c r="E43" s="49"/>
      <c r="F43" s="75" t="s">
        <v>1119</v>
      </c>
      <c r="G43" s="49"/>
      <c r="H43" s="49"/>
      <c r="I43" s="55"/>
      <c r="J43" s="55"/>
      <c r="K43" s="55"/>
      <c r="L43" s="55"/>
      <c r="M43" s="55"/>
      <c r="N43" s="55"/>
      <c r="O43" s="55"/>
      <c r="P43" s="55"/>
      <c r="Q43" s="55"/>
      <c r="R43" s="55"/>
      <c r="S43" s="49"/>
      <c r="T43" s="72"/>
      <c r="U43" s="71"/>
      <c r="V43" s="71"/>
      <c r="W43" s="71"/>
      <c r="X43" s="71"/>
      <c r="Y43" s="71"/>
    </row>
    <row r="44" spans="1:25">
      <c r="A44" s="50" t="s">
        <v>1117</v>
      </c>
      <c r="B44" s="49"/>
      <c r="C44" s="49"/>
      <c r="D44" s="49"/>
      <c r="E44" s="49"/>
      <c r="F44" s="50" t="s">
        <v>1126</v>
      </c>
      <c r="G44" s="49"/>
      <c r="H44" s="49"/>
      <c r="I44" s="55"/>
      <c r="J44" s="55"/>
      <c r="K44" s="55"/>
      <c r="L44" s="55"/>
      <c r="M44" s="55"/>
      <c r="N44" s="55"/>
      <c r="O44" s="55"/>
      <c r="P44" s="55"/>
      <c r="Q44" s="55"/>
      <c r="R44" s="55"/>
      <c r="S44" s="49"/>
      <c r="T44" s="72"/>
      <c r="U44" s="71"/>
      <c r="V44" s="71"/>
      <c r="W44" s="71"/>
      <c r="X44" s="71"/>
      <c r="Y44" s="71"/>
    </row>
    <row r="45" spans="1:25">
      <c r="A45" s="50" t="s">
        <v>1055</v>
      </c>
      <c r="B45" s="49"/>
      <c r="C45" s="76"/>
      <c r="D45" s="49"/>
      <c r="E45" s="49"/>
      <c r="F45" s="50" t="s">
        <v>1053</v>
      </c>
      <c r="G45" s="77"/>
      <c r="H45" s="49"/>
      <c r="I45" s="55"/>
      <c r="J45" s="55"/>
      <c r="K45" s="55"/>
      <c r="L45" s="55"/>
      <c r="M45" s="55"/>
      <c r="N45" s="55"/>
      <c r="O45" s="55"/>
      <c r="P45" s="55"/>
      <c r="Q45" s="55"/>
      <c r="R45" s="55"/>
      <c r="S45" s="49"/>
      <c r="T45" s="71"/>
      <c r="U45" s="71"/>
      <c r="V45" s="71"/>
      <c r="W45" s="71"/>
      <c r="X45" s="71"/>
      <c r="Y45" s="71"/>
    </row>
    <row r="46" spans="1:25">
      <c r="A46" s="50" t="s">
        <v>1118</v>
      </c>
      <c r="B46" s="49"/>
      <c r="C46" s="49"/>
      <c r="D46" s="49"/>
      <c r="E46" s="49"/>
      <c r="F46" s="75" t="s">
        <v>1127</v>
      </c>
      <c r="G46" s="49"/>
      <c r="H46" s="49"/>
      <c r="I46" s="55"/>
      <c r="J46" s="55"/>
      <c r="K46" s="55"/>
      <c r="L46" s="55"/>
      <c r="M46" s="55"/>
      <c r="N46" s="55"/>
      <c r="O46" s="55"/>
      <c r="P46" s="55"/>
      <c r="Q46" s="55"/>
      <c r="R46" s="55"/>
      <c r="S46" s="49"/>
      <c r="T46" s="72"/>
      <c r="U46" s="71"/>
      <c r="V46" s="71"/>
      <c r="W46" s="71"/>
      <c r="X46" s="71"/>
      <c r="Y46" s="71"/>
    </row>
    <row r="47" spans="1:25">
      <c r="A47" s="75" t="s">
        <v>1119</v>
      </c>
      <c r="B47" s="49"/>
      <c r="C47" s="49"/>
      <c r="D47" s="49"/>
      <c r="E47" s="49"/>
      <c r="F47" s="75" t="s">
        <v>1052</v>
      </c>
      <c r="G47" s="49"/>
      <c r="H47" s="49"/>
      <c r="I47" s="55"/>
      <c r="J47" s="55"/>
      <c r="K47" s="55"/>
      <c r="L47" s="55"/>
      <c r="M47" s="55"/>
      <c r="N47" s="55"/>
      <c r="O47" s="55"/>
      <c r="P47" s="55"/>
      <c r="Q47" s="55"/>
      <c r="R47" s="55"/>
      <c r="S47" s="49"/>
      <c r="T47" s="72"/>
      <c r="U47" s="71"/>
      <c r="V47" s="71"/>
      <c r="W47" s="71"/>
      <c r="X47" s="71"/>
      <c r="Y47" s="71"/>
    </row>
    <row r="48" spans="1:25">
      <c r="A48" s="50" t="s">
        <v>1120</v>
      </c>
      <c r="B48" s="49"/>
      <c r="C48" s="49"/>
      <c r="D48" s="49"/>
      <c r="E48" s="49"/>
      <c r="F48" s="75" t="s">
        <v>1128</v>
      </c>
      <c r="G48" s="49"/>
      <c r="H48" s="49"/>
      <c r="I48" s="55"/>
      <c r="J48" s="55"/>
      <c r="K48" s="55"/>
      <c r="L48" s="55"/>
      <c r="M48" s="55"/>
      <c r="N48" s="55"/>
      <c r="O48" s="55"/>
      <c r="P48" s="55"/>
      <c r="Q48" s="55"/>
      <c r="R48" s="55"/>
      <c r="S48" s="49"/>
      <c r="T48" s="72"/>
      <c r="U48" s="71"/>
      <c r="V48" s="71"/>
      <c r="W48" s="71"/>
      <c r="X48" s="71"/>
      <c r="Y48" s="71"/>
    </row>
    <row r="49" spans="1:25">
      <c r="A49" s="50" t="s">
        <v>1054</v>
      </c>
      <c r="B49" s="49"/>
      <c r="C49" s="49"/>
      <c r="D49" s="49"/>
      <c r="E49" s="49"/>
      <c r="F49" s="49"/>
      <c r="G49" s="49"/>
      <c r="H49" s="49"/>
      <c r="I49" s="55"/>
      <c r="J49" s="55"/>
      <c r="K49" s="55"/>
      <c r="L49" s="55"/>
      <c r="M49" s="55"/>
      <c r="N49" s="55"/>
      <c r="O49" s="55"/>
      <c r="P49" s="55"/>
      <c r="Q49" s="55"/>
      <c r="R49" s="55"/>
      <c r="S49" s="49"/>
      <c r="T49" s="71"/>
      <c r="U49" s="71"/>
      <c r="V49" s="71"/>
      <c r="W49" s="71"/>
      <c r="X49" s="71"/>
      <c r="Y49" s="71"/>
    </row>
    <row r="50" spans="1:25">
      <c r="A50" s="50" t="s">
        <v>1121</v>
      </c>
      <c r="B50" s="49"/>
      <c r="C50" s="49"/>
      <c r="D50" s="49"/>
      <c r="E50" s="49"/>
      <c r="F50" s="49"/>
      <c r="G50" s="49"/>
      <c r="H50" s="49"/>
      <c r="I50" s="55"/>
      <c r="J50" s="55"/>
      <c r="K50" s="55"/>
      <c r="L50" s="55"/>
      <c r="M50" s="55"/>
      <c r="N50" s="55"/>
      <c r="O50" s="55"/>
      <c r="P50" s="55"/>
      <c r="Q50" s="55"/>
      <c r="R50" s="55"/>
      <c r="S50" s="49"/>
      <c r="T50" s="71"/>
      <c r="U50" s="71"/>
      <c r="V50" s="71"/>
      <c r="W50" s="71"/>
      <c r="X50" s="71"/>
      <c r="Y50" s="71"/>
    </row>
    <row r="51" spans="1:25">
      <c r="A51" s="50" t="s">
        <v>1050</v>
      </c>
      <c r="B51" s="49"/>
      <c r="C51" s="49"/>
      <c r="D51" s="49"/>
      <c r="E51" s="49"/>
      <c r="F51" s="49"/>
      <c r="G51" s="49"/>
      <c r="H51" s="49"/>
      <c r="I51" s="55"/>
      <c r="J51" s="55"/>
      <c r="K51" s="55"/>
      <c r="L51" s="55"/>
      <c r="M51" s="55"/>
      <c r="N51" s="55"/>
      <c r="O51" s="55"/>
      <c r="P51" s="55"/>
      <c r="Q51" s="55"/>
      <c r="R51" s="55"/>
      <c r="S51" s="49"/>
      <c r="T51" s="71"/>
      <c r="U51" s="71"/>
      <c r="V51" s="71"/>
      <c r="W51" s="71"/>
      <c r="X51" s="71"/>
      <c r="Y51" s="71"/>
    </row>
    <row r="52" spans="1:25">
      <c r="A52" s="50" t="s">
        <v>1122</v>
      </c>
      <c r="B52" s="49"/>
      <c r="C52" s="49"/>
      <c r="D52" s="49"/>
      <c r="E52" s="49"/>
      <c r="F52" s="49"/>
      <c r="G52" s="49"/>
      <c r="H52" s="49"/>
      <c r="I52" s="49"/>
      <c r="J52" s="49"/>
      <c r="K52" s="49"/>
      <c r="L52" s="49"/>
      <c r="M52" s="49"/>
      <c r="N52" s="49"/>
      <c r="O52" s="49"/>
      <c r="P52" s="49"/>
      <c r="Q52" s="49"/>
      <c r="R52" s="49"/>
      <c r="S52" s="49"/>
      <c r="T52" s="71"/>
      <c r="U52" s="71"/>
      <c r="V52" s="71"/>
      <c r="W52" s="71"/>
      <c r="X52" s="71"/>
      <c r="Y52" s="71"/>
    </row>
    <row r="53" spans="1:25">
      <c r="A53" s="50" t="s">
        <v>1052</v>
      </c>
      <c r="B53" s="49"/>
      <c r="C53" s="49"/>
      <c r="D53" s="49"/>
      <c r="E53" s="49"/>
      <c r="F53" s="49"/>
      <c r="G53" s="49"/>
      <c r="H53" s="49"/>
      <c r="I53" s="49"/>
      <c r="J53" s="49"/>
      <c r="K53" s="49"/>
      <c r="L53" s="49"/>
      <c r="M53" s="49"/>
      <c r="N53" s="49"/>
      <c r="O53" s="49"/>
      <c r="P53" s="49"/>
      <c r="Q53" s="49"/>
      <c r="R53" s="49"/>
      <c r="S53" s="49"/>
      <c r="T53" s="71"/>
      <c r="U53" s="71"/>
      <c r="V53" s="71"/>
      <c r="W53" s="71"/>
      <c r="X53" s="71"/>
      <c r="Y53" s="71"/>
    </row>
    <row r="54" spans="1:25">
      <c r="A54" s="50" t="s">
        <v>1123</v>
      </c>
      <c r="B54" s="73"/>
      <c r="C54" s="49"/>
      <c r="D54" s="49"/>
      <c r="E54" s="49"/>
      <c r="F54" s="76"/>
      <c r="G54" s="49"/>
      <c r="H54" s="49"/>
      <c r="I54" s="49"/>
      <c r="J54" s="49"/>
      <c r="K54" s="49"/>
      <c r="L54" s="49"/>
      <c r="M54" s="49"/>
      <c r="N54" s="49"/>
      <c r="O54" s="49"/>
      <c r="P54" s="49"/>
      <c r="Q54" s="49"/>
      <c r="R54" s="49"/>
      <c r="S54" s="49"/>
      <c r="T54" s="71"/>
      <c r="U54" s="71"/>
      <c r="V54" s="71"/>
      <c r="W54" s="71"/>
      <c r="X54" s="71"/>
      <c r="Y54" s="71"/>
    </row>
    <row r="55" spans="1:25">
      <c r="A55" s="49"/>
      <c r="B55" s="49"/>
      <c r="C55" s="49"/>
      <c r="D55" s="49"/>
      <c r="E55" s="49"/>
      <c r="F55" s="49"/>
      <c r="G55" s="49"/>
      <c r="H55" s="49"/>
      <c r="I55" s="49"/>
      <c r="J55" s="49"/>
      <c r="K55" s="49"/>
      <c r="L55" s="49"/>
      <c r="M55" s="49"/>
      <c r="N55" s="49"/>
      <c r="O55" s="49"/>
      <c r="P55" s="49"/>
      <c r="Q55" s="49"/>
      <c r="R55" s="49"/>
      <c r="S55" s="49"/>
      <c r="T55" s="71"/>
      <c r="U55" s="71"/>
      <c r="V55" s="71"/>
      <c r="W55" s="71"/>
      <c r="X55" s="71"/>
      <c r="Y55" s="71"/>
    </row>
    <row r="56" spans="1:25">
      <c r="A56" s="49"/>
      <c r="B56" s="49"/>
      <c r="C56" s="49"/>
      <c r="D56" s="49"/>
      <c r="E56" s="49"/>
      <c r="F56" s="49"/>
      <c r="G56" s="49"/>
      <c r="H56" s="49"/>
      <c r="I56" s="49"/>
      <c r="J56" s="49"/>
      <c r="K56" s="49"/>
      <c r="L56" s="49"/>
      <c r="M56" s="49"/>
      <c r="N56" s="49"/>
      <c r="O56" s="49"/>
      <c r="P56" s="49"/>
      <c r="Q56" s="49"/>
      <c r="R56" s="49"/>
      <c r="S56" s="49"/>
      <c r="T56" s="71"/>
      <c r="U56" s="71"/>
      <c r="V56" s="71"/>
      <c r="W56" s="71"/>
      <c r="X56" s="71"/>
      <c r="Y56" s="71"/>
    </row>
    <row r="57" spans="1:25">
      <c r="A57" s="49"/>
      <c r="B57" s="49"/>
      <c r="C57" s="49"/>
      <c r="D57" s="49"/>
      <c r="E57" s="49"/>
      <c r="F57" s="49"/>
      <c r="G57" s="49"/>
      <c r="H57" s="49"/>
      <c r="I57" s="49"/>
      <c r="J57" s="49"/>
      <c r="K57" s="49"/>
      <c r="L57" s="49"/>
      <c r="M57" s="49"/>
      <c r="N57" s="49"/>
      <c r="O57" s="49"/>
      <c r="P57" s="49"/>
      <c r="Q57" s="49"/>
      <c r="R57" s="49"/>
      <c r="S57" s="49"/>
      <c r="T57" s="71"/>
      <c r="U57" s="71"/>
      <c r="V57" s="71"/>
      <c r="W57" s="71"/>
      <c r="X57" s="71"/>
      <c r="Y57" s="71"/>
    </row>
    <row r="58" spans="1:25">
      <c r="A58" s="49"/>
      <c r="B58" s="49"/>
      <c r="C58" s="49"/>
      <c r="D58" s="49"/>
      <c r="E58" s="49"/>
      <c r="F58" s="49"/>
      <c r="G58" s="49"/>
      <c r="H58" s="49"/>
      <c r="I58" s="49"/>
      <c r="J58" s="49"/>
      <c r="K58" s="49"/>
      <c r="L58" s="49"/>
      <c r="M58" s="49"/>
      <c r="N58" s="49"/>
      <c r="O58" s="49"/>
      <c r="P58" s="49"/>
      <c r="Q58" s="49"/>
      <c r="R58" s="49"/>
      <c r="S58" s="49"/>
      <c r="T58" s="71"/>
      <c r="U58" s="71"/>
      <c r="V58" s="71"/>
      <c r="W58" s="71"/>
      <c r="X58" s="71"/>
      <c r="Y58" s="71"/>
    </row>
    <row r="59" spans="1:25">
      <c r="A59" s="49"/>
      <c r="B59" s="49"/>
      <c r="C59" s="49"/>
      <c r="D59" s="49"/>
      <c r="E59" s="49"/>
      <c r="F59" s="49"/>
      <c r="G59" s="49"/>
      <c r="H59" s="49"/>
      <c r="I59" s="49"/>
      <c r="J59" s="49"/>
      <c r="K59" s="49"/>
      <c r="L59" s="49"/>
      <c r="M59" s="49"/>
      <c r="N59" s="49"/>
      <c r="O59" s="49"/>
      <c r="P59" s="49"/>
      <c r="Q59" s="49"/>
      <c r="R59" s="49"/>
      <c r="S59" s="49"/>
      <c r="T59" s="71"/>
      <c r="U59" s="71"/>
      <c r="V59" s="71"/>
      <c r="W59" s="71"/>
      <c r="X59" s="71"/>
      <c r="Y59" s="71"/>
    </row>
    <row r="60" spans="1:25">
      <c r="A60" s="49"/>
      <c r="B60" s="49"/>
      <c r="C60" s="49"/>
      <c r="D60" s="49"/>
      <c r="E60" s="49"/>
      <c r="F60" s="49"/>
      <c r="G60" s="49"/>
      <c r="H60" s="49"/>
      <c r="I60" s="49"/>
      <c r="J60" s="49"/>
      <c r="K60" s="49"/>
      <c r="L60" s="49"/>
      <c r="M60" s="49"/>
      <c r="N60" s="49"/>
      <c r="O60" s="49"/>
      <c r="P60" s="49"/>
      <c r="Q60" s="49"/>
      <c r="R60" s="49"/>
      <c r="S60" s="49"/>
      <c r="T60" s="71"/>
      <c r="U60" s="71"/>
      <c r="V60" s="71"/>
      <c r="W60" s="71"/>
      <c r="X60" s="71"/>
      <c r="Y60" s="71"/>
    </row>
    <row r="61" spans="1:25">
      <c r="A61" s="49"/>
      <c r="B61" s="49"/>
      <c r="C61" s="49"/>
      <c r="D61" s="49"/>
      <c r="E61" s="49"/>
      <c r="F61" s="49"/>
      <c r="G61" s="49"/>
      <c r="H61" s="49"/>
      <c r="I61" s="49"/>
      <c r="J61" s="49"/>
      <c r="K61" s="49"/>
      <c r="L61" s="49"/>
      <c r="M61" s="49"/>
      <c r="N61" s="49"/>
      <c r="O61" s="49"/>
      <c r="P61" s="49"/>
      <c r="Q61" s="49"/>
      <c r="R61" s="49"/>
      <c r="S61" s="49"/>
      <c r="T61" s="71"/>
      <c r="U61" s="71"/>
      <c r="V61" s="71"/>
      <c r="W61" s="71"/>
      <c r="X61" s="71"/>
      <c r="Y61" s="71"/>
    </row>
    <row r="62" spans="1:25">
      <c r="A62" s="49"/>
      <c r="B62" s="49"/>
      <c r="C62" s="49"/>
      <c r="D62" s="49"/>
      <c r="E62" s="49"/>
      <c r="F62" s="49"/>
      <c r="G62" s="49"/>
      <c r="H62" s="49"/>
      <c r="I62" s="49"/>
      <c r="J62" s="49"/>
      <c r="K62" s="49"/>
      <c r="L62" s="49"/>
      <c r="M62" s="49"/>
      <c r="N62" s="49"/>
      <c r="O62" s="49"/>
      <c r="P62" s="49"/>
      <c r="Q62" s="49"/>
      <c r="R62" s="49"/>
      <c r="S62" s="49"/>
      <c r="T62" s="71"/>
      <c r="U62" s="71"/>
      <c r="V62" s="71"/>
      <c r="W62" s="71"/>
      <c r="X62" s="71"/>
      <c r="Y62" s="71"/>
    </row>
    <row r="63" spans="1:25">
      <c r="A63" s="49"/>
      <c r="B63" s="49"/>
      <c r="C63" s="49"/>
      <c r="D63" s="49"/>
      <c r="E63" s="49"/>
      <c r="F63" s="49"/>
      <c r="G63" s="49"/>
      <c r="H63" s="49"/>
      <c r="I63" s="49"/>
      <c r="J63" s="49"/>
      <c r="K63" s="49"/>
      <c r="L63" s="49"/>
      <c r="M63" s="49"/>
      <c r="N63" s="49"/>
      <c r="O63" s="49"/>
      <c r="P63" s="49"/>
      <c r="Q63" s="49"/>
      <c r="R63" s="49"/>
      <c r="S63" s="49"/>
      <c r="T63" s="71"/>
      <c r="U63" s="71"/>
      <c r="V63" s="71"/>
      <c r="W63" s="71"/>
      <c r="X63" s="71"/>
      <c r="Y63" s="71"/>
    </row>
    <row r="64" spans="1:25">
      <c r="A64" s="73"/>
      <c r="B64" s="73"/>
      <c r="C64" s="73"/>
      <c r="D64" s="73"/>
      <c r="E64" s="73"/>
      <c r="F64" s="73"/>
      <c r="G64" s="73"/>
      <c r="H64" s="73"/>
      <c r="I64" s="73"/>
      <c r="J64" s="73"/>
      <c r="K64" s="73"/>
      <c r="L64" s="73"/>
      <c r="M64" s="73"/>
      <c r="N64" s="73"/>
      <c r="O64" s="73"/>
      <c r="P64" s="73"/>
      <c r="Q64" s="73"/>
      <c r="R64" s="73"/>
      <c r="S64" s="73"/>
    </row>
    <row r="65" spans="1:19">
      <c r="A65" s="49"/>
      <c r="B65" s="73"/>
      <c r="C65" s="73"/>
      <c r="D65" s="73"/>
      <c r="E65" s="73"/>
      <c r="F65" s="73"/>
      <c r="G65" s="73"/>
      <c r="H65" s="73"/>
      <c r="I65" s="73"/>
      <c r="J65" s="73"/>
      <c r="K65" s="73"/>
      <c r="L65" s="73"/>
      <c r="M65" s="73"/>
      <c r="N65" s="73"/>
      <c r="O65" s="73"/>
      <c r="P65" s="73"/>
      <c r="Q65" s="73"/>
      <c r="R65" s="73"/>
      <c r="S65" s="73"/>
    </row>
    <row r="66" spans="1:19">
      <c r="A66" s="78"/>
      <c r="B66" s="73"/>
      <c r="C66" s="73"/>
      <c r="D66" s="73"/>
      <c r="E66" s="73"/>
      <c r="F66" s="73"/>
      <c r="G66" s="73"/>
      <c r="H66" s="73"/>
      <c r="I66" s="73"/>
      <c r="J66" s="73"/>
      <c r="K66" s="73"/>
      <c r="L66" s="73"/>
      <c r="M66" s="73"/>
      <c r="N66" s="73"/>
      <c r="O66" s="73"/>
      <c r="P66" s="73"/>
      <c r="Q66" s="73"/>
      <c r="R66" s="73"/>
      <c r="S66" s="73"/>
    </row>
    <row r="67" spans="1:19">
      <c r="A67" s="50"/>
      <c r="B67" s="73"/>
      <c r="C67" s="73"/>
      <c r="D67" s="73"/>
      <c r="E67" s="73"/>
      <c r="F67" s="73"/>
      <c r="G67" s="73"/>
      <c r="H67" s="73"/>
      <c r="I67" s="73"/>
      <c r="J67" s="73"/>
      <c r="K67" s="73"/>
      <c r="L67" s="73"/>
      <c r="M67" s="73"/>
      <c r="N67" s="73"/>
      <c r="O67" s="73"/>
      <c r="P67" s="73"/>
      <c r="Q67" s="73"/>
      <c r="R67" s="73"/>
      <c r="S67" s="73"/>
    </row>
    <row r="68" spans="1:19">
      <c r="A68" s="73"/>
      <c r="B68" s="73"/>
      <c r="C68" s="73"/>
      <c r="D68" s="73"/>
      <c r="E68" s="73"/>
      <c r="F68" s="73"/>
      <c r="G68" s="73"/>
      <c r="H68" s="73"/>
      <c r="I68" s="73"/>
      <c r="J68" s="73"/>
      <c r="K68" s="73"/>
      <c r="L68" s="73"/>
      <c r="M68" s="73"/>
      <c r="N68" s="73"/>
      <c r="O68" s="73"/>
      <c r="P68" s="73"/>
      <c r="Q68" s="73"/>
      <c r="R68" s="73"/>
      <c r="S68" s="73"/>
    </row>
    <row r="69" spans="1:19">
      <c r="A69" s="73"/>
      <c r="B69" s="73"/>
      <c r="C69" s="73"/>
      <c r="D69" s="73"/>
      <c r="E69" s="73"/>
      <c r="F69" s="73"/>
      <c r="G69" s="73"/>
      <c r="H69" s="73"/>
      <c r="I69" s="73"/>
      <c r="J69" s="73"/>
      <c r="K69" s="73"/>
      <c r="L69" s="73"/>
      <c r="M69" s="73"/>
      <c r="N69" s="73"/>
      <c r="O69" s="73"/>
      <c r="P69" s="73"/>
      <c r="Q69" s="73"/>
      <c r="R69" s="73"/>
      <c r="S69" s="73"/>
    </row>
    <row r="70" spans="1:19">
      <c r="A70" s="73"/>
      <c r="B70" s="73"/>
      <c r="C70" s="73"/>
      <c r="D70" s="73"/>
      <c r="E70" s="73"/>
      <c r="F70" s="73"/>
      <c r="G70" s="73"/>
      <c r="H70" s="73"/>
      <c r="I70" s="73"/>
      <c r="J70" s="73"/>
      <c r="K70" s="73"/>
      <c r="L70" s="73"/>
      <c r="M70" s="73"/>
      <c r="N70" s="73"/>
      <c r="O70" s="73"/>
      <c r="P70" s="73"/>
      <c r="Q70" s="73"/>
      <c r="R70" s="73"/>
      <c r="S70" s="73"/>
    </row>
    <row r="71" spans="1:19">
      <c r="A71" s="73"/>
      <c r="B71" s="73"/>
      <c r="C71" s="73"/>
      <c r="D71" s="73"/>
      <c r="E71" s="73"/>
      <c r="F71" s="73"/>
      <c r="G71" s="73"/>
      <c r="H71" s="73"/>
      <c r="I71" s="73"/>
      <c r="J71" s="73"/>
      <c r="K71" s="73"/>
      <c r="L71" s="73"/>
      <c r="M71" s="73"/>
      <c r="N71" s="73"/>
      <c r="O71" s="73"/>
      <c r="P71" s="73"/>
      <c r="Q71" s="73"/>
      <c r="R71" s="73"/>
      <c r="S71" s="73"/>
    </row>
    <row r="72" spans="1:19">
      <c r="A72" s="73"/>
      <c r="B72" s="73"/>
      <c r="C72" s="73"/>
      <c r="D72" s="73"/>
      <c r="E72" s="73"/>
      <c r="F72" s="73"/>
      <c r="G72" s="73"/>
      <c r="H72" s="73"/>
      <c r="I72" s="73"/>
      <c r="J72" s="73"/>
      <c r="K72" s="73"/>
      <c r="L72" s="73"/>
      <c r="M72" s="73"/>
      <c r="N72" s="73"/>
      <c r="O72" s="73"/>
      <c r="P72" s="73"/>
      <c r="Q72" s="73"/>
      <c r="R72" s="73"/>
      <c r="S72" s="73"/>
    </row>
    <row r="73" spans="1:19">
      <c r="A73" s="73"/>
      <c r="B73" s="73"/>
      <c r="C73" s="73"/>
      <c r="D73" s="73"/>
      <c r="E73" s="73"/>
      <c r="F73" s="73"/>
      <c r="G73" s="73"/>
      <c r="H73" s="73"/>
      <c r="I73" s="73"/>
      <c r="J73" s="73"/>
      <c r="K73" s="73"/>
      <c r="L73" s="73"/>
      <c r="M73" s="73"/>
      <c r="N73" s="73"/>
      <c r="O73" s="73"/>
      <c r="P73" s="73"/>
      <c r="Q73" s="73"/>
      <c r="R73" s="73"/>
      <c r="S73" s="73"/>
    </row>
  </sheetData>
  <mergeCells count="2">
    <mergeCell ref="A1:R1"/>
    <mergeCell ref="Q35:R35"/>
  </mergeCells>
  <phoneticPr fontId="2"/>
  <pageMargins left="0.70866141732283472" right="0.70866141732283472" top="0" bottom="0" header="0.31496062992125984" footer="0.31496062992125984"/>
  <pageSetup paperSize="9" orientation="landscape" r:id="rId1"/>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34D76-7E63-45F1-9D46-160F176199E1}">
  <dimension ref="A1:AE73"/>
  <sheetViews>
    <sheetView zoomScale="90" zoomScaleNormal="90" workbookViewId="0">
      <selection activeCell="P30" sqref="P30"/>
    </sheetView>
  </sheetViews>
  <sheetFormatPr defaultColWidth="9" defaultRowHeight="18.75"/>
  <cols>
    <col min="1" max="18" width="6.625" style="40" customWidth="1"/>
    <col min="19" max="19" width="3.625" style="40" customWidth="1"/>
    <col min="20" max="20" width="6.625" style="40" customWidth="1"/>
    <col min="21" max="21" width="3.625" style="40" customWidth="1"/>
    <col min="22" max="37" width="6.625" style="40" customWidth="1"/>
    <col min="38" max="38" width="3.625" style="40" customWidth="1"/>
    <col min="39" max="16384" width="9" style="40"/>
  </cols>
  <sheetData>
    <row r="1" spans="1:31">
      <c r="A1" s="147" t="s">
        <v>964</v>
      </c>
      <c r="B1" s="147"/>
      <c r="C1" s="147"/>
      <c r="D1" s="147"/>
      <c r="E1" s="147"/>
      <c r="F1" s="147"/>
      <c r="G1" s="147"/>
      <c r="H1" s="147"/>
      <c r="I1" s="147"/>
      <c r="J1" s="147"/>
      <c r="K1" s="147"/>
      <c r="L1" s="147"/>
      <c r="M1" s="147"/>
      <c r="N1" s="147"/>
      <c r="O1" s="147"/>
      <c r="P1" s="147"/>
      <c r="Q1" s="147"/>
      <c r="R1" s="147"/>
      <c r="X1" s="40" t="s">
        <v>669</v>
      </c>
    </row>
    <row r="2" spans="1:31" ht="16.5" customHeight="1">
      <c r="A2" s="26" t="s">
        <v>244</v>
      </c>
      <c r="B2" s="27">
        <v>45281</v>
      </c>
      <c r="C2" s="27">
        <v>45282</v>
      </c>
      <c r="D2" s="31">
        <v>45283</v>
      </c>
      <c r="E2" s="31">
        <v>45284</v>
      </c>
      <c r="F2" s="27">
        <v>45285</v>
      </c>
      <c r="G2" s="27">
        <v>45286</v>
      </c>
      <c r="H2" s="27">
        <v>45287</v>
      </c>
      <c r="I2" s="27">
        <v>45288</v>
      </c>
      <c r="J2" s="31">
        <v>45289</v>
      </c>
      <c r="K2" s="31">
        <v>45290</v>
      </c>
      <c r="L2" s="31">
        <v>45291</v>
      </c>
      <c r="M2" s="23" t="s">
        <v>278</v>
      </c>
      <c r="N2" s="30">
        <v>45292</v>
      </c>
      <c r="O2" s="30">
        <v>45293</v>
      </c>
      <c r="P2" s="30">
        <v>45294</v>
      </c>
      <c r="Q2" s="25">
        <v>45295</v>
      </c>
      <c r="R2" s="25">
        <v>45296</v>
      </c>
      <c r="V2" s="40" t="s">
        <v>63</v>
      </c>
      <c r="X2" s="40" t="s">
        <v>64</v>
      </c>
      <c r="Z2" s="40" t="s">
        <v>65</v>
      </c>
      <c r="AB2" s="40" t="s">
        <v>169</v>
      </c>
      <c r="AD2" s="40" t="s">
        <v>874</v>
      </c>
    </row>
    <row r="3" spans="1:31" ht="16.5" customHeight="1">
      <c r="A3" s="28">
        <v>1</v>
      </c>
      <c r="B3" s="19"/>
      <c r="C3" s="19"/>
      <c r="D3" s="44"/>
      <c r="E3" s="44"/>
      <c r="F3" s="19"/>
      <c r="G3" s="19"/>
      <c r="H3" s="19"/>
      <c r="I3" s="19"/>
      <c r="J3" s="44"/>
      <c r="K3" s="44"/>
      <c r="L3" s="44"/>
      <c r="M3" s="36">
        <v>1</v>
      </c>
      <c r="N3" s="44"/>
      <c r="O3" s="44"/>
      <c r="P3" s="44"/>
      <c r="Q3" s="19"/>
      <c r="R3" s="19"/>
      <c r="V3" s="40" t="s">
        <v>25</v>
      </c>
      <c r="W3" s="40">
        <v>2</v>
      </c>
      <c r="X3" s="40" t="s">
        <v>45</v>
      </c>
      <c r="Y3" s="40">
        <v>3</v>
      </c>
      <c r="Z3" s="40" t="s">
        <v>6</v>
      </c>
      <c r="AA3" s="40">
        <v>3</v>
      </c>
      <c r="AB3" s="40" t="s">
        <v>153</v>
      </c>
      <c r="AC3" s="40">
        <v>6</v>
      </c>
      <c r="AD3" s="40" t="s">
        <v>37</v>
      </c>
      <c r="AE3" s="40">
        <v>8</v>
      </c>
    </row>
    <row r="4" spans="1:31" ht="16.5" customHeight="1">
      <c r="A4" s="28">
        <v>2</v>
      </c>
      <c r="B4" s="19"/>
      <c r="C4" s="19"/>
      <c r="D4" s="44"/>
      <c r="E4" s="44"/>
      <c r="F4" s="19"/>
      <c r="G4" s="61"/>
      <c r="H4" s="19"/>
      <c r="I4" s="19"/>
      <c r="J4" s="44"/>
      <c r="K4" s="44"/>
      <c r="L4" s="44"/>
      <c r="M4" s="36">
        <v>2</v>
      </c>
      <c r="N4" s="44"/>
      <c r="O4" s="44"/>
      <c r="P4" s="80"/>
      <c r="Q4" s="19"/>
      <c r="R4" s="19"/>
      <c r="T4" s="41"/>
      <c r="U4" s="41"/>
      <c r="V4" s="40" t="s">
        <v>2</v>
      </c>
      <c r="W4" s="40">
        <v>2</v>
      </c>
      <c r="X4" s="40" t="s">
        <v>14</v>
      </c>
      <c r="Y4" s="40">
        <v>2</v>
      </c>
      <c r="Z4" s="40" t="s">
        <v>1065</v>
      </c>
      <c r="AA4" s="40">
        <v>3</v>
      </c>
      <c r="AB4" s="40" t="s">
        <v>26</v>
      </c>
      <c r="AC4" s="40">
        <v>3</v>
      </c>
      <c r="AD4" s="40" t="s">
        <v>863</v>
      </c>
      <c r="AE4" s="40">
        <v>2</v>
      </c>
    </row>
    <row r="5" spans="1:31" ht="16.5" customHeight="1">
      <c r="A5" s="28">
        <v>3</v>
      </c>
      <c r="B5" s="19"/>
      <c r="C5" s="19"/>
      <c r="D5" s="44"/>
      <c r="E5" s="44"/>
      <c r="F5" s="19"/>
      <c r="G5" s="19"/>
      <c r="H5" s="19"/>
      <c r="I5" s="19"/>
      <c r="J5" s="44"/>
      <c r="K5" s="44"/>
      <c r="L5" s="44"/>
      <c r="M5" s="36">
        <v>3</v>
      </c>
      <c r="N5" s="44"/>
      <c r="O5" s="44"/>
      <c r="P5" s="44"/>
      <c r="Q5" s="19"/>
      <c r="R5" s="19"/>
      <c r="T5" s="41"/>
      <c r="U5" s="41"/>
      <c r="V5" s="40" t="s">
        <v>516</v>
      </c>
      <c r="W5" s="40">
        <v>0</v>
      </c>
      <c r="X5" s="40" t="s">
        <v>23</v>
      </c>
      <c r="Y5" s="40">
        <v>1</v>
      </c>
      <c r="Z5" s="40" t="s">
        <v>863</v>
      </c>
      <c r="AA5" s="40">
        <v>2</v>
      </c>
      <c r="AB5" s="40" t="s">
        <v>1032</v>
      </c>
      <c r="AC5" s="40">
        <v>7</v>
      </c>
      <c r="AD5" s="40" t="s">
        <v>875</v>
      </c>
      <c r="AE5" s="40">
        <v>4</v>
      </c>
    </row>
    <row r="6" spans="1:31" ht="16.5" customHeight="1">
      <c r="A6" s="28" t="s">
        <v>20</v>
      </c>
      <c r="B6" s="19" t="s">
        <v>774</v>
      </c>
      <c r="C6" s="19" t="s">
        <v>13</v>
      </c>
      <c r="D6" s="44"/>
      <c r="E6" s="44"/>
      <c r="F6" s="19" t="s">
        <v>312</v>
      </c>
      <c r="G6" s="19" t="s">
        <v>13</v>
      </c>
      <c r="H6" s="19" t="s">
        <v>13</v>
      </c>
      <c r="I6" s="19" t="s">
        <v>13</v>
      </c>
      <c r="J6" s="44"/>
      <c r="K6" s="44"/>
      <c r="L6" s="44"/>
      <c r="M6" s="36" t="s">
        <v>20</v>
      </c>
      <c r="N6" s="44"/>
      <c r="O6" s="44"/>
      <c r="P6" s="44"/>
      <c r="Q6" s="19" t="s">
        <v>312</v>
      </c>
      <c r="R6" s="19" t="s">
        <v>13</v>
      </c>
      <c r="T6" s="41"/>
      <c r="U6" s="41"/>
      <c r="V6" s="40" t="s">
        <v>7</v>
      </c>
      <c r="W6" s="40">
        <v>2</v>
      </c>
      <c r="X6" s="40" t="s">
        <v>153</v>
      </c>
      <c r="Y6" s="40">
        <v>2</v>
      </c>
      <c r="Z6" s="40" t="s">
        <v>37</v>
      </c>
      <c r="AA6" s="68">
        <v>3</v>
      </c>
      <c r="AB6" s="40" t="s">
        <v>23</v>
      </c>
      <c r="AC6" s="68" t="s">
        <v>930</v>
      </c>
      <c r="AD6" s="40" t="s">
        <v>356</v>
      </c>
      <c r="AE6" s="40" t="s">
        <v>1091</v>
      </c>
    </row>
    <row r="7" spans="1:31" ht="16.5" customHeight="1">
      <c r="A7" s="28" t="s">
        <v>0</v>
      </c>
      <c r="B7" s="19" t="s">
        <v>356</v>
      </c>
      <c r="C7" s="19" t="s">
        <v>13</v>
      </c>
      <c r="D7" s="44"/>
      <c r="E7" s="44"/>
      <c r="F7" s="19" t="s">
        <v>875</v>
      </c>
      <c r="G7" s="19" t="s">
        <v>13</v>
      </c>
      <c r="H7" s="19" t="s">
        <v>13</v>
      </c>
      <c r="I7" s="19" t="s">
        <v>13</v>
      </c>
      <c r="J7" s="44"/>
      <c r="K7" s="44"/>
      <c r="L7" s="44"/>
      <c r="M7" s="36" t="s">
        <v>0</v>
      </c>
      <c r="N7" s="44"/>
      <c r="O7" s="44"/>
      <c r="P7" s="44"/>
      <c r="Q7" s="19" t="s">
        <v>356</v>
      </c>
      <c r="R7" s="19" t="s">
        <v>13</v>
      </c>
      <c r="T7" s="41"/>
      <c r="U7" s="41"/>
      <c r="V7" s="40" t="s">
        <v>21</v>
      </c>
      <c r="W7" s="40">
        <v>3</v>
      </c>
      <c r="X7" s="40" t="s">
        <v>327</v>
      </c>
      <c r="Y7" s="40">
        <v>1</v>
      </c>
      <c r="Z7" s="40" t="s">
        <v>875</v>
      </c>
      <c r="AA7" s="40">
        <v>4</v>
      </c>
      <c r="AB7" s="40" t="s">
        <v>25</v>
      </c>
      <c r="AC7" s="40">
        <v>5</v>
      </c>
      <c r="AD7" s="40" t="s">
        <v>6</v>
      </c>
      <c r="AE7" s="40">
        <v>6</v>
      </c>
    </row>
    <row r="8" spans="1:31" ht="16.5" customHeight="1">
      <c r="A8" s="28" t="s">
        <v>1</v>
      </c>
      <c r="B8" s="19"/>
      <c r="C8" s="19"/>
      <c r="D8" s="44"/>
      <c r="E8" s="44"/>
      <c r="F8" s="19"/>
      <c r="G8" s="19"/>
      <c r="H8" s="19"/>
      <c r="I8" s="19"/>
      <c r="J8" s="44"/>
      <c r="K8" s="44"/>
      <c r="L8" s="44"/>
      <c r="M8" s="36" t="s">
        <v>1</v>
      </c>
      <c r="N8" s="44"/>
      <c r="O8" s="44"/>
      <c r="P8" s="44"/>
      <c r="Q8" s="19"/>
      <c r="R8" s="19"/>
      <c r="T8" s="41"/>
      <c r="V8" s="40" t="s">
        <v>26</v>
      </c>
      <c r="W8" s="40">
        <v>2</v>
      </c>
      <c r="X8" s="40" t="s">
        <v>28</v>
      </c>
      <c r="Y8" s="40">
        <v>2</v>
      </c>
      <c r="Z8" s="40" t="s">
        <v>36</v>
      </c>
      <c r="AA8" s="64">
        <v>3</v>
      </c>
      <c r="AB8" s="40" t="s">
        <v>327</v>
      </c>
      <c r="AC8" s="64" t="s">
        <v>963</v>
      </c>
    </row>
    <row r="9" spans="1:31" ht="16.5" customHeight="1">
      <c r="A9" s="28" t="s">
        <v>366</v>
      </c>
      <c r="B9" s="19"/>
      <c r="C9" s="19"/>
      <c r="D9" s="44"/>
      <c r="E9" s="44"/>
      <c r="F9" s="19"/>
      <c r="G9" s="19"/>
      <c r="H9" s="19"/>
      <c r="I9" s="19"/>
      <c r="J9" s="44"/>
      <c r="K9" s="44"/>
      <c r="L9" s="44"/>
      <c r="M9" s="36" t="s">
        <v>366</v>
      </c>
      <c r="N9" s="44"/>
      <c r="O9" s="44"/>
      <c r="P9" s="44"/>
      <c r="Q9" s="19"/>
      <c r="R9" s="19"/>
      <c r="T9" s="41"/>
      <c r="V9" s="40" t="s">
        <v>27</v>
      </c>
      <c r="W9" s="40">
        <v>2</v>
      </c>
      <c r="X9" s="40" t="s">
        <v>152</v>
      </c>
      <c r="Y9" s="40">
        <v>2</v>
      </c>
      <c r="AB9" s="40" t="s">
        <v>516</v>
      </c>
      <c r="AC9" s="40">
        <v>4</v>
      </c>
    </row>
    <row r="10" spans="1:31" ht="16.5" customHeight="1">
      <c r="A10" s="23" t="s">
        <v>278</v>
      </c>
      <c r="B10" s="30">
        <v>45297</v>
      </c>
      <c r="C10" s="30">
        <v>45298</v>
      </c>
      <c r="D10" s="25">
        <v>45299</v>
      </c>
      <c r="E10" s="25">
        <v>45300</v>
      </c>
      <c r="F10" s="25">
        <v>45301</v>
      </c>
      <c r="G10" s="25">
        <v>45302</v>
      </c>
      <c r="H10" s="25">
        <v>45303</v>
      </c>
      <c r="I10" s="30">
        <v>45304</v>
      </c>
      <c r="J10" s="30">
        <v>45305</v>
      </c>
      <c r="K10" s="25">
        <v>45306</v>
      </c>
      <c r="L10" s="25">
        <v>45307</v>
      </c>
      <c r="M10" s="25">
        <v>45308</v>
      </c>
      <c r="N10" s="25">
        <v>45309</v>
      </c>
      <c r="O10" s="25">
        <v>45310</v>
      </c>
      <c r="P10" s="30">
        <v>45311</v>
      </c>
      <c r="Q10" s="19"/>
      <c r="R10" s="19"/>
      <c r="T10" s="41"/>
      <c r="V10" s="40" t="s">
        <v>533</v>
      </c>
      <c r="W10" s="40">
        <v>3</v>
      </c>
      <c r="X10" s="40" t="s">
        <v>864</v>
      </c>
      <c r="Y10" s="40">
        <v>2</v>
      </c>
      <c r="AB10" s="40" t="s">
        <v>864</v>
      </c>
      <c r="AC10" s="40">
        <v>8</v>
      </c>
    </row>
    <row r="11" spans="1:31" ht="16.5" customHeight="1">
      <c r="A11" s="36">
        <v>1</v>
      </c>
      <c r="B11" s="19" t="s">
        <v>107</v>
      </c>
      <c r="C11" s="19" t="s">
        <v>25</v>
      </c>
      <c r="D11" s="19"/>
      <c r="E11" s="19"/>
      <c r="F11" s="19"/>
      <c r="G11" s="19"/>
      <c r="H11" s="19"/>
      <c r="I11" s="19" t="s">
        <v>315</v>
      </c>
      <c r="J11" s="19" t="s">
        <v>2</v>
      </c>
      <c r="K11" s="19"/>
      <c r="L11" s="19"/>
      <c r="N11" s="19"/>
      <c r="O11" s="19"/>
      <c r="P11" s="19" t="s">
        <v>7</v>
      </c>
      <c r="Q11" s="19"/>
      <c r="R11" s="19"/>
      <c r="T11" s="41"/>
      <c r="V11" s="40" t="s">
        <v>774</v>
      </c>
      <c r="W11" s="40">
        <v>1</v>
      </c>
      <c r="X11" s="40" t="s">
        <v>1032</v>
      </c>
      <c r="Y11" s="40">
        <v>1</v>
      </c>
    </row>
    <row r="12" spans="1:31" ht="16.5" customHeight="1">
      <c r="A12" s="36">
        <v>2</v>
      </c>
      <c r="B12" s="19" t="s">
        <v>769</v>
      </c>
      <c r="C12" s="19" t="s">
        <v>774</v>
      </c>
      <c r="D12" s="19"/>
      <c r="E12" s="19"/>
      <c r="F12" s="19"/>
      <c r="G12" s="19"/>
      <c r="H12" s="19"/>
      <c r="I12" s="19" t="s">
        <v>153</v>
      </c>
      <c r="J12" s="19" t="s">
        <v>93</v>
      </c>
      <c r="K12" s="19"/>
      <c r="L12" s="19"/>
      <c r="M12" s="19"/>
      <c r="N12" s="19"/>
      <c r="O12" s="19"/>
      <c r="P12" s="19" t="s">
        <v>864</v>
      </c>
      <c r="Q12" s="19"/>
      <c r="R12" s="19"/>
      <c r="T12" s="41"/>
      <c r="V12" s="40" t="s">
        <v>769</v>
      </c>
      <c r="W12" s="40">
        <v>1</v>
      </c>
      <c r="X12" s="40" t="s">
        <v>516</v>
      </c>
      <c r="Y12" s="40">
        <v>1</v>
      </c>
    </row>
    <row r="13" spans="1:31" ht="16.5" customHeight="1">
      <c r="A13" s="36">
        <v>3</v>
      </c>
      <c r="B13" s="19" t="s">
        <v>37</v>
      </c>
      <c r="C13" s="19" t="s">
        <v>1065</v>
      </c>
      <c r="D13" s="19"/>
      <c r="E13" s="19"/>
      <c r="F13" s="19"/>
      <c r="G13" s="19"/>
      <c r="H13" s="19"/>
      <c r="I13" s="19" t="s">
        <v>36</v>
      </c>
      <c r="J13" s="19" t="s">
        <v>6</v>
      </c>
      <c r="K13" s="19"/>
      <c r="L13" s="19"/>
      <c r="M13" s="19"/>
      <c r="N13" s="19"/>
      <c r="O13" s="19"/>
      <c r="P13" s="19" t="s">
        <v>875</v>
      </c>
      <c r="Q13" s="19"/>
      <c r="R13" s="19"/>
      <c r="T13" s="41"/>
      <c r="V13" s="40" t="s">
        <v>314</v>
      </c>
      <c r="W13" s="40">
        <v>0</v>
      </c>
      <c r="X13" s="40" t="s">
        <v>7</v>
      </c>
      <c r="Y13" s="40">
        <v>1</v>
      </c>
    </row>
    <row r="14" spans="1:31" ht="16.5" customHeight="1">
      <c r="A14" s="36" t="s">
        <v>20</v>
      </c>
      <c r="B14" s="19" t="s">
        <v>312</v>
      </c>
      <c r="C14" s="19" t="s">
        <v>13</v>
      </c>
      <c r="D14" s="19" t="s">
        <v>516</v>
      </c>
      <c r="E14" s="19" t="s">
        <v>13</v>
      </c>
      <c r="F14" s="19" t="s">
        <v>13</v>
      </c>
      <c r="G14" s="19" t="s">
        <v>13</v>
      </c>
      <c r="H14" s="19" t="s">
        <v>13</v>
      </c>
      <c r="I14" s="19" t="s">
        <v>13</v>
      </c>
      <c r="J14" s="19" t="s">
        <v>13</v>
      </c>
      <c r="K14" s="19" t="s">
        <v>1032</v>
      </c>
      <c r="L14" s="19" t="s">
        <v>13</v>
      </c>
      <c r="M14" s="19" t="s">
        <v>13</v>
      </c>
      <c r="N14" s="19" t="s">
        <v>13</v>
      </c>
      <c r="O14" s="19" t="s">
        <v>13</v>
      </c>
      <c r="P14" s="19" t="s">
        <v>13</v>
      </c>
      <c r="Q14" s="19"/>
      <c r="R14" s="19"/>
      <c r="T14" s="41"/>
    </row>
    <row r="15" spans="1:31" ht="16.5" customHeight="1">
      <c r="A15" s="36" t="s">
        <v>0</v>
      </c>
      <c r="B15" s="19" t="s">
        <v>9</v>
      </c>
      <c r="C15" s="19" t="s">
        <v>13</v>
      </c>
      <c r="D15" s="19" t="s">
        <v>863</v>
      </c>
      <c r="E15" s="19" t="s">
        <v>13</v>
      </c>
      <c r="F15" s="19" t="s">
        <v>13</v>
      </c>
      <c r="G15" s="19" t="s">
        <v>13</v>
      </c>
      <c r="H15" s="19" t="s">
        <v>13</v>
      </c>
      <c r="I15" s="19" t="s">
        <v>13</v>
      </c>
      <c r="J15" s="19" t="s">
        <v>13</v>
      </c>
      <c r="K15" s="19" t="s">
        <v>356</v>
      </c>
      <c r="L15" s="19" t="s">
        <v>13</v>
      </c>
      <c r="M15" s="19" t="s">
        <v>13</v>
      </c>
      <c r="N15" s="19" t="s">
        <v>13</v>
      </c>
      <c r="O15" s="19" t="s">
        <v>13</v>
      </c>
      <c r="P15" s="19" t="s">
        <v>9</v>
      </c>
      <c r="Q15" s="19"/>
      <c r="R15" s="19"/>
      <c r="T15" s="41"/>
      <c r="V15" s="40" t="s">
        <v>567</v>
      </c>
      <c r="W15" s="40">
        <f>SUM(W2:W14)</f>
        <v>18</v>
      </c>
      <c r="Y15" s="40">
        <f>SUM(Y2:Y14)</f>
        <v>18</v>
      </c>
      <c r="AA15" s="40">
        <f>SUM(AA2:AA14)</f>
        <v>18</v>
      </c>
    </row>
    <row r="16" spans="1:31" ht="16.5" customHeight="1">
      <c r="A16" s="36" t="s">
        <v>1</v>
      </c>
      <c r="B16" s="19"/>
      <c r="C16" s="19"/>
      <c r="D16" s="19"/>
      <c r="E16" s="19"/>
      <c r="F16" s="19"/>
      <c r="G16" s="19"/>
      <c r="H16" s="19"/>
      <c r="I16" s="19"/>
      <c r="J16" s="19"/>
      <c r="K16" s="19"/>
      <c r="L16" s="19"/>
      <c r="M16" s="19"/>
      <c r="N16" s="19"/>
      <c r="O16" s="19"/>
      <c r="P16" s="19"/>
      <c r="Q16" s="19"/>
      <c r="R16" s="19"/>
      <c r="T16" s="41"/>
    </row>
    <row r="17" spans="1:31" ht="16.5" customHeight="1">
      <c r="A17" s="36" t="s">
        <v>366</v>
      </c>
      <c r="B17" s="19"/>
      <c r="C17" s="19"/>
      <c r="D17" s="19"/>
      <c r="E17" s="19"/>
      <c r="F17" s="19"/>
      <c r="G17" s="19"/>
      <c r="H17" s="19"/>
      <c r="I17" s="19"/>
      <c r="J17" s="19"/>
      <c r="K17" s="19"/>
      <c r="L17" s="19"/>
      <c r="M17" s="19"/>
      <c r="N17" s="19"/>
      <c r="O17" s="19"/>
      <c r="P17" s="19"/>
      <c r="Q17" s="19"/>
      <c r="R17" s="19"/>
      <c r="T17" s="41"/>
    </row>
    <row r="18" spans="1:31" ht="11.25" customHeight="1">
      <c r="A18" s="42"/>
      <c r="B18" s="37"/>
      <c r="C18" s="37"/>
      <c r="D18" s="37"/>
      <c r="E18" s="37"/>
      <c r="F18" s="37"/>
      <c r="G18" s="37"/>
      <c r="H18" s="38"/>
      <c r="I18" s="38"/>
      <c r="J18" s="38"/>
      <c r="K18" s="38"/>
      <c r="L18" s="38"/>
      <c r="M18" s="38"/>
      <c r="N18" s="38"/>
      <c r="O18" s="38"/>
      <c r="P18" s="37"/>
      <c r="Q18" s="37"/>
      <c r="R18" s="39"/>
      <c r="T18" s="41"/>
      <c r="X18" s="40" t="s">
        <v>495</v>
      </c>
    </row>
    <row r="19" spans="1:31" ht="16.5" customHeight="1">
      <c r="A19" s="23" t="s">
        <v>278</v>
      </c>
      <c r="B19" s="30">
        <v>45312</v>
      </c>
      <c r="C19" s="25">
        <v>45313</v>
      </c>
      <c r="D19" s="25">
        <v>45314</v>
      </c>
      <c r="E19" s="25">
        <v>45315</v>
      </c>
      <c r="F19" s="25">
        <v>45316</v>
      </c>
      <c r="G19" s="25">
        <v>45317</v>
      </c>
      <c r="H19" s="30">
        <v>45318</v>
      </c>
      <c r="I19" s="30">
        <v>45319</v>
      </c>
      <c r="J19" s="25">
        <v>45320</v>
      </c>
      <c r="K19" s="25">
        <v>45321</v>
      </c>
      <c r="L19" s="25">
        <v>45322</v>
      </c>
      <c r="M19" s="26" t="s">
        <v>279</v>
      </c>
      <c r="N19" s="27">
        <v>45323</v>
      </c>
      <c r="O19" s="27">
        <v>45324</v>
      </c>
      <c r="P19" s="31">
        <v>45325</v>
      </c>
      <c r="Q19" s="31">
        <v>45326</v>
      </c>
      <c r="R19" s="27">
        <v>45327</v>
      </c>
      <c r="T19" s="41"/>
      <c r="V19" s="40" t="s">
        <v>63</v>
      </c>
      <c r="X19" s="40" t="s">
        <v>64</v>
      </c>
      <c r="Z19" s="40" t="s">
        <v>65</v>
      </c>
      <c r="AB19" s="40" t="s">
        <v>169</v>
      </c>
      <c r="AD19" s="40" t="s">
        <v>874</v>
      </c>
    </row>
    <row r="20" spans="1:31" ht="16.5" customHeight="1">
      <c r="A20" s="36">
        <v>1</v>
      </c>
      <c r="B20" s="19" t="s">
        <v>312</v>
      </c>
      <c r="C20" s="19"/>
      <c r="D20" s="19"/>
      <c r="E20" s="19"/>
      <c r="F20" s="19"/>
      <c r="G20" s="19"/>
      <c r="H20" s="19" t="s">
        <v>774</v>
      </c>
      <c r="I20" s="19" t="s">
        <v>769</v>
      </c>
      <c r="J20" s="19"/>
      <c r="K20" s="19"/>
      <c r="L20" s="19"/>
      <c r="M20" s="28"/>
      <c r="N20" s="19"/>
      <c r="O20" s="19"/>
      <c r="P20" s="19" t="s">
        <v>107</v>
      </c>
      <c r="Q20" s="19" t="s">
        <v>516</v>
      </c>
      <c r="R20" s="19"/>
      <c r="T20" s="41"/>
      <c r="V20" s="40" t="s">
        <v>25</v>
      </c>
      <c r="W20" s="40">
        <v>1</v>
      </c>
      <c r="X20" s="40" t="s">
        <v>93</v>
      </c>
      <c r="Y20" s="40">
        <v>2</v>
      </c>
      <c r="Z20" s="40" t="s">
        <v>6</v>
      </c>
      <c r="AA20" s="40">
        <v>2</v>
      </c>
      <c r="AB20" s="40" t="s">
        <v>153</v>
      </c>
      <c r="AC20" s="40">
        <v>6</v>
      </c>
      <c r="AD20" s="40" t="s">
        <v>37</v>
      </c>
      <c r="AE20" s="40" t="s">
        <v>1113</v>
      </c>
    </row>
    <row r="21" spans="1:31" ht="16.5" customHeight="1">
      <c r="A21" s="36">
        <v>2</v>
      </c>
      <c r="B21" s="19" t="s">
        <v>1110</v>
      </c>
      <c r="C21" s="19"/>
      <c r="D21" s="19"/>
      <c r="F21" s="19"/>
      <c r="G21" s="19"/>
      <c r="H21" s="19" t="s">
        <v>313</v>
      </c>
      <c r="I21" s="19" t="s">
        <v>14</v>
      </c>
      <c r="J21" s="19"/>
      <c r="K21" s="19"/>
      <c r="L21" s="61"/>
      <c r="M21" s="28"/>
      <c r="N21" s="19"/>
      <c r="O21" s="19"/>
      <c r="P21" s="19" t="s">
        <v>1032</v>
      </c>
      <c r="Q21" s="19" t="s">
        <v>93</v>
      </c>
      <c r="R21" s="19"/>
      <c r="T21" s="41"/>
      <c r="V21" s="40" t="s">
        <v>2</v>
      </c>
      <c r="W21" s="40">
        <v>2</v>
      </c>
      <c r="X21" s="40" t="s">
        <v>14</v>
      </c>
      <c r="Y21" s="40">
        <v>2</v>
      </c>
      <c r="Z21" s="40" t="s">
        <v>1065</v>
      </c>
      <c r="AA21" s="40">
        <v>3</v>
      </c>
      <c r="AB21" s="40" t="s">
        <v>26</v>
      </c>
      <c r="AC21" s="40">
        <v>2</v>
      </c>
      <c r="AD21" s="40" t="s">
        <v>863</v>
      </c>
      <c r="AE21" s="40">
        <v>4</v>
      </c>
    </row>
    <row r="22" spans="1:31" ht="16.5" customHeight="1">
      <c r="A22" s="36">
        <v>3</v>
      </c>
      <c r="B22" s="19" t="s">
        <v>863</v>
      </c>
      <c r="C22" s="19"/>
      <c r="D22" s="19"/>
      <c r="E22" s="19"/>
      <c r="F22" s="19"/>
      <c r="G22" s="19"/>
      <c r="H22" s="19" t="s">
        <v>1065</v>
      </c>
      <c r="I22" s="19" t="s">
        <v>37</v>
      </c>
      <c r="J22" s="19"/>
      <c r="K22" s="19"/>
      <c r="L22" s="19"/>
      <c r="M22" s="28"/>
      <c r="N22" s="19"/>
      <c r="O22" s="19"/>
      <c r="P22" s="19" t="s">
        <v>6</v>
      </c>
      <c r="Q22" s="19" t="s">
        <v>36</v>
      </c>
      <c r="R22" s="19"/>
      <c r="T22" s="41"/>
      <c r="V22" s="40" t="s">
        <v>516</v>
      </c>
      <c r="W22" s="40">
        <v>1</v>
      </c>
      <c r="X22" s="40" t="s">
        <v>23</v>
      </c>
      <c r="Y22" s="40">
        <v>1</v>
      </c>
      <c r="Z22" s="40" t="s">
        <v>863</v>
      </c>
      <c r="AA22" s="40">
        <v>2</v>
      </c>
      <c r="AB22" s="40" t="s">
        <v>1032</v>
      </c>
      <c r="AC22" s="40">
        <v>4</v>
      </c>
      <c r="AD22" s="40" t="s">
        <v>875</v>
      </c>
      <c r="AE22" s="40" t="s">
        <v>1112</v>
      </c>
    </row>
    <row r="23" spans="1:31" ht="16.5" customHeight="1">
      <c r="A23" s="36" t="s">
        <v>20</v>
      </c>
      <c r="B23" s="19" t="s">
        <v>1032</v>
      </c>
      <c r="C23" s="19" t="s">
        <v>25</v>
      </c>
      <c r="D23" s="19" t="s">
        <v>13</v>
      </c>
      <c r="E23" s="19" t="s">
        <v>13</v>
      </c>
      <c r="F23" s="19" t="s">
        <v>13</v>
      </c>
      <c r="G23" s="19" t="s">
        <v>13</v>
      </c>
      <c r="H23" s="19" t="s">
        <v>13</v>
      </c>
      <c r="I23" s="19" t="s">
        <v>13</v>
      </c>
      <c r="J23" s="19" t="s">
        <v>153</v>
      </c>
      <c r="K23" s="19" t="s">
        <v>13</v>
      </c>
      <c r="L23" s="19" t="s">
        <v>13</v>
      </c>
      <c r="M23" s="28"/>
      <c r="N23" s="19" t="s">
        <v>153</v>
      </c>
      <c r="O23" s="19" t="s">
        <v>13</v>
      </c>
      <c r="P23" s="19" t="s">
        <v>13</v>
      </c>
      <c r="Q23" s="19" t="s">
        <v>13</v>
      </c>
      <c r="R23" s="19" t="s">
        <v>864</v>
      </c>
      <c r="T23" s="41"/>
      <c r="V23" s="40" t="s">
        <v>7</v>
      </c>
      <c r="W23" s="40">
        <v>2</v>
      </c>
      <c r="X23" s="40" t="s">
        <v>153</v>
      </c>
      <c r="Y23" s="40">
        <v>1</v>
      </c>
      <c r="Z23" s="40" t="s">
        <v>37</v>
      </c>
      <c r="AA23" s="68">
        <v>3</v>
      </c>
      <c r="AB23" s="40" t="s">
        <v>23</v>
      </c>
      <c r="AC23" s="68">
        <v>8</v>
      </c>
      <c r="AD23" s="40" t="s">
        <v>356</v>
      </c>
      <c r="AE23" s="40" t="s">
        <v>1091</v>
      </c>
    </row>
    <row r="24" spans="1:31" ht="16.5" customHeight="1">
      <c r="A24" s="36" t="s">
        <v>0</v>
      </c>
      <c r="B24" s="19" t="s">
        <v>9</v>
      </c>
      <c r="C24" s="19" t="s">
        <v>6</v>
      </c>
      <c r="D24" s="19" t="s">
        <v>13</v>
      </c>
      <c r="E24" s="19" t="s">
        <v>13</v>
      </c>
      <c r="F24" s="19" t="s">
        <v>13</v>
      </c>
      <c r="G24" s="19" t="s">
        <v>13</v>
      </c>
      <c r="H24" s="19" t="s">
        <v>13</v>
      </c>
      <c r="I24" s="19" t="s">
        <v>13</v>
      </c>
      <c r="J24" s="19" t="s">
        <v>356</v>
      </c>
      <c r="K24" s="19" t="s">
        <v>13</v>
      </c>
      <c r="L24" s="19" t="s">
        <v>13</v>
      </c>
      <c r="M24" s="28"/>
      <c r="N24" s="19" t="s">
        <v>356</v>
      </c>
      <c r="O24" s="19" t="s">
        <v>13</v>
      </c>
      <c r="P24" s="19" t="s">
        <v>9</v>
      </c>
      <c r="Q24" s="19" t="s">
        <v>13</v>
      </c>
      <c r="R24" s="19" t="s">
        <v>875</v>
      </c>
      <c r="T24" s="41"/>
      <c r="V24" s="40" t="s">
        <v>21</v>
      </c>
      <c r="W24" s="40">
        <v>2</v>
      </c>
      <c r="X24" s="40" t="s">
        <v>327</v>
      </c>
      <c r="Y24" s="40">
        <v>1</v>
      </c>
      <c r="Z24" s="40" t="s">
        <v>875</v>
      </c>
      <c r="AA24" s="40">
        <v>2</v>
      </c>
      <c r="AB24" s="40" t="s">
        <v>25</v>
      </c>
      <c r="AC24" s="40">
        <v>5</v>
      </c>
      <c r="AD24" s="40" t="s">
        <v>6</v>
      </c>
      <c r="AE24" s="40">
        <v>6</v>
      </c>
    </row>
    <row r="25" spans="1:31" ht="16.5" customHeight="1">
      <c r="A25" s="36" t="s">
        <v>1</v>
      </c>
      <c r="B25" s="19"/>
      <c r="C25" s="19"/>
      <c r="D25" s="19"/>
      <c r="E25" s="19"/>
      <c r="F25" s="19"/>
      <c r="G25" s="19"/>
      <c r="H25" s="19"/>
      <c r="I25" s="19"/>
      <c r="J25" s="19"/>
      <c r="K25" s="19"/>
      <c r="L25" s="19"/>
      <c r="M25" s="28"/>
      <c r="N25" s="19"/>
      <c r="O25" s="19"/>
      <c r="P25" s="19"/>
      <c r="Q25" s="19"/>
      <c r="R25" s="19"/>
      <c r="T25" s="41"/>
      <c r="V25" s="40" t="s">
        <v>26</v>
      </c>
      <c r="W25" s="40">
        <v>2</v>
      </c>
      <c r="X25" s="40" t="s">
        <v>28</v>
      </c>
      <c r="Y25" s="40">
        <v>1</v>
      </c>
      <c r="Z25" s="40" t="s">
        <v>36</v>
      </c>
      <c r="AA25" s="64">
        <v>2</v>
      </c>
      <c r="AB25" s="40" t="s">
        <v>327</v>
      </c>
      <c r="AC25" s="64" t="s">
        <v>930</v>
      </c>
    </row>
    <row r="26" spans="1:31" ht="16.5" customHeight="1">
      <c r="A26" s="36" t="s">
        <v>366</v>
      </c>
      <c r="B26" s="19"/>
      <c r="C26" s="19"/>
      <c r="D26" s="19"/>
      <c r="E26" s="19"/>
      <c r="F26" s="19"/>
      <c r="G26" s="19"/>
      <c r="H26" s="19"/>
      <c r="I26" s="19"/>
      <c r="J26" s="19"/>
      <c r="K26" s="19"/>
      <c r="L26" s="19"/>
      <c r="M26" s="28"/>
      <c r="N26" s="19"/>
      <c r="O26" s="19"/>
      <c r="P26" s="19"/>
      <c r="Q26" s="19"/>
      <c r="R26" s="19"/>
      <c r="T26" s="41"/>
      <c r="V26" s="40" t="s">
        <v>27</v>
      </c>
      <c r="W26" s="40">
        <v>2</v>
      </c>
      <c r="X26" s="40" t="s">
        <v>152</v>
      </c>
      <c r="Y26" s="40">
        <v>0</v>
      </c>
      <c r="AB26" s="40" t="s">
        <v>516</v>
      </c>
      <c r="AC26" s="40">
        <v>3</v>
      </c>
    </row>
    <row r="27" spans="1:31" ht="16.5" customHeight="1">
      <c r="A27" s="26" t="s">
        <v>279</v>
      </c>
      <c r="B27" s="27">
        <v>45328</v>
      </c>
      <c r="C27" s="27">
        <v>45329</v>
      </c>
      <c r="D27" s="27">
        <v>45330</v>
      </c>
      <c r="E27" s="27">
        <v>45331</v>
      </c>
      <c r="F27" s="31">
        <v>45332</v>
      </c>
      <c r="G27" s="31">
        <v>45333</v>
      </c>
      <c r="H27" s="27">
        <v>45334</v>
      </c>
      <c r="I27" s="27">
        <v>45335</v>
      </c>
      <c r="J27" s="27">
        <v>45336</v>
      </c>
      <c r="K27" s="27">
        <v>45337</v>
      </c>
      <c r="L27" s="27">
        <v>45338</v>
      </c>
      <c r="M27" s="31">
        <v>45339</v>
      </c>
      <c r="N27" s="31">
        <v>45340</v>
      </c>
      <c r="O27" s="27">
        <v>45341</v>
      </c>
      <c r="P27" s="27">
        <v>45342</v>
      </c>
      <c r="Q27" s="19"/>
      <c r="R27" s="19"/>
      <c r="T27" s="41"/>
      <c r="V27" s="40" t="s">
        <v>533</v>
      </c>
      <c r="W27" s="40">
        <v>0</v>
      </c>
      <c r="X27" s="40" t="s">
        <v>864</v>
      </c>
      <c r="Y27" s="40">
        <v>1</v>
      </c>
      <c r="AB27" s="40" t="s">
        <v>864</v>
      </c>
      <c r="AC27" s="40">
        <v>7</v>
      </c>
    </row>
    <row r="28" spans="1:31" ht="16.5" customHeight="1">
      <c r="A28" s="28">
        <v>1</v>
      </c>
      <c r="B28" s="19"/>
      <c r="C28" s="19"/>
      <c r="D28" s="19"/>
      <c r="E28" s="19"/>
      <c r="F28" s="19" t="s">
        <v>2</v>
      </c>
      <c r="G28" s="19" t="s">
        <v>315</v>
      </c>
      <c r="H28" s="19"/>
      <c r="I28" s="19"/>
      <c r="J28" s="19"/>
      <c r="K28" s="19"/>
      <c r="L28" s="19"/>
      <c r="M28" s="19" t="s">
        <v>7</v>
      </c>
      <c r="N28" s="19" t="s">
        <v>312</v>
      </c>
      <c r="O28" s="19"/>
      <c r="P28" s="19"/>
      <c r="Q28" s="19"/>
      <c r="R28" s="19"/>
      <c r="T28" s="41"/>
      <c r="V28" s="40" t="s">
        <v>774</v>
      </c>
      <c r="W28" s="40">
        <v>1</v>
      </c>
      <c r="X28" s="40" t="s">
        <v>1032</v>
      </c>
      <c r="Y28" s="40">
        <v>1</v>
      </c>
    </row>
    <row r="29" spans="1:31" ht="16.5" customHeight="1">
      <c r="A29" s="28">
        <v>2</v>
      </c>
      <c r="B29" s="19"/>
      <c r="C29" s="19"/>
      <c r="D29" s="19"/>
      <c r="E29" s="19"/>
      <c r="F29" s="19" t="s">
        <v>1110</v>
      </c>
      <c r="G29" s="19" t="s">
        <v>25</v>
      </c>
      <c r="H29" s="19"/>
      <c r="I29" s="19"/>
      <c r="J29" s="19"/>
      <c r="K29" s="19"/>
      <c r="L29" s="19"/>
      <c r="M29" s="19" t="s">
        <v>14</v>
      </c>
      <c r="N29" s="19" t="s">
        <v>516</v>
      </c>
      <c r="O29" s="19"/>
      <c r="P29" s="19"/>
      <c r="Q29" s="19"/>
      <c r="R29" s="19"/>
      <c r="T29" s="41"/>
      <c r="V29" s="40" t="s">
        <v>769</v>
      </c>
      <c r="W29" s="40">
        <v>1</v>
      </c>
      <c r="X29" s="40" t="s">
        <v>516</v>
      </c>
      <c r="Y29" s="40">
        <v>1</v>
      </c>
    </row>
    <row r="30" spans="1:31" ht="16.5" customHeight="1">
      <c r="A30" s="28">
        <v>3</v>
      </c>
      <c r="B30" s="19"/>
      <c r="C30" s="19"/>
      <c r="D30" s="19"/>
      <c r="E30" s="19"/>
      <c r="F30" s="19" t="s">
        <v>863</v>
      </c>
      <c r="G30" s="19" t="s">
        <v>37</v>
      </c>
      <c r="H30" s="19"/>
      <c r="I30" s="19"/>
      <c r="J30" s="19"/>
      <c r="K30" s="19"/>
      <c r="L30" s="19"/>
      <c r="M30" s="19" t="s">
        <v>1065</v>
      </c>
      <c r="N30" s="19" t="s">
        <v>875</v>
      </c>
      <c r="O30" s="19"/>
      <c r="P30" s="19"/>
      <c r="Q30" s="19"/>
      <c r="R30" s="19"/>
      <c r="T30" s="41"/>
      <c r="V30" s="40" t="s">
        <v>314</v>
      </c>
      <c r="W30" s="40">
        <v>0</v>
      </c>
      <c r="X30" s="40" t="s">
        <v>1110</v>
      </c>
      <c r="Y30" s="40">
        <v>2</v>
      </c>
    </row>
    <row r="31" spans="1:31" ht="16.5" customHeight="1">
      <c r="A31" s="28" t="s">
        <v>20</v>
      </c>
      <c r="B31" s="19" t="s">
        <v>864</v>
      </c>
      <c r="C31" s="19" t="s">
        <v>13</v>
      </c>
      <c r="D31" s="19" t="s">
        <v>13</v>
      </c>
      <c r="E31" s="19" t="s">
        <v>13</v>
      </c>
      <c r="F31" s="19" t="s">
        <v>13</v>
      </c>
      <c r="G31" s="19" t="s">
        <v>13</v>
      </c>
      <c r="H31" s="19" t="s">
        <v>769</v>
      </c>
      <c r="I31" s="19" t="s">
        <v>13</v>
      </c>
      <c r="J31" s="19" t="s">
        <v>13</v>
      </c>
      <c r="K31" s="19" t="s">
        <v>13</v>
      </c>
      <c r="L31" s="19" t="s">
        <v>13</v>
      </c>
      <c r="M31" s="19" t="s">
        <v>13</v>
      </c>
      <c r="N31" s="19" t="s">
        <v>13</v>
      </c>
      <c r="O31" s="19" t="s">
        <v>774</v>
      </c>
      <c r="P31" s="19" t="s">
        <v>13</v>
      </c>
      <c r="Q31" s="19"/>
      <c r="R31" s="19"/>
      <c r="T31" s="41"/>
      <c r="X31" s="40" t="s">
        <v>25</v>
      </c>
      <c r="Y31" s="40">
        <v>1</v>
      </c>
    </row>
    <row r="32" spans="1:31" ht="16.5" customHeight="1">
      <c r="A32" s="28" t="s">
        <v>0</v>
      </c>
      <c r="B32" s="19" t="s">
        <v>875</v>
      </c>
      <c r="C32" s="19" t="s">
        <v>13</v>
      </c>
      <c r="D32" s="19" t="s">
        <v>13</v>
      </c>
      <c r="E32" s="19" t="s">
        <v>13</v>
      </c>
      <c r="F32" s="19" t="s">
        <v>13</v>
      </c>
      <c r="G32" s="19" t="s">
        <v>13</v>
      </c>
      <c r="H32" s="19" t="s">
        <v>356</v>
      </c>
      <c r="I32" s="19" t="s">
        <v>13</v>
      </c>
      <c r="J32" s="19" t="s">
        <v>13</v>
      </c>
      <c r="K32" s="19" t="s">
        <v>13</v>
      </c>
      <c r="L32" s="19" t="s">
        <v>13</v>
      </c>
      <c r="M32" s="19" t="s">
        <v>9</v>
      </c>
      <c r="N32" s="19" t="s">
        <v>13</v>
      </c>
      <c r="O32" s="19" t="s">
        <v>37</v>
      </c>
      <c r="P32" s="19" t="s">
        <v>13</v>
      </c>
      <c r="Q32" s="19"/>
      <c r="R32" s="19"/>
      <c r="T32" s="41"/>
      <c r="V32" s="40" t="s">
        <v>1111</v>
      </c>
      <c r="W32" s="40">
        <f>SUM(W19:W31)</f>
        <v>14</v>
      </c>
      <c r="Y32" s="40">
        <f>SUM(Y19:Y31)</f>
        <v>14</v>
      </c>
      <c r="AA32" s="40">
        <f>SUM(AA19:AA31)</f>
        <v>14</v>
      </c>
    </row>
    <row r="33" spans="1:25" ht="16.5" customHeight="1">
      <c r="A33" s="28" t="s">
        <v>1</v>
      </c>
      <c r="B33" s="19"/>
      <c r="C33" s="19"/>
      <c r="D33" s="19"/>
      <c r="E33" s="19"/>
      <c r="F33" s="19"/>
      <c r="G33" s="19"/>
      <c r="H33" s="19"/>
      <c r="I33" s="19"/>
      <c r="J33" s="19"/>
      <c r="K33" s="19"/>
      <c r="L33" s="19"/>
      <c r="M33" s="19"/>
      <c r="N33" s="19"/>
      <c r="O33" s="19"/>
      <c r="P33" s="19"/>
      <c r="Q33" s="19"/>
      <c r="R33" s="19"/>
    </row>
    <row r="34" spans="1:25" ht="16.5" customHeight="1">
      <c r="A34" s="28" t="s">
        <v>366</v>
      </c>
      <c r="B34" s="19"/>
      <c r="C34" s="19"/>
      <c r="D34" s="19"/>
      <c r="E34" s="19"/>
      <c r="F34" s="19"/>
      <c r="G34" s="19"/>
      <c r="H34" s="19"/>
      <c r="I34" s="19"/>
      <c r="J34" s="19"/>
      <c r="K34" s="19"/>
      <c r="L34" s="19"/>
      <c r="M34" s="19"/>
      <c r="N34" s="19"/>
      <c r="O34" s="19"/>
      <c r="P34" s="19"/>
      <c r="Q34" s="19"/>
      <c r="R34" s="19"/>
    </row>
    <row r="35" spans="1:25" ht="12.75" customHeight="1">
      <c r="Q35" s="145" t="s">
        <v>82</v>
      </c>
      <c r="R35" s="145"/>
      <c r="T35" s="41"/>
    </row>
    <row r="36" spans="1:25">
      <c r="A36" s="40" t="s">
        <v>322</v>
      </c>
      <c r="B36" s="49"/>
      <c r="C36" s="49"/>
      <c r="D36" s="49"/>
      <c r="E36" s="49"/>
      <c r="F36" s="49"/>
      <c r="G36" s="49"/>
      <c r="H36" s="55"/>
      <c r="I36" s="49"/>
      <c r="J36" s="49"/>
      <c r="K36" s="49"/>
      <c r="L36" s="49"/>
      <c r="M36" s="49"/>
      <c r="N36" s="49"/>
      <c r="O36" s="49"/>
      <c r="T36" s="41"/>
    </row>
    <row r="37" spans="1:25">
      <c r="A37" t="s">
        <v>1062</v>
      </c>
      <c r="B37" t="s">
        <v>1063</v>
      </c>
      <c r="C37"/>
      <c r="D37"/>
      <c r="E37"/>
      <c r="F37"/>
      <c r="G37" t="s">
        <v>1000</v>
      </c>
      <c r="H37"/>
      <c r="I37" s="55"/>
      <c r="J37" s="55"/>
      <c r="K37" s="55" t="s">
        <v>1108</v>
      </c>
      <c r="L37" s="55"/>
      <c r="M37" s="55"/>
      <c r="N37" s="55"/>
      <c r="O37" s="55"/>
      <c r="P37" s="43"/>
      <c r="Q37" s="43"/>
      <c r="R37" s="43"/>
      <c r="T37" s="41"/>
    </row>
    <row r="38" spans="1:25">
      <c r="A38" s="49" t="s">
        <v>1092</v>
      </c>
      <c r="B38" s="49"/>
      <c r="C38" s="49"/>
      <c r="D38" s="49"/>
      <c r="E38" s="49"/>
      <c r="F38" s="49" t="s">
        <v>1000</v>
      </c>
      <c r="G38" s="49"/>
      <c r="H38" s="49"/>
      <c r="I38" s="55"/>
      <c r="J38" s="55"/>
      <c r="K38" s="55"/>
      <c r="L38" s="55"/>
      <c r="M38" s="55"/>
      <c r="N38" s="55"/>
      <c r="O38" s="55"/>
      <c r="P38" s="55"/>
      <c r="Q38" s="55"/>
      <c r="R38" s="55"/>
      <c r="S38" s="49"/>
      <c r="T38" s="72"/>
      <c r="U38" s="71"/>
      <c r="V38" s="71"/>
      <c r="W38" s="71"/>
      <c r="X38" s="71"/>
      <c r="Y38" s="71"/>
    </row>
    <row r="39" spans="1:25">
      <c r="A39" s="50" t="s">
        <v>1047</v>
      </c>
      <c r="B39" s="49"/>
      <c r="C39" s="76"/>
      <c r="D39" s="49"/>
      <c r="E39" s="49"/>
      <c r="F39" s="50" t="s">
        <v>1048</v>
      </c>
      <c r="G39" s="77"/>
      <c r="H39" s="49"/>
      <c r="I39" s="55"/>
      <c r="J39" s="55"/>
      <c r="K39" s="55" t="s">
        <v>945</v>
      </c>
      <c r="L39" s="55"/>
      <c r="M39" s="55"/>
      <c r="N39" s="55"/>
      <c r="O39" s="55"/>
      <c r="P39" s="55"/>
      <c r="Q39" s="55"/>
      <c r="R39" s="55"/>
      <c r="S39" s="49"/>
      <c r="T39" s="72"/>
      <c r="U39" s="71"/>
      <c r="V39" s="71"/>
      <c r="W39" s="71"/>
      <c r="X39" s="71"/>
      <c r="Y39" s="71"/>
    </row>
    <row r="40" spans="1:25">
      <c r="A40" s="50" t="s">
        <v>1093</v>
      </c>
      <c r="B40" s="49"/>
      <c r="C40" s="49"/>
      <c r="D40" s="49"/>
      <c r="E40" s="49"/>
      <c r="F40" s="79">
        <v>44927</v>
      </c>
      <c r="G40" s="49"/>
      <c r="H40" s="49"/>
      <c r="I40" s="55"/>
      <c r="J40" s="55"/>
      <c r="K40" s="55" t="s">
        <v>1107</v>
      </c>
      <c r="L40" s="55"/>
      <c r="M40" s="55"/>
      <c r="N40" s="55"/>
      <c r="O40" s="55"/>
      <c r="P40" s="55"/>
      <c r="Q40" s="55"/>
      <c r="R40" s="55"/>
      <c r="S40" s="49"/>
      <c r="T40" s="71"/>
      <c r="U40" s="71"/>
      <c r="V40" s="71"/>
      <c r="W40" s="71"/>
      <c r="X40" s="71"/>
      <c r="Y40" s="71"/>
    </row>
    <row r="41" spans="1:25">
      <c r="A41" s="50" t="s">
        <v>1051</v>
      </c>
      <c r="B41" s="49"/>
      <c r="C41" s="49"/>
      <c r="D41" s="49"/>
      <c r="E41" s="49"/>
      <c r="F41" s="75" t="s">
        <v>1102</v>
      </c>
      <c r="G41" s="77"/>
      <c r="H41" s="49"/>
      <c r="I41" s="55"/>
      <c r="J41" s="55"/>
      <c r="K41" s="55" t="s">
        <v>533</v>
      </c>
      <c r="L41" s="55"/>
      <c r="M41" s="55"/>
      <c r="N41" s="55"/>
      <c r="O41" s="55"/>
      <c r="P41" s="55"/>
      <c r="Q41" s="55"/>
      <c r="R41" s="55"/>
      <c r="S41" s="49"/>
      <c r="T41" s="71"/>
      <c r="U41" s="71"/>
      <c r="V41" s="71"/>
      <c r="W41" s="71"/>
      <c r="X41" s="71"/>
      <c r="Y41" s="71"/>
    </row>
    <row r="42" spans="1:25">
      <c r="A42" s="50" t="s">
        <v>1094</v>
      </c>
      <c r="B42" s="49"/>
      <c r="C42" s="49"/>
      <c r="D42" s="49"/>
      <c r="E42" s="49"/>
      <c r="F42" s="50" t="s">
        <v>1103</v>
      </c>
      <c r="G42" s="49"/>
      <c r="H42" s="49"/>
      <c r="I42" s="55"/>
      <c r="J42" s="55"/>
      <c r="K42" s="55" t="s">
        <v>314</v>
      </c>
      <c r="L42" s="55"/>
      <c r="M42" s="55"/>
      <c r="N42" s="55"/>
      <c r="O42" s="55"/>
      <c r="P42" s="55"/>
      <c r="Q42" s="55"/>
      <c r="R42" s="55"/>
      <c r="S42" s="49"/>
      <c r="T42" s="72"/>
      <c r="U42" s="71"/>
      <c r="V42" s="71"/>
      <c r="W42" s="71"/>
      <c r="X42" s="71"/>
      <c r="Y42" s="71"/>
    </row>
    <row r="43" spans="1:25">
      <c r="A43" s="50" t="s">
        <v>1048</v>
      </c>
      <c r="B43" s="49"/>
      <c r="C43" s="49"/>
      <c r="D43" s="49"/>
      <c r="E43" s="49"/>
      <c r="F43" s="75" t="s">
        <v>1046</v>
      </c>
      <c r="G43" s="49"/>
      <c r="H43" s="49"/>
      <c r="I43" s="55"/>
      <c r="J43" s="55"/>
      <c r="K43" s="55"/>
      <c r="L43" s="55"/>
      <c r="M43" s="55"/>
      <c r="N43" s="55"/>
      <c r="O43" s="55"/>
      <c r="P43" s="55"/>
      <c r="Q43" s="55"/>
      <c r="R43" s="55"/>
      <c r="S43" s="49"/>
      <c r="T43" s="72"/>
      <c r="U43" s="71"/>
      <c r="V43" s="71"/>
      <c r="W43" s="71"/>
      <c r="X43" s="71"/>
      <c r="Y43" s="71"/>
    </row>
    <row r="44" spans="1:25">
      <c r="A44" s="50" t="s">
        <v>1095</v>
      </c>
      <c r="B44" s="49"/>
      <c r="C44" s="49"/>
      <c r="D44" s="49"/>
      <c r="E44" s="49"/>
      <c r="F44" s="50" t="s">
        <v>1104</v>
      </c>
      <c r="G44" s="49"/>
      <c r="H44" s="49"/>
      <c r="I44" s="55"/>
      <c r="J44" s="55"/>
      <c r="K44" s="55"/>
      <c r="L44" s="55"/>
      <c r="M44" s="55"/>
      <c r="N44" s="55"/>
      <c r="O44" s="55"/>
      <c r="P44" s="55"/>
      <c r="Q44" s="55"/>
      <c r="R44" s="55"/>
      <c r="S44" s="49"/>
      <c r="T44" s="72"/>
      <c r="U44" s="71"/>
      <c r="V44" s="71"/>
      <c r="W44" s="71"/>
      <c r="X44" s="71"/>
      <c r="Y44" s="71"/>
    </row>
    <row r="45" spans="1:25">
      <c r="A45" s="50" t="s">
        <v>1102</v>
      </c>
      <c r="B45" s="49"/>
      <c r="C45" s="76"/>
      <c r="D45" s="49"/>
      <c r="E45" s="49"/>
      <c r="F45" s="50" t="s">
        <v>1049</v>
      </c>
      <c r="G45" s="77"/>
      <c r="H45" s="49"/>
      <c r="I45" s="55"/>
      <c r="J45" s="55"/>
      <c r="K45" s="55"/>
      <c r="L45" s="55"/>
      <c r="M45" s="55"/>
      <c r="N45" s="55"/>
      <c r="O45" s="55"/>
      <c r="P45" s="55"/>
      <c r="Q45" s="55"/>
      <c r="R45" s="55"/>
      <c r="S45" s="49"/>
      <c r="T45" s="71"/>
      <c r="U45" s="71"/>
      <c r="V45" s="71"/>
      <c r="W45" s="71"/>
      <c r="X45" s="71"/>
      <c r="Y45" s="71"/>
    </row>
    <row r="46" spans="1:25">
      <c r="A46" s="50" t="s">
        <v>1096</v>
      </c>
      <c r="B46" s="49"/>
      <c r="C46" s="49"/>
      <c r="D46" s="49"/>
      <c r="E46" s="49"/>
      <c r="F46" s="50" t="s">
        <v>1105</v>
      </c>
      <c r="G46" s="49"/>
      <c r="H46" s="49"/>
      <c r="I46" s="55"/>
      <c r="J46" s="55"/>
      <c r="K46" s="55"/>
      <c r="L46" s="55"/>
      <c r="M46" s="55"/>
      <c r="N46" s="55"/>
      <c r="O46" s="55"/>
      <c r="P46" s="55"/>
      <c r="Q46" s="55"/>
      <c r="R46" s="55"/>
      <c r="S46" s="49"/>
      <c r="T46" s="72"/>
      <c r="U46" s="71"/>
      <c r="V46" s="71"/>
      <c r="W46" s="71"/>
      <c r="X46" s="71"/>
      <c r="Y46" s="71"/>
    </row>
    <row r="47" spans="1:25">
      <c r="A47" s="75" t="s">
        <v>1055</v>
      </c>
      <c r="B47" s="49"/>
      <c r="C47" s="49"/>
      <c r="D47" s="49"/>
      <c r="E47" s="49"/>
      <c r="F47" s="75" t="s">
        <v>1052</v>
      </c>
      <c r="G47" s="49"/>
      <c r="H47" s="49"/>
      <c r="I47" s="55"/>
      <c r="J47" s="55"/>
      <c r="K47" s="55"/>
      <c r="L47" s="55"/>
      <c r="M47" s="55"/>
      <c r="N47" s="55"/>
      <c r="O47" s="55"/>
      <c r="P47" s="55"/>
      <c r="Q47" s="55"/>
      <c r="R47" s="55"/>
      <c r="S47" s="49"/>
      <c r="T47" s="72"/>
      <c r="U47" s="71"/>
      <c r="V47" s="71"/>
      <c r="W47" s="71"/>
      <c r="X47" s="71"/>
      <c r="Y47" s="71"/>
    </row>
    <row r="48" spans="1:25">
      <c r="A48" s="50" t="s">
        <v>1097</v>
      </c>
      <c r="B48" s="49"/>
      <c r="C48" s="49"/>
      <c r="D48" s="49"/>
      <c r="E48" s="49"/>
      <c r="F48" s="50" t="s">
        <v>1106</v>
      </c>
      <c r="G48" s="49"/>
      <c r="H48" s="49"/>
      <c r="I48" s="55"/>
      <c r="J48" s="55"/>
      <c r="K48" s="55"/>
      <c r="L48" s="55"/>
      <c r="M48" s="55"/>
      <c r="N48" s="55"/>
      <c r="O48" s="55"/>
      <c r="P48" s="55"/>
      <c r="Q48" s="55"/>
      <c r="R48" s="55"/>
      <c r="S48" s="49"/>
      <c r="T48" s="72"/>
      <c r="U48" s="71"/>
      <c r="V48" s="71"/>
      <c r="W48" s="71"/>
      <c r="X48" s="71"/>
      <c r="Y48" s="71"/>
    </row>
    <row r="49" spans="1:25">
      <c r="A49" s="50" t="s">
        <v>1046</v>
      </c>
      <c r="B49" s="49"/>
      <c r="C49" s="49"/>
      <c r="D49" s="49"/>
      <c r="E49" s="49"/>
      <c r="F49" s="49"/>
      <c r="G49" s="49"/>
      <c r="H49" s="49"/>
      <c r="I49" s="55"/>
      <c r="J49" s="55"/>
      <c r="K49" s="55"/>
      <c r="L49" s="55"/>
      <c r="M49" s="55"/>
      <c r="N49" s="55"/>
      <c r="O49" s="55"/>
      <c r="P49" s="55"/>
      <c r="Q49" s="55"/>
      <c r="R49" s="55"/>
      <c r="S49" s="49"/>
      <c r="T49" s="71"/>
      <c r="U49" s="71"/>
      <c r="V49" s="71"/>
      <c r="W49" s="71"/>
      <c r="X49" s="71"/>
      <c r="Y49" s="71"/>
    </row>
    <row r="50" spans="1:25">
      <c r="A50" s="50" t="s">
        <v>1098</v>
      </c>
      <c r="B50" s="49"/>
      <c r="C50" s="49"/>
      <c r="D50" s="49"/>
      <c r="E50" s="49"/>
      <c r="F50" s="49"/>
      <c r="G50" s="49"/>
      <c r="H50" s="49"/>
      <c r="I50" s="55"/>
      <c r="J50" s="55"/>
      <c r="K50" s="55"/>
      <c r="L50" s="55"/>
      <c r="M50" s="55"/>
      <c r="N50" s="55"/>
      <c r="O50" s="55"/>
      <c r="P50" s="55"/>
      <c r="Q50" s="55"/>
      <c r="R50" s="55"/>
      <c r="S50" s="49"/>
      <c r="T50" s="71"/>
      <c r="U50" s="71"/>
      <c r="V50" s="71"/>
      <c r="W50" s="71"/>
      <c r="X50" s="71"/>
      <c r="Y50" s="71"/>
    </row>
    <row r="51" spans="1:25">
      <c r="A51" s="50" t="s">
        <v>1049</v>
      </c>
      <c r="B51" s="49"/>
      <c r="C51" s="49"/>
      <c r="D51" s="49"/>
      <c r="E51" s="49"/>
      <c r="F51" s="49"/>
      <c r="G51" s="49"/>
      <c r="H51" s="49"/>
      <c r="I51" s="55"/>
      <c r="J51" s="55"/>
      <c r="K51" s="55"/>
      <c r="L51" s="55"/>
      <c r="M51" s="55"/>
      <c r="N51" s="55"/>
      <c r="O51" s="55"/>
      <c r="P51" s="55"/>
      <c r="Q51" s="55"/>
      <c r="R51" s="55"/>
      <c r="S51" s="49"/>
      <c r="T51" s="71"/>
      <c r="U51" s="71"/>
      <c r="V51" s="71"/>
      <c r="W51" s="71"/>
      <c r="X51" s="71"/>
      <c r="Y51" s="71"/>
    </row>
    <row r="52" spans="1:25">
      <c r="A52" s="50" t="s">
        <v>1099</v>
      </c>
      <c r="B52" s="49"/>
      <c r="C52" s="49"/>
      <c r="D52" s="49"/>
      <c r="E52" s="49"/>
      <c r="F52" s="49"/>
      <c r="G52" s="49"/>
      <c r="H52" s="49"/>
      <c r="I52" s="49"/>
      <c r="J52" s="49"/>
      <c r="K52" s="49"/>
      <c r="L52" s="49"/>
      <c r="M52" s="49"/>
      <c r="N52" s="49"/>
      <c r="O52" s="49"/>
      <c r="P52" s="49"/>
      <c r="Q52" s="49"/>
      <c r="R52" s="49"/>
      <c r="S52" s="49"/>
      <c r="T52" s="71"/>
      <c r="U52" s="71"/>
      <c r="V52" s="71"/>
      <c r="W52" s="71"/>
      <c r="X52" s="71"/>
      <c r="Y52" s="71"/>
    </row>
    <row r="53" spans="1:25">
      <c r="A53" s="50" t="s">
        <v>1054</v>
      </c>
      <c r="B53" s="49"/>
      <c r="C53" s="49"/>
      <c r="D53" s="49"/>
      <c r="E53" s="49"/>
      <c r="F53" s="49"/>
      <c r="G53" s="49"/>
      <c r="H53" s="49"/>
      <c r="I53" s="49"/>
      <c r="J53" s="49"/>
      <c r="K53" s="49"/>
      <c r="L53" s="49"/>
      <c r="M53" s="49"/>
      <c r="N53" s="49"/>
      <c r="O53" s="49"/>
      <c r="P53" s="49"/>
      <c r="Q53" s="49"/>
      <c r="R53" s="49"/>
      <c r="S53" s="49"/>
      <c r="T53" s="71"/>
      <c r="U53" s="71"/>
      <c r="V53" s="71"/>
      <c r="W53" s="71"/>
      <c r="X53" s="71"/>
      <c r="Y53" s="71"/>
    </row>
    <row r="54" spans="1:25">
      <c r="A54" s="50" t="s">
        <v>1100</v>
      </c>
      <c r="B54" s="73"/>
      <c r="C54" s="49"/>
      <c r="D54" s="49"/>
      <c r="E54" s="49"/>
      <c r="F54" s="76"/>
      <c r="G54" s="49"/>
      <c r="H54" s="49"/>
      <c r="I54" s="49"/>
      <c r="J54" s="49"/>
      <c r="K54" s="49"/>
      <c r="L54" s="49"/>
      <c r="M54" s="49"/>
      <c r="N54" s="49"/>
      <c r="O54" s="49"/>
      <c r="P54" s="49"/>
      <c r="Q54" s="49"/>
      <c r="R54" s="49"/>
      <c r="S54" s="49"/>
      <c r="T54" s="71"/>
      <c r="U54" s="71"/>
      <c r="V54" s="71"/>
      <c r="W54" s="71"/>
      <c r="X54" s="71"/>
      <c r="Y54" s="71"/>
    </row>
    <row r="55" spans="1:25">
      <c r="A55" s="50" t="s">
        <v>1052</v>
      </c>
      <c r="B55" s="49"/>
      <c r="C55" s="49"/>
      <c r="D55" s="49"/>
      <c r="E55" s="49"/>
      <c r="F55" s="49"/>
      <c r="G55" s="49"/>
      <c r="H55" s="49"/>
      <c r="I55" s="49"/>
      <c r="J55" s="49"/>
      <c r="K55" s="49"/>
      <c r="L55" s="49"/>
      <c r="M55" s="49"/>
      <c r="N55" s="49"/>
      <c r="O55" s="49"/>
      <c r="P55" s="49"/>
      <c r="Q55" s="49"/>
      <c r="R55" s="49"/>
      <c r="S55" s="49"/>
      <c r="T55" s="71"/>
      <c r="U55" s="71"/>
      <c r="V55" s="71"/>
      <c r="W55" s="71"/>
      <c r="X55" s="71"/>
      <c r="Y55" s="71"/>
    </row>
    <row r="56" spans="1:25">
      <c r="A56" s="50" t="s">
        <v>1101</v>
      </c>
      <c r="B56" s="49"/>
      <c r="C56" s="49"/>
      <c r="D56" s="49"/>
      <c r="E56" s="49"/>
      <c r="F56" s="49"/>
      <c r="G56" s="49"/>
      <c r="H56" s="49"/>
      <c r="I56" s="49"/>
      <c r="J56" s="49"/>
      <c r="K56" s="49"/>
      <c r="L56" s="49"/>
      <c r="M56" s="49"/>
      <c r="N56" s="49"/>
      <c r="O56" s="49"/>
      <c r="P56" s="49"/>
      <c r="Q56" s="49"/>
      <c r="R56" s="49"/>
      <c r="S56" s="49"/>
      <c r="T56" s="71"/>
      <c r="U56" s="71"/>
      <c r="V56" s="71"/>
      <c r="W56" s="71"/>
      <c r="X56" s="71"/>
      <c r="Y56" s="71"/>
    </row>
    <row r="57" spans="1:25">
      <c r="A57" s="50" t="s">
        <v>2</v>
      </c>
      <c r="B57" s="49"/>
      <c r="C57" s="49"/>
      <c r="D57" s="49"/>
      <c r="E57" s="49"/>
      <c r="F57" s="49"/>
      <c r="G57" s="49"/>
      <c r="H57" s="49"/>
      <c r="I57" s="49"/>
      <c r="J57" s="49"/>
      <c r="K57" s="49"/>
      <c r="L57" s="49"/>
      <c r="M57" s="49"/>
      <c r="N57" s="49"/>
      <c r="O57" s="49"/>
      <c r="P57" s="49"/>
      <c r="Q57" s="49"/>
      <c r="R57" s="49"/>
      <c r="S57" s="49"/>
      <c r="T57" s="71"/>
      <c r="U57" s="71"/>
      <c r="V57" s="71"/>
      <c r="W57" s="71"/>
      <c r="X57" s="71"/>
      <c r="Y57" s="71"/>
    </row>
    <row r="58" spans="1:25">
      <c r="A58" s="50" t="s">
        <v>1109</v>
      </c>
      <c r="B58" s="49"/>
      <c r="C58" s="49"/>
      <c r="D58" s="49"/>
      <c r="E58" s="49"/>
      <c r="F58" s="49"/>
      <c r="G58" s="49"/>
      <c r="H58" s="49"/>
      <c r="I58" s="49"/>
      <c r="J58" s="49"/>
      <c r="K58" s="49"/>
      <c r="L58" s="49"/>
      <c r="M58" s="49"/>
      <c r="N58" s="49"/>
      <c r="O58" s="49"/>
      <c r="P58" s="49"/>
      <c r="Q58" s="49"/>
      <c r="R58" s="49"/>
      <c r="S58" s="49"/>
      <c r="T58" s="71"/>
      <c r="U58" s="71"/>
      <c r="V58" s="71"/>
      <c r="W58" s="71"/>
      <c r="X58" s="71"/>
      <c r="Y58" s="71"/>
    </row>
    <row r="59" spans="1:25">
      <c r="A59" s="49"/>
      <c r="B59" s="49"/>
      <c r="C59" s="49"/>
      <c r="D59" s="49"/>
      <c r="E59" s="49"/>
      <c r="F59" s="49"/>
      <c r="G59" s="49"/>
      <c r="H59" s="49"/>
      <c r="I59" s="49"/>
      <c r="J59" s="49"/>
      <c r="K59" s="49"/>
      <c r="L59" s="49"/>
      <c r="M59" s="49"/>
      <c r="N59" s="49"/>
      <c r="O59" s="49"/>
      <c r="P59" s="49"/>
      <c r="Q59" s="49"/>
      <c r="R59" s="49"/>
      <c r="S59" s="49"/>
      <c r="T59" s="71"/>
      <c r="U59" s="71"/>
      <c r="V59" s="71"/>
      <c r="W59" s="71"/>
      <c r="X59" s="71"/>
      <c r="Y59" s="71"/>
    </row>
    <row r="60" spans="1:25">
      <c r="A60" s="49"/>
      <c r="B60" s="49"/>
      <c r="C60" s="49"/>
      <c r="D60" s="49"/>
      <c r="E60" s="49"/>
      <c r="F60" s="49"/>
      <c r="G60" s="49"/>
      <c r="H60" s="49"/>
      <c r="I60" s="49"/>
      <c r="J60" s="49"/>
      <c r="K60" s="49"/>
      <c r="L60" s="49"/>
      <c r="M60" s="49"/>
      <c r="N60" s="49"/>
      <c r="O60" s="49"/>
      <c r="P60" s="49"/>
      <c r="Q60" s="49"/>
      <c r="R60" s="49"/>
      <c r="S60" s="49"/>
      <c r="T60" s="71"/>
      <c r="U60" s="71"/>
      <c r="V60" s="71"/>
      <c r="W60" s="71"/>
      <c r="X60" s="71"/>
      <c r="Y60" s="71"/>
    </row>
    <row r="61" spans="1:25">
      <c r="A61" s="49"/>
      <c r="B61" s="49"/>
      <c r="C61" s="49"/>
      <c r="D61" s="49"/>
      <c r="E61" s="49"/>
      <c r="F61" s="49"/>
      <c r="G61" s="49"/>
      <c r="H61" s="49"/>
      <c r="I61" s="49"/>
      <c r="J61" s="49"/>
      <c r="K61" s="49"/>
      <c r="L61" s="49"/>
      <c r="M61" s="49"/>
      <c r="N61" s="49"/>
      <c r="O61" s="49"/>
      <c r="P61" s="49"/>
      <c r="Q61" s="49"/>
      <c r="R61" s="49"/>
      <c r="S61" s="49"/>
      <c r="T61" s="71"/>
      <c r="U61" s="71"/>
      <c r="V61" s="71"/>
      <c r="W61" s="71"/>
      <c r="X61" s="71"/>
      <c r="Y61" s="71"/>
    </row>
    <row r="62" spans="1:25">
      <c r="A62" s="49"/>
      <c r="B62" s="49"/>
      <c r="C62" s="49"/>
      <c r="D62" s="49"/>
      <c r="E62" s="49"/>
      <c r="F62" s="49"/>
      <c r="G62" s="49"/>
      <c r="H62" s="49"/>
      <c r="I62" s="49"/>
      <c r="J62" s="49"/>
      <c r="K62" s="49"/>
      <c r="L62" s="49"/>
      <c r="M62" s="49"/>
      <c r="N62" s="49"/>
      <c r="O62" s="49"/>
      <c r="P62" s="49"/>
      <c r="Q62" s="49"/>
      <c r="R62" s="49"/>
      <c r="S62" s="49"/>
      <c r="T62" s="71"/>
      <c r="U62" s="71"/>
      <c r="V62" s="71"/>
      <c r="W62" s="71"/>
      <c r="X62" s="71"/>
      <c r="Y62" s="71"/>
    </row>
    <row r="63" spans="1:25">
      <c r="A63" s="49"/>
      <c r="B63" s="49"/>
      <c r="C63" s="49"/>
      <c r="D63" s="49"/>
      <c r="E63" s="49"/>
      <c r="F63" s="49"/>
      <c r="G63" s="49"/>
      <c r="H63" s="49"/>
      <c r="I63" s="49"/>
      <c r="J63" s="49"/>
      <c r="K63" s="49"/>
      <c r="L63" s="49"/>
      <c r="M63" s="49"/>
      <c r="N63" s="49"/>
      <c r="O63" s="49"/>
      <c r="P63" s="49"/>
      <c r="Q63" s="49"/>
      <c r="R63" s="49"/>
      <c r="S63" s="49"/>
      <c r="T63" s="71"/>
      <c r="U63" s="71"/>
      <c r="V63" s="71"/>
      <c r="W63" s="71"/>
      <c r="X63" s="71"/>
      <c r="Y63" s="71"/>
    </row>
    <row r="64" spans="1:25">
      <c r="A64" s="73"/>
      <c r="B64" s="73"/>
      <c r="C64" s="73"/>
      <c r="D64" s="73"/>
      <c r="E64" s="73"/>
      <c r="F64" s="73"/>
      <c r="G64" s="73"/>
      <c r="H64" s="73"/>
      <c r="I64" s="73"/>
      <c r="J64" s="73"/>
      <c r="K64" s="73"/>
      <c r="L64" s="73"/>
      <c r="M64" s="73"/>
      <c r="N64" s="73"/>
      <c r="O64" s="73"/>
      <c r="P64" s="73"/>
      <c r="Q64" s="73"/>
      <c r="R64" s="73"/>
      <c r="S64" s="73"/>
    </row>
    <row r="65" spans="1:19">
      <c r="A65" s="49"/>
      <c r="B65" s="73"/>
      <c r="C65" s="73"/>
      <c r="D65" s="73"/>
      <c r="E65" s="73"/>
      <c r="F65" s="73"/>
      <c r="G65" s="73"/>
      <c r="H65" s="73"/>
      <c r="I65" s="73"/>
      <c r="J65" s="73"/>
      <c r="K65" s="73"/>
      <c r="L65" s="73"/>
      <c r="M65" s="73"/>
      <c r="N65" s="73"/>
      <c r="O65" s="73"/>
      <c r="P65" s="73"/>
      <c r="Q65" s="73"/>
      <c r="R65" s="73"/>
      <c r="S65" s="73"/>
    </row>
    <row r="66" spans="1:19">
      <c r="A66" s="78"/>
      <c r="B66" s="73"/>
      <c r="C66" s="73"/>
      <c r="D66" s="73"/>
      <c r="E66" s="73"/>
      <c r="F66" s="73"/>
      <c r="G66" s="73"/>
      <c r="H66" s="73"/>
      <c r="I66" s="73"/>
      <c r="J66" s="73"/>
      <c r="K66" s="73"/>
      <c r="L66" s="73"/>
      <c r="M66" s="73"/>
      <c r="N66" s="73"/>
      <c r="O66" s="73"/>
      <c r="P66" s="73"/>
      <c r="Q66" s="73"/>
      <c r="R66" s="73"/>
      <c r="S66" s="73"/>
    </row>
    <row r="67" spans="1:19">
      <c r="A67" s="50"/>
      <c r="B67" s="73"/>
      <c r="C67" s="73"/>
      <c r="D67" s="73"/>
      <c r="E67" s="73"/>
      <c r="F67" s="73"/>
      <c r="G67" s="73"/>
      <c r="H67" s="73"/>
      <c r="I67" s="73"/>
      <c r="J67" s="73"/>
      <c r="K67" s="73"/>
      <c r="L67" s="73"/>
      <c r="M67" s="73"/>
      <c r="N67" s="73"/>
      <c r="O67" s="73"/>
      <c r="P67" s="73"/>
      <c r="Q67" s="73"/>
      <c r="R67" s="73"/>
      <c r="S67" s="73"/>
    </row>
    <row r="68" spans="1:19">
      <c r="A68" s="73"/>
      <c r="B68" s="73"/>
      <c r="C68" s="73"/>
      <c r="D68" s="73"/>
      <c r="E68" s="73"/>
      <c r="F68" s="73"/>
      <c r="G68" s="73"/>
      <c r="H68" s="73"/>
      <c r="I68" s="73"/>
      <c r="J68" s="73"/>
      <c r="K68" s="73"/>
      <c r="L68" s="73"/>
      <c r="M68" s="73"/>
      <c r="N68" s="73"/>
      <c r="O68" s="73"/>
      <c r="P68" s="73"/>
      <c r="Q68" s="73"/>
      <c r="R68" s="73"/>
      <c r="S68" s="73"/>
    </row>
    <row r="69" spans="1:19">
      <c r="A69" s="73"/>
      <c r="B69" s="73"/>
      <c r="C69" s="73"/>
      <c r="D69" s="73"/>
      <c r="E69" s="73"/>
      <c r="F69" s="73"/>
      <c r="G69" s="73"/>
      <c r="H69" s="73"/>
      <c r="I69" s="73"/>
      <c r="J69" s="73"/>
      <c r="K69" s="73"/>
      <c r="L69" s="73"/>
      <c r="M69" s="73"/>
      <c r="N69" s="73"/>
      <c r="O69" s="73"/>
      <c r="P69" s="73"/>
      <c r="Q69" s="73"/>
      <c r="R69" s="73"/>
      <c r="S69" s="73"/>
    </row>
    <row r="70" spans="1:19">
      <c r="A70" s="73"/>
      <c r="B70" s="73"/>
      <c r="C70" s="73"/>
      <c r="D70" s="73"/>
      <c r="E70" s="73"/>
      <c r="F70" s="73"/>
      <c r="G70" s="73"/>
      <c r="H70" s="73"/>
      <c r="I70" s="73"/>
      <c r="J70" s="73"/>
      <c r="K70" s="73"/>
      <c r="L70" s="73"/>
      <c r="M70" s="73"/>
      <c r="N70" s="73"/>
      <c r="O70" s="73"/>
      <c r="P70" s="73"/>
      <c r="Q70" s="73"/>
      <c r="R70" s="73"/>
      <c r="S70" s="73"/>
    </row>
    <row r="71" spans="1:19">
      <c r="A71" s="73"/>
      <c r="B71" s="73"/>
      <c r="C71" s="73"/>
      <c r="D71" s="73"/>
      <c r="E71" s="73"/>
      <c r="F71" s="73"/>
      <c r="G71" s="73"/>
      <c r="H71" s="73"/>
      <c r="I71" s="73"/>
      <c r="J71" s="73"/>
      <c r="K71" s="73"/>
      <c r="L71" s="73"/>
      <c r="M71" s="73"/>
      <c r="N71" s="73"/>
      <c r="O71" s="73"/>
      <c r="P71" s="73"/>
      <c r="Q71" s="73"/>
      <c r="R71" s="73"/>
      <c r="S71" s="73"/>
    </row>
    <row r="72" spans="1:19">
      <c r="A72" s="73"/>
      <c r="B72" s="73"/>
      <c r="C72" s="73"/>
      <c r="D72" s="73"/>
      <c r="E72" s="73"/>
      <c r="F72" s="73"/>
      <c r="G72" s="73"/>
      <c r="H72" s="73"/>
      <c r="I72" s="73"/>
      <c r="J72" s="73"/>
      <c r="K72" s="73"/>
      <c r="L72" s="73"/>
      <c r="M72" s="73"/>
      <c r="N72" s="73"/>
      <c r="O72" s="73"/>
      <c r="P72" s="73"/>
      <c r="Q72" s="73"/>
      <c r="R72" s="73"/>
      <c r="S72" s="73"/>
    </row>
    <row r="73" spans="1:19">
      <c r="A73" s="73"/>
      <c r="B73" s="73"/>
      <c r="C73" s="73"/>
      <c r="D73" s="73"/>
      <c r="E73" s="73"/>
      <c r="F73" s="73"/>
      <c r="G73" s="73"/>
      <c r="H73" s="73"/>
      <c r="I73" s="73"/>
      <c r="J73" s="73"/>
      <c r="K73" s="73"/>
      <c r="L73" s="73"/>
      <c r="M73" s="73"/>
      <c r="N73" s="73"/>
      <c r="O73" s="73"/>
      <c r="P73" s="73"/>
      <c r="Q73" s="73"/>
      <c r="R73" s="73"/>
      <c r="S73" s="73"/>
    </row>
  </sheetData>
  <mergeCells count="2">
    <mergeCell ref="A1:R1"/>
    <mergeCell ref="Q35:R35"/>
  </mergeCells>
  <phoneticPr fontId="2"/>
  <pageMargins left="0.70866141732283472" right="0.70866141732283472" top="0" bottom="0" header="0.31496062992125984" footer="0.31496062992125984"/>
  <pageSetup paperSize="9" orientation="landscape" r:id="rId1"/>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E1050-16CB-4ACD-827D-044220D49F28}">
  <dimension ref="A1:AE73"/>
  <sheetViews>
    <sheetView zoomScale="90" zoomScaleNormal="90" workbookViewId="0">
      <selection activeCell="W27" sqref="W27"/>
    </sheetView>
  </sheetViews>
  <sheetFormatPr defaultColWidth="9" defaultRowHeight="18.75"/>
  <cols>
    <col min="1" max="18" width="6.625" style="40" customWidth="1"/>
    <col min="19" max="19" width="3.625" style="40" customWidth="1"/>
    <col min="20" max="20" width="6.625" style="40" customWidth="1"/>
    <col min="21" max="21" width="3.625" style="40" customWidth="1"/>
    <col min="22" max="37" width="6.625" style="40" customWidth="1"/>
    <col min="38" max="38" width="3.625" style="40" customWidth="1"/>
    <col min="39" max="16384" width="9" style="40"/>
  </cols>
  <sheetData>
    <row r="1" spans="1:31">
      <c r="A1" s="147" t="s">
        <v>1067</v>
      </c>
      <c r="B1" s="147"/>
      <c r="C1" s="147"/>
      <c r="D1" s="147"/>
      <c r="E1" s="147"/>
      <c r="F1" s="147"/>
      <c r="G1" s="147"/>
      <c r="H1" s="147"/>
      <c r="I1" s="147"/>
      <c r="J1" s="147"/>
      <c r="K1" s="147"/>
      <c r="L1" s="147"/>
      <c r="M1" s="147"/>
      <c r="N1" s="147"/>
      <c r="O1" s="147"/>
      <c r="P1" s="147"/>
      <c r="Q1" s="147"/>
      <c r="R1" s="147"/>
      <c r="X1" s="40" t="s">
        <v>80</v>
      </c>
    </row>
    <row r="2" spans="1:31" ht="16.5" customHeight="1">
      <c r="A2" s="26" t="s">
        <v>218</v>
      </c>
      <c r="B2" s="31">
        <v>45220</v>
      </c>
      <c r="C2" s="31">
        <v>45221</v>
      </c>
      <c r="D2" s="27">
        <v>45222</v>
      </c>
      <c r="E2" s="27">
        <v>45223</v>
      </c>
      <c r="F2" s="27">
        <v>45224</v>
      </c>
      <c r="G2" s="27">
        <v>45225</v>
      </c>
      <c r="H2" s="27">
        <v>45226</v>
      </c>
      <c r="I2" s="31">
        <v>45227</v>
      </c>
      <c r="J2" s="31">
        <v>45228</v>
      </c>
      <c r="K2" s="27">
        <v>45229</v>
      </c>
      <c r="L2" s="27">
        <v>45230</v>
      </c>
      <c r="M2" s="23" t="s">
        <v>243</v>
      </c>
      <c r="N2" s="25">
        <v>45231</v>
      </c>
      <c r="O2" s="25">
        <v>45232</v>
      </c>
      <c r="P2" s="25">
        <v>45233</v>
      </c>
      <c r="Q2" s="30">
        <v>45234</v>
      </c>
      <c r="R2" s="30">
        <v>45235</v>
      </c>
      <c r="V2" s="40" t="s">
        <v>63</v>
      </c>
      <c r="X2" s="40" t="s">
        <v>64</v>
      </c>
      <c r="Z2" s="40" t="s">
        <v>65</v>
      </c>
      <c r="AB2" s="40" t="s">
        <v>169</v>
      </c>
      <c r="AD2" s="40" t="s">
        <v>874</v>
      </c>
    </row>
    <row r="3" spans="1:31" ht="16.5" customHeight="1">
      <c r="A3" s="28">
        <v>1</v>
      </c>
      <c r="B3" s="19" t="s">
        <v>533</v>
      </c>
      <c r="C3" s="19" t="s">
        <v>315</v>
      </c>
      <c r="D3" s="19"/>
      <c r="E3" s="19"/>
      <c r="F3" s="19"/>
      <c r="G3" s="19"/>
      <c r="H3" s="19"/>
      <c r="I3" s="19" t="s">
        <v>2</v>
      </c>
      <c r="J3" s="19" t="s">
        <v>25</v>
      </c>
      <c r="K3" s="19"/>
      <c r="L3" s="19"/>
      <c r="M3" s="36">
        <v>1</v>
      </c>
      <c r="N3" s="19"/>
      <c r="O3" s="19"/>
      <c r="P3" s="19"/>
      <c r="Q3" s="19" t="s">
        <v>769</v>
      </c>
      <c r="R3" s="19" t="s">
        <v>107</v>
      </c>
      <c r="V3" s="40" t="s">
        <v>25</v>
      </c>
      <c r="W3" s="40">
        <v>2</v>
      </c>
      <c r="X3" s="40" t="s">
        <v>45</v>
      </c>
      <c r="Y3" s="40">
        <v>2</v>
      </c>
      <c r="Z3" s="40" t="s">
        <v>6</v>
      </c>
      <c r="AA3" s="40">
        <v>2</v>
      </c>
      <c r="AB3" s="40" t="s">
        <v>153</v>
      </c>
      <c r="AC3" s="40">
        <v>7</v>
      </c>
      <c r="AD3" s="40" t="s">
        <v>37</v>
      </c>
      <c r="AE3" s="40">
        <v>9</v>
      </c>
    </row>
    <row r="4" spans="1:31" ht="16.5" customHeight="1">
      <c r="A4" s="28">
        <v>2</v>
      </c>
      <c r="B4" s="19" t="s">
        <v>864</v>
      </c>
      <c r="C4" s="19" t="s">
        <v>93</v>
      </c>
      <c r="D4" s="19"/>
      <c r="E4" s="19"/>
      <c r="F4" s="19"/>
      <c r="G4" s="61"/>
      <c r="H4" s="19"/>
      <c r="I4" s="19" t="s">
        <v>7</v>
      </c>
      <c r="J4" s="19" t="s">
        <v>153</v>
      </c>
      <c r="K4" s="19"/>
      <c r="L4" s="19"/>
      <c r="M4" s="36">
        <v>2</v>
      </c>
      <c r="N4" s="19"/>
      <c r="O4" s="19"/>
      <c r="Q4" s="19" t="s">
        <v>14</v>
      </c>
      <c r="R4" s="19" t="s">
        <v>313</v>
      </c>
      <c r="T4" s="41"/>
      <c r="U4" s="41"/>
      <c r="V4" s="40" t="s">
        <v>2</v>
      </c>
      <c r="W4" s="40">
        <v>2</v>
      </c>
      <c r="X4" s="40" t="s">
        <v>14</v>
      </c>
      <c r="Y4" s="40">
        <v>2</v>
      </c>
      <c r="Z4" s="40" t="s">
        <v>1065</v>
      </c>
      <c r="AA4" s="40">
        <v>3</v>
      </c>
      <c r="AB4" s="40" t="s">
        <v>26</v>
      </c>
      <c r="AC4" s="40">
        <v>3</v>
      </c>
      <c r="AD4" s="40" t="s">
        <v>863</v>
      </c>
      <c r="AE4" s="40">
        <v>3</v>
      </c>
    </row>
    <row r="5" spans="1:31" ht="16.5" customHeight="1">
      <c r="A5" s="28">
        <v>3</v>
      </c>
      <c r="B5" s="19" t="s">
        <v>6</v>
      </c>
      <c r="C5" s="19" t="s">
        <v>875</v>
      </c>
      <c r="D5" s="19"/>
      <c r="E5" s="19"/>
      <c r="F5" s="19"/>
      <c r="G5" s="19"/>
      <c r="H5" s="19"/>
      <c r="I5" s="19" t="s">
        <v>36</v>
      </c>
      <c r="J5" s="19" t="s">
        <v>37</v>
      </c>
      <c r="K5" s="19"/>
      <c r="L5" s="19"/>
      <c r="M5" s="36">
        <v>3</v>
      </c>
      <c r="N5" s="19"/>
      <c r="O5" s="19"/>
      <c r="P5" s="19"/>
      <c r="Q5" s="19" t="s">
        <v>875</v>
      </c>
      <c r="R5" s="19" t="s">
        <v>1065</v>
      </c>
      <c r="T5" s="41"/>
      <c r="U5" s="41"/>
      <c r="V5" s="40" t="s">
        <v>516</v>
      </c>
      <c r="W5" s="40">
        <v>0</v>
      </c>
      <c r="X5" s="40" t="s">
        <v>23</v>
      </c>
      <c r="Y5" s="40">
        <v>1</v>
      </c>
      <c r="Z5" s="40" t="s">
        <v>863</v>
      </c>
      <c r="AA5" s="40">
        <v>3</v>
      </c>
      <c r="AB5" s="40" t="s">
        <v>1032</v>
      </c>
      <c r="AC5" s="40">
        <v>8</v>
      </c>
      <c r="AD5" s="40" t="s">
        <v>875</v>
      </c>
      <c r="AE5" s="40">
        <v>1.7</v>
      </c>
    </row>
    <row r="6" spans="1:31" ht="16.5" customHeight="1">
      <c r="A6" s="28" t="s">
        <v>20</v>
      </c>
      <c r="B6" s="19" t="s">
        <v>23</v>
      </c>
      <c r="C6" s="19" t="s">
        <v>13</v>
      </c>
      <c r="D6" s="19" t="s">
        <v>774</v>
      </c>
      <c r="E6" s="19" t="s">
        <v>13</v>
      </c>
      <c r="F6" s="19" t="s">
        <v>13</v>
      </c>
      <c r="G6" s="19" t="s">
        <v>13</v>
      </c>
      <c r="H6" s="19" t="s">
        <v>13</v>
      </c>
      <c r="I6" s="19" t="s">
        <v>13</v>
      </c>
      <c r="J6" s="19" t="s">
        <v>13</v>
      </c>
      <c r="K6" s="19" t="s">
        <v>312</v>
      </c>
      <c r="L6" s="19" t="s">
        <v>13</v>
      </c>
      <c r="M6" s="36" t="s">
        <v>20</v>
      </c>
      <c r="N6" s="19" t="s">
        <v>312</v>
      </c>
      <c r="O6" s="19" t="s">
        <v>13</v>
      </c>
      <c r="P6" s="19" t="s">
        <v>13</v>
      </c>
      <c r="Q6" s="19" t="s">
        <v>13</v>
      </c>
      <c r="R6" s="19" t="s">
        <v>13</v>
      </c>
      <c r="T6" s="41"/>
      <c r="U6" s="41"/>
      <c r="V6" s="40" t="s">
        <v>7</v>
      </c>
      <c r="W6" s="40">
        <v>1</v>
      </c>
      <c r="X6" s="40" t="s">
        <v>153</v>
      </c>
      <c r="Y6" s="40">
        <v>2</v>
      </c>
      <c r="Z6" s="40" t="s">
        <v>37</v>
      </c>
      <c r="AA6" s="68">
        <v>3</v>
      </c>
      <c r="AB6" s="40" t="s">
        <v>23</v>
      </c>
      <c r="AC6" s="68" t="s">
        <v>930</v>
      </c>
      <c r="AD6" s="40" t="s">
        <v>356</v>
      </c>
      <c r="AE6" s="40" t="s">
        <v>982</v>
      </c>
    </row>
    <row r="7" spans="1:31" ht="16.5" customHeight="1">
      <c r="A7" s="28" t="s">
        <v>0</v>
      </c>
      <c r="B7" s="19" t="s">
        <v>9</v>
      </c>
      <c r="C7" s="19" t="s">
        <v>13</v>
      </c>
      <c r="D7" s="19" t="s">
        <v>356</v>
      </c>
      <c r="E7" s="19" t="s">
        <v>13</v>
      </c>
      <c r="F7" s="19" t="s">
        <v>13</v>
      </c>
      <c r="G7" s="19" t="s">
        <v>13</v>
      </c>
      <c r="H7" s="19" t="s">
        <v>13</v>
      </c>
      <c r="I7" s="19" t="s">
        <v>9</v>
      </c>
      <c r="J7" s="19" t="s">
        <v>13</v>
      </c>
      <c r="K7" s="19" t="s">
        <v>863</v>
      </c>
      <c r="L7" s="19" t="s">
        <v>13</v>
      </c>
      <c r="M7" s="36" t="s">
        <v>0</v>
      </c>
      <c r="N7" s="19" t="s">
        <v>863</v>
      </c>
      <c r="O7" s="19" t="s">
        <v>13</v>
      </c>
      <c r="P7" s="19" t="s">
        <v>13</v>
      </c>
      <c r="Q7" s="19" t="s">
        <v>9</v>
      </c>
      <c r="R7" s="19" t="s">
        <v>13</v>
      </c>
      <c r="T7" s="41"/>
      <c r="U7" s="41"/>
      <c r="V7" s="40" t="s">
        <v>21</v>
      </c>
      <c r="W7" s="40">
        <v>2</v>
      </c>
      <c r="X7" s="40" t="s">
        <v>327</v>
      </c>
      <c r="Y7" s="40">
        <v>0</v>
      </c>
      <c r="Z7" s="40" t="s">
        <v>875</v>
      </c>
      <c r="AA7" s="40">
        <v>2</v>
      </c>
      <c r="AB7" s="40" t="s">
        <v>25</v>
      </c>
      <c r="AC7" s="40">
        <v>5</v>
      </c>
      <c r="AD7" s="40" t="s">
        <v>6</v>
      </c>
      <c r="AE7" s="40">
        <v>5</v>
      </c>
    </row>
    <row r="8" spans="1:31" ht="16.5" customHeight="1">
      <c r="A8" s="28" t="s">
        <v>1</v>
      </c>
      <c r="B8" s="19"/>
      <c r="C8" s="19"/>
      <c r="D8" s="19"/>
      <c r="E8" s="19"/>
      <c r="F8" s="19"/>
      <c r="G8" s="19"/>
      <c r="H8" s="19"/>
      <c r="I8" s="19"/>
      <c r="J8" s="19"/>
      <c r="K8" s="19"/>
      <c r="L8" s="19"/>
      <c r="M8" s="36" t="s">
        <v>1</v>
      </c>
      <c r="N8" s="19"/>
      <c r="O8" s="19"/>
      <c r="P8" s="19"/>
      <c r="Q8" s="19"/>
      <c r="R8" s="19"/>
      <c r="T8" s="41"/>
      <c r="V8" s="40" t="s">
        <v>26</v>
      </c>
      <c r="W8" s="40">
        <v>2</v>
      </c>
      <c r="X8" s="40" t="s">
        <v>28</v>
      </c>
      <c r="Y8" s="40">
        <v>2</v>
      </c>
      <c r="Z8" s="40" t="s">
        <v>36</v>
      </c>
      <c r="AA8" s="64">
        <v>3</v>
      </c>
      <c r="AB8" s="40" t="s">
        <v>327</v>
      </c>
      <c r="AC8" s="64">
        <v>2</v>
      </c>
    </row>
    <row r="9" spans="1:31" ht="16.5" customHeight="1">
      <c r="A9" s="28" t="s">
        <v>366</v>
      </c>
      <c r="B9" s="19"/>
      <c r="C9" s="19"/>
      <c r="D9" s="19"/>
      <c r="E9" s="19"/>
      <c r="F9" s="19"/>
      <c r="G9" s="19"/>
      <c r="H9" s="19"/>
      <c r="I9" s="19"/>
      <c r="J9" s="19"/>
      <c r="K9" s="19"/>
      <c r="L9" s="19"/>
      <c r="M9" s="36" t="s">
        <v>366</v>
      </c>
      <c r="N9" s="19"/>
      <c r="O9" s="19"/>
      <c r="P9" s="19"/>
      <c r="Q9" s="19"/>
      <c r="R9" s="19"/>
      <c r="T9" s="41"/>
      <c r="V9" s="40" t="s">
        <v>27</v>
      </c>
      <c r="W9" s="40">
        <v>2</v>
      </c>
      <c r="X9" s="40" t="s">
        <v>152</v>
      </c>
      <c r="Y9" s="40">
        <v>2</v>
      </c>
      <c r="AB9" s="40" t="s">
        <v>516</v>
      </c>
      <c r="AC9" s="40">
        <v>4</v>
      </c>
    </row>
    <row r="10" spans="1:31" ht="16.5" customHeight="1">
      <c r="A10" s="23" t="s">
        <v>243</v>
      </c>
      <c r="B10" s="25">
        <v>45236</v>
      </c>
      <c r="C10" s="25">
        <v>45237</v>
      </c>
      <c r="D10" s="25">
        <v>45238</v>
      </c>
      <c r="E10" s="25">
        <v>45239</v>
      </c>
      <c r="F10" s="25">
        <v>45240</v>
      </c>
      <c r="G10" s="30">
        <v>45241</v>
      </c>
      <c r="H10" s="30">
        <v>45242</v>
      </c>
      <c r="I10" s="25">
        <v>45243</v>
      </c>
      <c r="J10" s="25">
        <v>45244</v>
      </c>
      <c r="K10" s="25">
        <v>45245</v>
      </c>
      <c r="L10" s="25">
        <v>45246</v>
      </c>
      <c r="M10" s="25">
        <v>45247</v>
      </c>
      <c r="N10" s="30">
        <v>45248</v>
      </c>
      <c r="O10" s="30">
        <v>45249</v>
      </c>
      <c r="P10" s="25">
        <v>45250</v>
      </c>
      <c r="Q10" s="19"/>
      <c r="R10" s="19"/>
      <c r="T10" s="41"/>
      <c r="V10" s="40" t="s">
        <v>533</v>
      </c>
      <c r="W10" s="40">
        <v>2</v>
      </c>
      <c r="X10" s="40" t="s">
        <v>864</v>
      </c>
      <c r="Y10" s="40">
        <v>1</v>
      </c>
      <c r="AB10" s="40" t="s">
        <v>864</v>
      </c>
      <c r="AC10" s="40">
        <v>6</v>
      </c>
    </row>
    <row r="11" spans="1:31" ht="16.5" customHeight="1">
      <c r="A11" s="36">
        <v>1</v>
      </c>
      <c r="B11" s="19"/>
      <c r="C11" s="19"/>
      <c r="D11" s="19"/>
      <c r="E11" s="19"/>
      <c r="F11" s="19"/>
      <c r="G11" s="19" t="s">
        <v>774</v>
      </c>
      <c r="H11" s="19" t="s">
        <v>533</v>
      </c>
      <c r="I11" s="19"/>
      <c r="J11" s="19"/>
      <c r="K11" s="19"/>
      <c r="L11" s="19"/>
      <c r="N11" s="19" t="s">
        <v>312</v>
      </c>
      <c r="O11" s="19" t="s">
        <v>315</v>
      </c>
      <c r="P11" s="19"/>
      <c r="Q11" s="19"/>
      <c r="R11" s="19"/>
      <c r="T11" s="41"/>
      <c r="V11" s="40" t="s">
        <v>774</v>
      </c>
      <c r="W11" s="40">
        <v>2</v>
      </c>
      <c r="X11" s="40" t="s">
        <v>1032</v>
      </c>
      <c r="Y11" s="40">
        <v>2</v>
      </c>
    </row>
    <row r="12" spans="1:31" ht="16.5" customHeight="1">
      <c r="A12" s="36">
        <v>2</v>
      </c>
      <c r="B12" s="19"/>
      <c r="C12" s="19"/>
      <c r="D12" s="19"/>
      <c r="E12" s="19"/>
      <c r="F12" s="19"/>
      <c r="G12" s="19" t="s">
        <v>1032</v>
      </c>
      <c r="H12" s="19" t="s">
        <v>864</v>
      </c>
      <c r="I12" s="19"/>
      <c r="J12" s="19"/>
      <c r="K12" s="19"/>
      <c r="L12" s="19"/>
      <c r="M12" s="19"/>
      <c r="N12" s="19" t="s">
        <v>314</v>
      </c>
      <c r="O12" s="19" t="s">
        <v>93</v>
      </c>
      <c r="P12" s="19"/>
      <c r="Q12" s="19"/>
      <c r="R12" s="19"/>
      <c r="T12" s="41"/>
      <c r="V12" s="40" t="s">
        <v>769</v>
      </c>
      <c r="W12" s="40">
        <v>1</v>
      </c>
      <c r="X12" s="40" t="s">
        <v>516</v>
      </c>
      <c r="Y12" s="40">
        <v>2</v>
      </c>
    </row>
    <row r="13" spans="1:31" ht="16.5" customHeight="1">
      <c r="A13" s="36">
        <v>3</v>
      </c>
      <c r="B13" s="19"/>
      <c r="C13" s="19"/>
      <c r="D13" s="19"/>
      <c r="E13" s="19"/>
      <c r="F13" s="19"/>
      <c r="G13" s="19" t="s">
        <v>37</v>
      </c>
      <c r="H13" s="19" t="s">
        <v>6</v>
      </c>
      <c r="I13" s="19"/>
      <c r="J13" s="19"/>
      <c r="K13" s="19"/>
      <c r="L13" s="19"/>
      <c r="M13" s="19"/>
      <c r="N13" s="19" t="s">
        <v>1065</v>
      </c>
      <c r="O13" s="19" t="s">
        <v>36</v>
      </c>
      <c r="P13" s="19"/>
      <c r="Q13" s="19"/>
      <c r="R13" s="19"/>
      <c r="T13" s="41"/>
    </row>
    <row r="14" spans="1:31" ht="16.5" customHeight="1">
      <c r="A14" s="36" t="s">
        <v>20</v>
      </c>
      <c r="B14" s="19" t="s">
        <v>516</v>
      </c>
      <c r="C14" s="19" t="s">
        <v>13</v>
      </c>
      <c r="D14" s="19" t="s">
        <v>13</v>
      </c>
      <c r="E14" s="19" t="s">
        <v>13</v>
      </c>
      <c r="F14" s="19" t="s">
        <v>13</v>
      </c>
      <c r="G14" s="19" t="s">
        <v>13</v>
      </c>
      <c r="H14" s="19" t="s">
        <v>13</v>
      </c>
      <c r="I14" s="19" t="s">
        <v>25</v>
      </c>
      <c r="J14" s="19" t="s">
        <v>13</v>
      </c>
      <c r="K14" s="19" t="s">
        <v>13</v>
      </c>
      <c r="L14" s="19" t="s">
        <v>13</v>
      </c>
      <c r="M14" s="19" t="s">
        <v>13</v>
      </c>
      <c r="N14" s="19" t="s">
        <v>13</v>
      </c>
      <c r="O14" s="19" t="s">
        <v>13</v>
      </c>
      <c r="P14" s="19" t="s">
        <v>153</v>
      </c>
      <c r="Q14" s="19"/>
      <c r="R14" s="19"/>
      <c r="T14" s="41"/>
    </row>
    <row r="15" spans="1:31" ht="16.5" customHeight="1">
      <c r="A15" s="36" t="s">
        <v>0</v>
      </c>
      <c r="B15" s="19" t="s">
        <v>356</v>
      </c>
      <c r="C15" s="19" t="s">
        <v>13</v>
      </c>
      <c r="D15" s="19" t="s">
        <v>13</v>
      </c>
      <c r="E15" s="19" t="s">
        <v>13</v>
      </c>
      <c r="F15" s="19" t="s">
        <v>13</v>
      </c>
      <c r="G15" s="19" t="s">
        <v>9</v>
      </c>
      <c r="H15" s="19" t="s">
        <v>13</v>
      </c>
      <c r="I15" s="19" t="s">
        <v>875</v>
      </c>
      <c r="J15" s="19" t="s">
        <v>13</v>
      </c>
      <c r="K15" s="19" t="s">
        <v>13</v>
      </c>
      <c r="L15" s="19" t="s">
        <v>13</v>
      </c>
      <c r="M15" s="19" t="s">
        <v>13</v>
      </c>
      <c r="N15" s="19" t="s">
        <v>9</v>
      </c>
      <c r="O15" s="19" t="s">
        <v>13</v>
      </c>
      <c r="P15" s="19" t="s">
        <v>356</v>
      </c>
      <c r="Q15" s="19"/>
      <c r="R15" s="19"/>
      <c r="T15" s="41"/>
      <c r="V15" s="40" t="s">
        <v>696</v>
      </c>
      <c r="W15" s="40">
        <f>SUM(W2:W14)</f>
        <v>16</v>
      </c>
      <c r="Y15" s="40">
        <f>SUM(Y2:Y14)</f>
        <v>16</v>
      </c>
      <c r="AA15" s="40">
        <f>SUM(AA2:AA14)</f>
        <v>16</v>
      </c>
    </row>
    <row r="16" spans="1:31" ht="16.5" customHeight="1">
      <c r="A16" s="36" t="s">
        <v>1</v>
      </c>
      <c r="B16" s="19"/>
      <c r="C16" s="19"/>
      <c r="D16" s="19"/>
      <c r="E16" s="19"/>
      <c r="F16" s="19"/>
      <c r="G16" s="19"/>
      <c r="H16" s="19"/>
      <c r="I16" s="19"/>
      <c r="J16" s="19"/>
      <c r="K16" s="19"/>
      <c r="L16" s="19"/>
      <c r="M16" s="19"/>
      <c r="N16" s="19"/>
      <c r="O16" s="19"/>
      <c r="P16" s="19"/>
      <c r="Q16" s="19"/>
      <c r="R16" s="19"/>
      <c r="T16" s="41"/>
    </row>
    <row r="17" spans="1:31" ht="16.5" customHeight="1">
      <c r="A17" s="36" t="s">
        <v>366</v>
      </c>
      <c r="B17" s="19"/>
      <c r="C17" s="19"/>
      <c r="D17" s="19"/>
      <c r="E17" s="19"/>
      <c r="F17" s="19"/>
      <c r="G17" s="19"/>
      <c r="H17" s="19"/>
      <c r="I17" s="19"/>
      <c r="J17" s="19"/>
      <c r="K17" s="19"/>
      <c r="L17" s="19"/>
      <c r="M17" s="19"/>
      <c r="N17" s="19"/>
      <c r="O17" s="19"/>
      <c r="P17" s="19"/>
      <c r="Q17" s="19"/>
      <c r="R17" s="19"/>
      <c r="T17" s="41"/>
    </row>
    <row r="18" spans="1:31" ht="11.25" customHeight="1">
      <c r="A18" s="42"/>
      <c r="B18" s="37"/>
      <c r="C18" s="37"/>
      <c r="D18" s="37"/>
      <c r="E18" s="37"/>
      <c r="F18" s="37"/>
      <c r="G18" s="37"/>
      <c r="H18" s="38"/>
      <c r="I18" s="38"/>
      <c r="J18" s="38"/>
      <c r="K18" s="38"/>
      <c r="L18" s="38"/>
      <c r="M18" s="38"/>
      <c r="N18" s="38"/>
      <c r="O18" s="38"/>
      <c r="P18" s="37"/>
      <c r="Q18" s="37"/>
      <c r="R18" s="39"/>
      <c r="T18" s="41"/>
      <c r="X18" s="40" t="s">
        <v>669</v>
      </c>
    </row>
    <row r="19" spans="1:31" ht="16.5" customHeight="1">
      <c r="A19" s="23" t="s">
        <v>243</v>
      </c>
      <c r="B19" s="25">
        <v>45251</v>
      </c>
      <c r="C19" s="25">
        <v>45252</v>
      </c>
      <c r="D19" s="25">
        <v>45253</v>
      </c>
      <c r="E19" s="25">
        <v>45254</v>
      </c>
      <c r="F19" s="30">
        <v>45255</v>
      </c>
      <c r="G19" s="30">
        <v>45256</v>
      </c>
      <c r="H19" s="25">
        <v>45257</v>
      </c>
      <c r="I19" s="25">
        <v>45258</v>
      </c>
      <c r="J19" s="25">
        <v>45259</v>
      </c>
      <c r="K19" s="25">
        <v>45260</v>
      </c>
      <c r="L19" s="25"/>
      <c r="M19" s="26" t="s">
        <v>244</v>
      </c>
      <c r="N19" s="27">
        <v>45261</v>
      </c>
      <c r="O19" s="31">
        <v>45262</v>
      </c>
      <c r="P19" s="31">
        <v>45263</v>
      </c>
      <c r="Q19" s="27">
        <v>45264</v>
      </c>
      <c r="R19" s="27">
        <v>45265</v>
      </c>
      <c r="T19" s="41"/>
      <c r="V19" s="40" t="s">
        <v>63</v>
      </c>
      <c r="X19" s="40" t="s">
        <v>64</v>
      </c>
      <c r="Z19" s="40" t="s">
        <v>65</v>
      </c>
      <c r="AB19" s="40" t="s">
        <v>169</v>
      </c>
      <c r="AD19" s="40" t="s">
        <v>874</v>
      </c>
    </row>
    <row r="20" spans="1:31" ht="16.5" customHeight="1">
      <c r="A20" s="36">
        <v>1</v>
      </c>
      <c r="B20" s="19"/>
      <c r="C20" s="19"/>
      <c r="D20" s="19"/>
      <c r="E20" s="19"/>
      <c r="F20" s="19" t="s">
        <v>7</v>
      </c>
      <c r="G20" s="19" t="s">
        <v>107</v>
      </c>
      <c r="H20" s="19"/>
      <c r="I20" s="19"/>
      <c r="J20" s="19"/>
      <c r="K20" s="19"/>
      <c r="L20" s="19"/>
      <c r="M20" s="28"/>
      <c r="N20" s="19"/>
      <c r="O20" s="19" t="s">
        <v>2</v>
      </c>
      <c r="P20" s="19" t="s">
        <v>533</v>
      </c>
      <c r="Q20" s="19"/>
      <c r="R20" s="19"/>
      <c r="T20" s="41"/>
      <c r="V20" s="40" t="s">
        <v>25</v>
      </c>
      <c r="W20" s="40">
        <v>2</v>
      </c>
      <c r="X20" s="40" t="s">
        <v>45</v>
      </c>
      <c r="Y20" s="40">
        <v>3</v>
      </c>
      <c r="Z20" s="40" t="s">
        <v>6</v>
      </c>
      <c r="AA20" s="40">
        <v>3</v>
      </c>
      <c r="AB20" s="40" t="s">
        <v>153</v>
      </c>
      <c r="AC20" s="40">
        <v>6</v>
      </c>
      <c r="AD20" s="40" t="s">
        <v>37</v>
      </c>
      <c r="AE20" s="40">
        <v>8</v>
      </c>
    </row>
    <row r="21" spans="1:31" ht="16.5" customHeight="1">
      <c r="A21" s="36">
        <v>2</v>
      </c>
      <c r="B21" s="19"/>
      <c r="C21" s="19"/>
      <c r="D21" s="19"/>
      <c r="F21" s="19" t="s">
        <v>313</v>
      </c>
      <c r="G21" s="19" t="s">
        <v>769</v>
      </c>
      <c r="H21" s="19"/>
      <c r="I21" s="19"/>
      <c r="J21" s="19"/>
      <c r="K21" s="19"/>
      <c r="L21" s="61"/>
      <c r="M21" s="28"/>
      <c r="N21" s="19"/>
      <c r="O21" s="19" t="s">
        <v>14</v>
      </c>
      <c r="P21" s="19" t="s">
        <v>516</v>
      </c>
      <c r="Q21" s="19"/>
      <c r="R21" s="19"/>
      <c r="T21" s="41"/>
      <c r="V21" s="40" t="s">
        <v>2</v>
      </c>
      <c r="W21" s="40">
        <v>2</v>
      </c>
      <c r="X21" s="40" t="s">
        <v>14</v>
      </c>
      <c r="Y21" s="40">
        <v>2</v>
      </c>
      <c r="Z21" s="40" t="s">
        <v>1065</v>
      </c>
      <c r="AA21" s="40">
        <v>3</v>
      </c>
      <c r="AB21" s="40" t="s">
        <v>26</v>
      </c>
      <c r="AC21" s="40">
        <v>3</v>
      </c>
      <c r="AD21" s="40" t="s">
        <v>863</v>
      </c>
      <c r="AE21" s="40">
        <v>2</v>
      </c>
    </row>
    <row r="22" spans="1:31" ht="16.5" customHeight="1">
      <c r="A22" s="36">
        <v>3</v>
      </c>
      <c r="B22" s="19"/>
      <c r="C22" s="19"/>
      <c r="D22" s="19"/>
      <c r="E22" s="19"/>
      <c r="F22" s="19" t="s">
        <v>863</v>
      </c>
      <c r="G22" s="19" t="s">
        <v>875</v>
      </c>
      <c r="H22" s="19"/>
      <c r="I22" s="19"/>
      <c r="J22" s="19"/>
      <c r="K22" s="19"/>
      <c r="L22" s="19"/>
      <c r="M22" s="28"/>
      <c r="N22" s="19"/>
      <c r="O22" s="19" t="s">
        <v>1065</v>
      </c>
      <c r="P22" s="19" t="s">
        <v>37</v>
      </c>
      <c r="Q22" s="19"/>
      <c r="R22" s="19"/>
      <c r="T22" s="41"/>
      <c r="V22" s="40" t="s">
        <v>516</v>
      </c>
      <c r="W22" s="40">
        <v>0</v>
      </c>
      <c r="X22" s="40" t="s">
        <v>23</v>
      </c>
      <c r="Y22" s="40">
        <v>1</v>
      </c>
      <c r="Z22" s="40" t="s">
        <v>863</v>
      </c>
      <c r="AA22" s="40">
        <v>2</v>
      </c>
      <c r="AB22" s="40" t="s">
        <v>1032</v>
      </c>
      <c r="AC22" s="40">
        <v>7</v>
      </c>
      <c r="AD22" s="40" t="s">
        <v>875</v>
      </c>
      <c r="AE22" s="40">
        <v>4</v>
      </c>
    </row>
    <row r="23" spans="1:31" ht="16.5" customHeight="1">
      <c r="A23" s="36" t="s">
        <v>20</v>
      </c>
      <c r="B23" s="19" t="s">
        <v>153</v>
      </c>
      <c r="C23" s="19" t="s">
        <v>13</v>
      </c>
      <c r="D23" s="19" t="s">
        <v>13</v>
      </c>
      <c r="E23" s="19" t="s">
        <v>13</v>
      </c>
      <c r="F23" s="19" t="s">
        <v>13</v>
      </c>
      <c r="G23" s="19" t="s">
        <v>13</v>
      </c>
      <c r="H23" s="19" t="s">
        <v>1032</v>
      </c>
      <c r="I23" s="19" t="s">
        <v>13</v>
      </c>
      <c r="J23" s="19" t="s">
        <v>13</v>
      </c>
      <c r="K23" s="19" t="s">
        <v>13</v>
      </c>
      <c r="L23" s="19"/>
      <c r="M23" s="28"/>
      <c r="N23" s="19" t="s">
        <v>1032</v>
      </c>
      <c r="O23" s="19" t="s">
        <v>13</v>
      </c>
      <c r="P23" s="19" t="s">
        <v>13</v>
      </c>
      <c r="Q23" s="19" t="s">
        <v>864</v>
      </c>
      <c r="R23" s="19"/>
      <c r="T23" s="41"/>
      <c r="V23" s="40" t="s">
        <v>7</v>
      </c>
      <c r="W23" s="40">
        <v>2</v>
      </c>
      <c r="X23" s="40" t="s">
        <v>153</v>
      </c>
      <c r="Y23" s="40">
        <v>2</v>
      </c>
      <c r="Z23" s="40" t="s">
        <v>37</v>
      </c>
      <c r="AA23" s="68">
        <v>3</v>
      </c>
      <c r="AB23" s="40" t="s">
        <v>23</v>
      </c>
      <c r="AC23" s="68" t="s">
        <v>930</v>
      </c>
      <c r="AD23" s="40" t="s">
        <v>356</v>
      </c>
      <c r="AE23" s="40" t="s">
        <v>1091</v>
      </c>
    </row>
    <row r="24" spans="1:31" ht="16.5" customHeight="1">
      <c r="A24" s="36" t="s">
        <v>0</v>
      </c>
      <c r="B24" s="19" t="s">
        <v>356</v>
      </c>
      <c r="C24" s="19" t="s">
        <v>13</v>
      </c>
      <c r="D24" s="19" t="s">
        <v>13</v>
      </c>
      <c r="E24" s="19" t="s">
        <v>13</v>
      </c>
      <c r="F24" s="19" t="s">
        <v>9</v>
      </c>
      <c r="G24" s="19" t="s">
        <v>13</v>
      </c>
      <c r="H24" s="19" t="s">
        <v>6</v>
      </c>
      <c r="I24" s="19" t="s">
        <v>13</v>
      </c>
      <c r="J24" s="19" t="s">
        <v>13</v>
      </c>
      <c r="K24" s="19" t="s">
        <v>13</v>
      </c>
      <c r="L24" s="19"/>
      <c r="M24" s="28"/>
      <c r="N24" s="19" t="s">
        <v>6</v>
      </c>
      <c r="O24" s="19" t="s">
        <v>13</v>
      </c>
      <c r="P24" s="19" t="s">
        <v>13</v>
      </c>
      <c r="Q24" s="19" t="s">
        <v>356</v>
      </c>
      <c r="R24" s="19"/>
      <c r="T24" s="41"/>
      <c r="V24" s="40" t="s">
        <v>21</v>
      </c>
      <c r="W24" s="40">
        <v>3</v>
      </c>
      <c r="X24" s="40" t="s">
        <v>327</v>
      </c>
      <c r="Y24" s="40">
        <v>1</v>
      </c>
      <c r="Z24" s="40" t="s">
        <v>875</v>
      </c>
      <c r="AA24" s="40">
        <v>4</v>
      </c>
      <c r="AB24" s="40" t="s">
        <v>25</v>
      </c>
      <c r="AC24" s="40">
        <v>5</v>
      </c>
      <c r="AD24" s="40" t="s">
        <v>6</v>
      </c>
      <c r="AE24" s="40">
        <v>6</v>
      </c>
    </row>
    <row r="25" spans="1:31" ht="16.5" customHeight="1">
      <c r="A25" s="36" t="s">
        <v>1</v>
      </c>
      <c r="B25" s="19"/>
      <c r="C25" s="19"/>
      <c r="D25" s="19"/>
      <c r="E25" s="19"/>
      <c r="F25" s="19"/>
      <c r="G25" s="19"/>
      <c r="H25" s="19"/>
      <c r="I25" s="19"/>
      <c r="J25" s="19"/>
      <c r="K25" s="19"/>
      <c r="L25" s="19"/>
      <c r="M25" s="28"/>
      <c r="N25" s="19"/>
      <c r="O25" s="19"/>
      <c r="P25" s="19"/>
      <c r="Q25" s="19"/>
      <c r="R25" s="19"/>
      <c r="T25" s="41"/>
      <c r="V25" s="40" t="s">
        <v>26</v>
      </c>
      <c r="W25" s="40">
        <v>2</v>
      </c>
      <c r="X25" s="40" t="s">
        <v>28</v>
      </c>
      <c r="Y25" s="40">
        <v>2</v>
      </c>
      <c r="Z25" s="40" t="s">
        <v>36</v>
      </c>
      <c r="AA25" s="64">
        <v>3</v>
      </c>
      <c r="AB25" s="40" t="s">
        <v>327</v>
      </c>
      <c r="AC25" s="64" t="s">
        <v>963</v>
      </c>
    </row>
    <row r="26" spans="1:31" ht="16.5" customHeight="1">
      <c r="A26" s="36" t="s">
        <v>366</v>
      </c>
      <c r="B26" s="19"/>
      <c r="C26" s="19"/>
      <c r="D26" s="19"/>
      <c r="E26" s="19"/>
      <c r="F26" s="19"/>
      <c r="G26" s="19"/>
      <c r="H26" s="19"/>
      <c r="I26" s="19"/>
      <c r="J26" s="19"/>
      <c r="K26" s="19"/>
      <c r="L26" s="19"/>
      <c r="M26" s="28"/>
      <c r="N26" s="19"/>
      <c r="O26" s="19"/>
      <c r="P26" s="19"/>
      <c r="Q26" s="19"/>
      <c r="R26" s="19"/>
      <c r="T26" s="41"/>
      <c r="V26" s="40" t="s">
        <v>27</v>
      </c>
      <c r="W26" s="40">
        <v>2</v>
      </c>
      <c r="X26" s="40" t="s">
        <v>152</v>
      </c>
      <c r="Y26" s="40">
        <v>2</v>
      </c>
      <c r="AB26" s="40" t="s">
        <v>516</v>
      </c>
      <c r="AC26" s="40">
        <v>4</v>
      </c>
    </row>
    <row r="27" spans="1:31" ht="16.5" customHeight="1">
      <c r="A27" s="26" t="s">
        <v>244</v>
      </c>
      <c r="B27" s="27">
        <v>45266</v>
      </c>
      <c r="C27" s="27">
        <v>45267</v>
      </c>
      <c r="D27" s="27">
        <v>45268</v>
      </c>
      <c r="E27" s="31">
        <v>45269</v>
      </c>
      <c r="F27" s="31">
        <v>45270</v>
      </c>
      <c r="G27" s="27">
        <v>45271</v>
      </c>
      <c r="H27" s="27">
        <v>45272</v>
      </c>
      <c r="I27" s="27">
        <v>45273</v>
      </c>
      <c r="J27" s="27">
        <v>45274</v>
      </c>
      <c r="K27" s="27">
        <v>45275</v>
      </c>
      <c r="L27" s="31">
        <v>45276</v>
      </c>
      <c r="M27" s="31">
        <v>45277</v>
      </c>
      <c r="N27" s="27">
        <v>45278</v>
      </c>
      <c r="O27" s="27">
        <v>45279</v>
      </c>
      <c r="P27" s="27">
        <v>45280</v>
      </c>
      <c r="Q27" s="19"/>
      <c r="R27" s="19"/>
      <c r="T27" s="41"/>
      <c r="V27" s="40" t="s">
        <v>533</v>
      </c>
      <c r="W27" s="40">
        <v>3</v>
      </c>
      <c r="X27" s="40" t="s">
        <v>864</v>
      </c>
      <c r="Y27" s="40">
        <v>2</v>
      </c>
      <c r="AB27" s="40" t="s">
        <v>864</v>
      </c>
      <c r="AC27" s="40">
        <v>8</v>
      </c>
    </row>
    <row r="28" spans="1:31" ht="16.5" customHeight="1">
      <c r="A28" s="28">
        <v>1</v>
      </c>
      <c r="B28" s="19"/>
      <c r="C28" s="19"/>
      <c r="D28" s="19"/>
      <c r="E28" s="19" t="s">
        <v>25</v>
      </c>
      <c r="F28" s="19" t="s">
        <v>315</v>
      </c>
      <c r="G28" s="19"/>
      <c r="H28" s="19"/>
      <c r="I28" s="19"/>
      <c r="J28" s="19"/>
      <c r="K28" s="19"/>
      <c r="L28" s="19" t="s">
        <v>312</v>
      </c>
      <c r="M28" s="19" t="s">
        <v>7</v>
      </c>
      <c r="N28" s="19"/>
      <c r="O28" s="19"/>
      <c r="P28" s="19"/>
      <c r="Q28" s="19"/>
      <c r="R28" s="19"/>
      <c r="T28" s="41"/>
      <c r="V28" s="40" t="s">
        <v>774</v>
      </c>
      <c r="W28" s="40">
        <v>1</v>
      </c>
      <c r="X28" s="40" t="s">
        <v>1032</v>
      </c>
      <c r="Y28" s="40">
        <v>1</v>
      </c>
    </row>
    <row r="29" spans="1:31" ht="16.5" customHeight="1">
      <c r="A29" s="28">
        <v>2</v>
      </c>
      <c r="B29" s="19"/>
      <c r="C29" s="19"/>
      <c r="D29" s="19"/>
      <c r="E29" s="19" t="s">
        <v>93</v>
      </c>
      <c r="F29" s="19" t="s">
        <v>936</v>
      </c>
      <c r="G29" s="19"/>
      <c r="H29" s="19"/>
      <c r="I29" s="19"/>
      <c r="J29" s="19"/>
      <c r="K29" s="19"/>
      <c r="L29" s="19" t="s">
        <v>314</v>
      </c>
      <c r="M29" s="19" t="s">
        <v>153</v>
      </c>
      <c r="N29" s="19"/>
      <c r="O29" s="19"/>
      <c r="P29" s="19"/>
      <c r="Q29" s="19"/>
      <c r="R29" s="19"/>
      <c r="T29" s="41"/>
      <c r="V29" s="40" t="s">
        <v>769</v>
      </c>
      <c r="W29" s="40">
        <v>1</v>
      </c>
      <c r="X29" s="40" t="s">
        <v>516</v>
      </c>
      <c r="Y29" s="40">
        <v>1</v>
      </c>
    </row>
    <row r="30" spans="1:31" ht="16.5" customHeight="1">
      <c r="A30" s="28">
        <v>3</v>
      </c>
      <c r="B30" s="19"/>
      <c r="C30" s="19"/>
      <c r="D30" s="19"/>
      <c r="E30" s="19" t="s">
        <v>36</v>
      </c>
      <c r="F30" s="19" t="s">
        <v>875</v>
      </c>
      <c r="G30" s="19"/>
      <c r="H30" s="19"/>
      <c r="I30" s="19"/>
      <c r="J30" s="19"/>
      <c r="K30" s="19"/>
      <c r="L30" s="19" t="s">
        <v>6</v>
      </c>
      <c r="M30" s="19" t="s">
        <v>863</v>
      </c>
      <c r="N30" s="19"/>
      <c r="O30" s="19"/>
      <c r="P30" s="19"/>
      <c r="Q30" s="19"/>
      <c r="R30" s="19"/>
      <c r="T30" s="41"/>
      <c r="V30" s="40" t="s">
        <v>314</v>
      </c>
      <c r="W30" s="40">
        <v>0</v>
      </c>
      <c r="X30" s="40" t="s">
        <v>7</v>
      </c>
      <c r="Y30" s="40">
        <v>1</v>
      </c>
    </row>
    <row r="31" spans="1:31" ht="16.5" customHeight="1">
      <c r="A31" s="28" t="s">
        <v>20</v>
      </c>
      <c r="B31" s="19" t="s">
        <v>864</v>
      </c>
      <c r="C31" s="19" t="s">
        <v>13</v>
      </c>
      <c r="D31" s="19" t="s">
        <v>13</v>
      </c>
      <c r="E31" s="19" t="s">
        <v>13</v>
      </c>
      <c r="F31" s="19" t="s">
        <v>13</v>
      </c>
      <c r="G31" s="19" t="s">
        <v>769</v>
      </c>
      <c r="H31" s="19" t="s">
        <v>13</v>
      </c>
      <c r="I31" s="19" t="s">
        <v>13</v>
      </c>
      <c r="J31" s="19" t="s">
        <v>13</v>
      </c>
      <c r="K31" s="19" t="s">
        <v>13</v>
      </c>
      <c r="L31" s="19" t="s">
        <v>13</v>
      </c>
      <c r="M31" s="19" t="s">
        <v>13</v>
      </c>
      <c r="N31" s="19" t="s">
        <v>774</v>
      </c>
      <c r="O31" s="19" t="s">
        <v>13</v>
      </c>
      <c r="P31" s="19" t="s">
        <v>13</v>
      </c>
      <c r="Q31" s="19"/>
      <c r="R31" s="19"/>
      <c r="T31" s="41"/>
    </row>
    <row r="32" spans="1:31" ht="16.5" customHeight="1">
      <c r="A32" s="28" t="s">
        <v>0</v>
      </c>
      <c r="B32" s="19" t="s">
        <v>356</v>
      </c>
      <c r="C32" s="19" t="s">
        <v>13</v>
      </c>
      <c r="D32" s="19" t="s">
        <v>13</v>
      </c>
      <c r="E32" s="19" t="s">
        <v>9</v>
      </c>
      <c r="F32" s="19" t="s">
        <v>13</v>
      </c>
      <c r="G32" s="19" t="s">
        <v>37</v>
      </c>
      <c r="H32" s="19" t="s">
        <v>13</v>
      </c>
      <c r="I32" s="19" t="s">
        <v>13</v>
      </c>
      <c r="J32" s="19" t="s">
        <v>13</v>
      </c>
      <c r="K32" s="19" t="s">
        <v>13</v>
      </c>
      <c r="L32" s="19" t="s">
        <v>9</v>
      </c>
      <c r="M32" s="19" t="s">
        <v>13</v>
      </c>
      <c r="N32" s="19" t="s">
        <v>356</v>
      </c>
      <c r="O32" s="19" t="s">
        <v>13</v>
      </c>
      <c r="P32" s="19" t="s">
        <v>13</v>
      </c>
      <c r="Q32" s="19"/>
      <c r="R32" s="19"/>
      <c r="T32" s="41"/>
      <c r="V32" s="40" t="s">
        <v>567</v>
      </c>
      <c r="W32" s="40">
        <f>SUM(W19:W31)</f>
        <v>18</v>
      </c>
      <c r="Y32" s="40">
        <f>SUM(Y19:Y31)</f>
        <v>18</v>
      </c>
      <c r="AA32" s="40">
        <f>SUM(AA19:AA31)</f>
        <v>18</v>
      </c>
    </row>
    <row r="33" spans="1:25" ht="16.5" customHeight="1">
      <c r="A33" s="28" t="s">
        <v>1</v>
      </c>
      <c r="B33" s="19"/>
      <c r="C33" s="19"/>
      <c r="D33" s="19"/>
      <c r="E33" s="19"/>
      <c r="F33" s="19"/>
      <c r="G33" s="19"/>
      <c r="H33" s="19"/>
      <c r="I33" s="19"/>
      <c r="J33" s="19"/>
      <c r="K33" s="19"/>
      <c r="L33" s="19"/>
      <c r="M33" s="19"/>
      <c r="N33" s="19"/>
      <c r="O33" s="19"/>
      <c r="P33" s="19"/>
      <c r="Q33" s="19"/>
      <c r="R33" s="19"/>
    </row>
    <row r="34" spans="1:25" ht="16.5" customHeight="1">
      <c r="A34" s="28" t="s">
        <v>366</v>
      </c>
      <c r="B34" s="19"/>
      <c r="C34" s="19"/>
      <c r="D34" s="19"/>
      <c r="E34" s="19"/>
      <c r="F34" s="19"/>
      <c r="G34" s="19"/>
      <c r="H34" s="19"/>
      <c r="I34" s="19"/>
      <c r="J34" s="19"/>
      <c r="K34" s="19"/>
      <c r="L34" s="19"/>
      <c r="M34" s="19"/>
      <c r="N34" s="19"/>
      <c r="O34" s="19"/>
      <c r="P34" s="19"/>
      <c r="Q34" s="19"/>
      <c r="R34" s="19"/>
    </row>
    <row r="35" spans="1:25" ht="12.75" customHeight="1">
      <c r="Q35" s="145" t="s">
        <v>82</v>
      </c>
      <c r="R35" s="145"/>
      <c r="T35" s="41"/>
    </row>
    <row r="36" spans="1:25">
      <c r="A36" s="40" t="s">
        <v>322</v>
      </c>
      <c r="B36" s="49"/>
      <c r="C36" s="49"/>
      <c r="D36" s="49"/>
      <c r="E36" s="49"/>
      <c r="F36" s="49"/>
      <c r="G36" s="49"/>
      <c r="H36" s="55"/>
      <c r="I36" s="49"/>
      <c r="J36" s="49"/>
      <c r="K36" s="49"/>
      <c r="L36" s="49"/>
      <c r="M36" s="49"/>
      <c r="N36" s="49"/>
      <c r="O36" s="49"/>
      <c r="T36" s="41"/>
    </row>
    <row r="37" spans="1:25">
      <c r="A37" t="s">
        <v>1062</v>
      </c>
      <c r="B37" t="s">
        <v>1063</v>
      </c>
      <c r="C37"/>
      <c r="D37"/>
      <c r="E37"/>
      <c r="F37"/>
      <c r="G37" t="s">
        <v>1000</v>
      </c>
      <c r="H37"/>
      <c r="I37" s="55"/>
      <c r="J37" s="55"/>
      <c r="K37" s="55" t="s">
        <v>945</v>
      </c>
      <c r="L37" s="55"/>
      <c r="M37" s="55"/>
      <c r="N37" s="55"/>
      <c r="O37" s="55"/>
      <c r="P37" s="43"/>
      <c r="Q37" s="43"/>
      <c r="R37" s="43"/>
      <c r="T37" s="41"/>
    </row>
    <row r="38" spans="1:25">
      <c r="A38" s="50" t="s">
        <v>1080</v>
      </c>
      <c r="B38" s="50"/>
      <c r="C38" s="49"/>
      <c r="D38" s="49"/>
      <c r="E38" s="49"/>
      <c r="F38" s="50" t="s">
        <v>1046</v>
      </c>
      <c r="G38" s="49"/>
      <c r="H38" s="49"/>
      <c r="I38" s="55"/>
      <c r="J38" s="55"/>
      <c r="K38" s="55"/>
      <c r="L38" s="55"/>
      <c r="M38" s="55"/>
      <c r="N38" s="55"/>
      <c r="O38" s="55"/>
      <c r="P38" s="55"/>
      <c r="Q38" s="55"/>
      <c r="R38" s="55"/>
      <c r="S38" s="49"/>
      <c r="T38" s="72"/>
      <c r="U38" s="71"/>
      <c r="V38" s="71"/>
      <c r="W38" s="71"/>
      <c r="X38" s="71"/>
      <c r="Y38" s="71"/>
    </row>
    <row r="39" spans="1:25">
      <c r="A39" s="50" t="s">
        <v>1068</v>
      </c>
      <c r="B39" s="50"/>
      <c r="C39" s="76"/>
      <c r="D39" s="49"/>
      <c r="E39" s="49"/>
      <c r="F39" s="50" t="s">
        <v>1083</v>
      </c>
      <c r="G39" s="77"/>
      <c r="H39" s="49"/>
      <c r="I39" s="55"/>
      <c r="J39" s="55"/>
      <c r="K39" s="55"/>
      <c r="L39" s="55"/>
      <c r="M39" s="55"/>
      <c r="N39" s="55"/>
      <c r="O39" s="55"/>
      <c r="P39" s="55"/>
      <c r="Q39" s="55"/>
      <c r="R39" s="55"/>
      <c r="S39" s="49"/>
      <c r="T39" s="72"/>
      <c r="U39" s="71"/>
      <c r="V39" s="71"/>
      <c r="W39" s="71"/>
      <c r="X39" s="71"/>
      <c r="Y39" s="71"/>
    </row>
    <row r="40" spans="1:25">
      <c r="A40" s="50" t="s">
        <v>1049</v>
      </c>
      <c r="B40" s="49"/>
      <c r="C40" s="49"/>
      <c r="D40" s="49"/>
      <c r="E40" s="49"/>
      <c r="F40" s="50" t="s">
        <v>1056</v>
      </c>
      <c r="G40" s="49"/>
      <c r="H40" s="49"/>
      <c r="I40" s="55"/>
      <c r="J40" s="55"/>
      <c r="K40" s="55" t="s">
        <v>1064</v>
      </c>
      <c r="L40" s="55"/>
      <c r="M40" s="55"/>
      <c r="N40" s="55"/>
      <c r="O40" s="55"/>
      <c r="P40" s="55"/>
      <c r="Q40" s="55"/>
      <c r="R40" s="55"/>
      <c r="S40" s="49"/>
      <c r="T40" s="71"/>
      <c r="U40" s="71"/>
      <c r="V40" s="71"/>
      <c r="W40" s="71"/>
      <c r="X40" s="71"/>
      <c r="Y40" s="71"/>
    </row>
    <row r="41" spans="1:25">
      <c r="A41" s="50" t="s">
        <v>1069</v>
      </c>
      <c r="B41" s="49"/>
      <c r="C41" s="49"/>
      <c r="D41" s="49"/>
      <c r="E41" s="49"/>
      <c r="F41" s="75" t="s">
        <v>1085</v>
      </c>
      <c r="G41" s="77"/>
      <c r="H41" s="49"/>
      <c r="I41" s="55"/>
      <c r="J41" s="55"/>
      <c r="K41" s="55"/>
      <c r="L41" s="55"/>
      <c r="M41" s="55"/>
      <c r="N41" s="55"/>
      <c r="O41" s="55"/>
      <c r="P41" s="55"/>
      <c r="Q41" s="55"/>
      <c r="R41" s="55"/>
      <c r="S41" s="49"/>
      <c r="T41" s="71"/>
      <c r="U41" s="71"/>
      <c r="V41" s="71"/>
      <c r="W41" s="71"/>
      <c r="X41" s="71"/>
      <c r="Y41" s="71"/>
    </row>
    <row r="42" spans="1:25">
      <c r="A42" s="50" t="s">
        <v>1081</v>
      </c>
      <c r="B42" s="49"/>
      <c r="C42" s="49"/>
      <c r="D42" s="49"/>
      <c r="E42" s="49"/>
      <c r="F42" s="50" t="s">
        <v>1053</v>
      </c>
      <c r="G42" s="49"/>
      <c r="H42" s="49"/>
      <c r="I42" s="55"/>
      <c r="J42" s="55"/>
      <c r="K42" s="55"/>
      <c r="L42" s="55"/>
      <c r="M42" s="55"/>
      <c r="N42" s="55"/>
      <c r="O42" s="55"/>
      <c r="P42" s="55"/>
      <c r="Q42" s="55"/>
      <c r="R42" s="55"/>
      <c r="S42" s="49"/>
      <c r="T42" s="72"/>
      <c r="U42" s="71"/>
      <c r="V42" s="71"/>
      <c r="W42" s="71"/>
      <c r="X42" s="71"/>
      <c r="Y42" s="71"/>
    </row>
    <row r="43" spans="1:25">
      <c r="A43" s="50" t="s">
        <v>1070</v>
      </c>
      <c r="B43" s="49"/>
      <c r="C43" s="49"/>
      <c r="D43" s="49"/>
      <c r="E43" s="49"/>
      <c r="F43" s="75" t="s">
        <v>1086</v>
      </c>
      <c r="G43" s="49"/>
      <c r="H43" s="49"/>
      <c r="I43" s="55"/>
      <c r="J43" s="55"/>
      <c r="K43" s="55"/>
      <c r="L43" s="55"/>
      <c r="M43" s="55"/>
      <c r="N43" s="55"/>
      <c r="O43" s="55"/>
      <c r="P43" s="55"/>
      <c r="Q43" s="55"/>
      <c r="R43" s="55"/>
      <c r="S43" s="49"/>
      <c r="T43" s="72"/>
      <c r="U43" s="71"/>
      <c r="V43" s="71"/>
      <c r="W43" s="71"/>
      <c r="X43" s="71"/>
      <c r="Y43" s="71"/>
    </row>
    <row r="44" spans="1:25">
      <c r="A44" s="50" t="s">
        <v>1046</v>
      </c>
      <c r="B44" s="49"/>
      <c r="C44" s="49"/>
      <c r="D44" s="49"/>
      <c r="E44" s="49"/>
      <c r="F44" s="50" t="s">
        <v>1052</v>
      </c>
      <c r="G44" s="49"/>
      <c r="H44" s="49"/>
      <c r="I44" s="55"/>
      <c r="J44" s="55"/>
      <c r="K44" s="55"/>
      <c r="L44" s="55"/>
      <c r="M44" s="55"/>
      <c r="N44" s="55"/>
      <c r="O44" s="55"/>
      <c r="P44" s="55"/>
      <c r="Q44" s="55"/>
      <c r="R44" s="55"/>
      <c r="S44" s="49"/>
      <c r="T44" s="72"/>
      <c r="U44" s="71"/>
      <c r="V44" s="71"/>
      <c r="W44" s="71"/>
      <c r="X44" s="71"/>
      <c r="Y44" s="71"/>
    </row>
    <row r="45" spans="1:25">
      <c r="A45" s="50" t="s">
        <v>1071</v>
      </c>
      <c r="B45" s="49"/>
      <c r="C45" s="76"/>
      <c r="D45" s="49"/>
      <c r="E45" s="49"/>
      <c r="F45" s="50" t="s">
        <v>1084</v>
      </c>
      <c r="G45" s="77"/>
      <c r="H45" s="49"/>
      <c r="I45" s="55"/>
      <c r="J45" s="55"/>
      <c r="K45" s="55"/>
      <c r="L45" s="55"/>
      <c r="M45" s="55"/>
      <c r="N45" s="55"/>
      <c r="O45" s="55"/>
      <c r="P45" s="55"/>
      <c r="Q45" s="55"/>
      <c r="R45" s="55"/>
      <c r="S45" s="49"/>
      <c r="T45" s="71"/>
      <c r="U45" s="71"/>
      <c r="V45" s="71"/>
      <c r="W45" s="71"/>
      <c r="X45" s="71"/>
      <c r="Y45" s="71"/>
    </row>
    <row r="46" spans="1:25">
      <c r="A46" s="50"/>
      <c r="B46" s="49"/>
      <c r="C46" s="49"/>
      <c r="D46" s="49"/>
      <c r="E46" s="49"/>
      <c r="F46" s="50" t="s">
        <v>1048</v>
      </c>
      <c r="G46" s="49"/>
      <c r="H46" s="49"/>
      <c r="I46" s="55"/>
      <c r="J46" s="55"/>
      <c r="K46" s="55"/>
      <c r="L46" s="55"/>
      <c r="M46" s="55"/>
      <c r="N46" s="55"/>
      <c r="O46" s="55"/>
      <c r="P46" s="55"/>
      <c r="Q46" s="55"/>
      <c r="R46" s="55"/>
      <c r="S46" s="49"/>
      <c r="T46" s="72"/>
      <c r="U46" s="71"/>
      <c r="V46" s="71"/>
      <c r="W46" s="71"/>
      <c r="X46" s="71"/>
      <c r="Y46" s="71"/>
    </row>
    <row r="47" spans="1:25">
      <c r="A47" s="75"/>
      <c r="B47" s="49"/>
      <c r="C47" s="49"/>
      <c r="D47" s="49"/>
      <c r="E47" s="49"/>
      <c r="F47" s="75" t="s">
        <v>1087</v>
      </c>
      <c r="G47" s="49"/>
      <c r="H47" s="49"/>
      <c r="I47" s="55"/>
      <c r="J47" s="55"/>
      <c r="K47" s="55"/>
      <c r="L47" s="55"/>
      <c r="M47" s="55"/>
      <c r="N47" s="55"/>
      <c r="O47" s="55"/>
      <c r="P47" s="55"/>
      <c r="Q47" s="55"/>
      <c r="R47" s="55"/>
      <c r="S47" s="49"/>
      <c r="T47" s="72"/>
      <c r="U47" s="71"/>
      <c r="V47" s="71"/>
      <c r="W47" s="71"/>
      <c r="X47" s="71"/>
      <c r="Y47" s="71"/>
    </row>
    <row r="48" spans="1:25">
      <c r="A48" s="50" t="s">
        <v>1054</v>
      </c>
      <c r="B48" s="49"/>
      <c r="C48" s="49"/>
      <c r="D48" s="49"/>
      <c r="E48" s="49"/>
      <c r="F48" s="49"/>
      <c r="G48" s="49"/>
      <c r="H48" s="49"/>
      <c r="I48" s="55"/>
      <c r="J48" s="55"/>
      <c r="K48" s="55"/>
      <c r="L48" s="55"/>
      <c r="M48" s="55"/>
      <c r="N48" s="55"/>
      <c r="O48" s="55"/>
      <c r="P48" s="55"/>
      <c r="Q48" s="55"/>
      <c r="R48" s="55"/>
      <c r="S48" s="49"/>
      <c r="T48" s="72"/>
      <c r="U48" s="71"/>
      <c r="V48" s="71"/>
      <c r="W48" s="71"/>
      <c r="X48" s="71"/>
      <c r="Y48" s="71"/>
    </row>
    <row r="49" spans="1:25">
      <c r="A49" s="50" t="s">
        <v>1072</v>
      </c>
      <c r="B49" s="49"/>
      <c r="C49" s="49"/>
      <c r="D49" s="49"/>
      <c r="E49" s="49"/>
      <c r="F49" s="49"/>
      <c r="G49" s="49"/>
      <c r="H49" s="49"/>
      <c r="I49" s="55"/>
      <c r="J49" s="55"/>
      <c r="K49" s="55"/>
      <c r="L49" s="55"/>
      <c r="M49" s="55"/>
      <c r="N49" s="55"/>
      <c r="O49" s="55"/>
      <c r="P49" s="55"/>
      <c r="Q49" s="55"/>
      <c r="R49" s="55"/>
      <c r="S49" s="49"/>
      <c r="T49" s="71"/>
      <c r="U49" s="71"/>
      <c r="V49" s="71"/>
      <c r="W49" s="71"/>
      <c r="X49" s="71"/>
      <c r="Y49" s="71"/>
    </row>
    <row r="50" spans="1:25">
      <c r="A50" s="50" t="s">
        <v>1055</v>
      </c>
      <c r="B50" s="49"/>
      <c r="C50" s="49"/>
      <c r="D50" s="49"/>
      <c r="E50" s="49"/>
      <c r="F50" s="49"/>
      <c r="G50" s="49"/>
      <c r="H50" s="49"/>
      <c r="I50" s="55"/>
      <c r="J50" s="55"/>
      <c r="K50" s="55"/>
      <c r="L50" s="55"/>
      <c r="M50" s="55"/>
      <c r="N50" s="55"/>
      <c r="O50" s="55"/>
      <c r="P50" s="55"/>
      <c r="Q50" s="55"/>
      <c r="R50" s="55"/>
      <c r="S50" s="49"/>
      <c r="T50" s="71"/>
      <c r="U50" s="71"/>
      <c r="V50" s="71"/>
      <c r="W50" s="71"/>
      <c r="X50" s="71"/>
      <c r="Y50" s="71"/>
    </row>
    <row r="51" spans="1:25">
      <c r="A51" s="50" t="s">
        <v>1073</v>
      </c>
      <c r="B51" s="49"/>
      <c r="C51" s="49"/>
      <c r="D51" s="49"/>
      <c r="E51" s="49"/>
      <c r="F51" s="49"/>
      <c r="G51" s="49"/>
      <c r="H51" s="49"/>
      <c r="I51" s="55"/>
      <c r="J51" s="55"/>
      <c r="K51" s="55"/>
      <c r="L51" s="55"/>
      <c r="M51" s="55"/>
      <c r="N51" s="55"/>
      <c r="O51" s="55"/>
      <c r="P51" s="55"/>
      <c r="Q51" s="55"/>
      <c r="R51" s="55"/>
      <c r="S51" s="49"/>
      <c r="T51" s="71"/>
      <c r="U51" s="71"/>
      <c r="V51" s="71"/>
      <c r="W51" s="71"/>
      <c r="X51" s="71"/>
      <c r="Y51" s="71"/>
    </row>
    <row r="52" spans="1:25">
      <c r="A52" s="50" t="s">
        <v>1057</v>
      </c>
      <c r="B52" s="49"/>
      <c r="C52" s="49"/>
      <c r="D52" s="49"/>
      <c r="E52" s="49"/>
      <c r="F52" s="49"/>
      <c r="G52" s="49"/>
      <c r="H52" s="49"/>
      <c r="I52" s="49"/>
      <c r="J52" s="49"/>
      <c r="K52" s="49"/>
      <c r="L52" s="49"/>
      <c r="M52" s="49"/>
      <c r="N52" s="49"/>
      <c r="O52" s="49"/>
      <c r="P52" s="49"/>
      <c r="Q52" s="49"/>
      <c r="R52" s="49"/>
      <c r="S52" s="49"/>
      <c r="T52" s="71"/>
      <c r="U52" s="71"/>
      <c r="V52" s="71"/>
      <c r="W52" s="71"/>
      <c r="X52" s="71"/>
      <c r="Y52" s="71"/>
    </row>
    <row r="53" spans="1:25">
      <c r="A53" s="50" t="s">
        <v>1074</v>
      </c>
      <c r="B53" s="49"/>
      <c r="C53" s="49"/>
      <c r="D53" s="49"/>
      <c r="E53" s="49"/>
      <c r="F53" s="50" t="s">
        <v>25</v>
      </c>
      <c r="G53" s="49"/>
      <c r="H53" s="49"/>
      <c r="I53" s="49"/>
      <c r="J53" s="49"/>
      <c r="K53" s="49"/>
      <c r="L53" s="49"/>
      <c r="M53" s="49"/>
      <c r="N53" s="49"/>
      <c r="O53" s="49"/>
      <c r="P53" s="49"/>
      <c r="Q53" s="49"/>
      <c r="R53" s="49"/>
      <c r="S53" s="49"/>
      <c r="T53" s="71"/>
      <c r="U53" s="71"/>
      <c r="V53" s="71"/>
      <c r="W53" s="71"/>
      <c r="X53" s="71"/>
      <c r="Y53" s="71"/>
    </row>
    <row r="54" spans="1:25">
      <c r="A54" s="50" t="s">
        <v>1082</v>
      </c>
      <c r="B54" s="73"/>
      <c r="C54" s="49"/>
      <c r="D54" s="49"/>
      <c r="E54" s="49"/>
      <c r="F54" s="79" t="s">
        <v>1089</v>
      </c>
      <c r="G54" s="49"/>
      <c r="H54" s="49"/>
      <c r="I54" s="49"/>
      <c r="J54" s="49"/>
      <c r="K54" s="49"/>
      <c r="L54" s="49"/>
      <c r="M54" s="49"/>
      <c r="N54" s="49"/>
      <c r="O54" s="49"/>
      <c r="P54" s="49"/>
      <c r="Q54" s="49"/>
      <c r="R54" s="49"/>
      <c r="S54" s="49"/>
      <c r="T54" s="71"/>
      <c r="U54" s="71"/>
      <c r="V54" s="71"/>
      <c r="W54" s="71"/>
      <c r="X54" s="71"/>
      <c r="Y54" s="71"/>
    </row>
    <row r="55" spans="1:25">
      <c r="A55" s="50" t="s">
        <v>1075</v>
      </c>
      <c r="B55" s="49"/>
      <c r="C55" s="49"/>
      <c r="D55" s="49"/>
      <c r="E55" s="49"/>
      <c r="F55" s="49"/>
      <c r="G55" s="49"/>
      <c r="H55" s="49"/>
      <c r="I55" s="49"/>
      <c r="J55" s="49"/>
      <c r="K55" s="49"/>
      <c r="L55" s="49"/>
      <c r="M55" s="49"/>
      <c r="N55" s="49"/>
      <c r="O55" s="49"/>
      <c r="P55" s="49"/>
      <c r="Q55" s="49"/>
      <c r="R55" s="49"/>
      <c r="S55" s="49"/>
      <c r="T55" s="71"/>
      <c r="U55" s="71"/>
      <c r="V55" s="71"/>
      <c r="W55" s="71"/>
      <c r="X55" s="71"/>
      <c r="Y55" s="71"/>
    </row>
    <row r="56" spans="1:25">
      <c r="A56" s="50" t="s">
        <v>1051</v>
      </c>
      <c r="B56" s="49"/>
      <c r="C56" s="49"/>
      <c r="D56" s="49"/>
      <c r="E56" s="49"/>
      <c r="F56" s="49"/>
      <c r="G56" s="49"/>
      <c r="H56" s="49"/>
      <c r="I56" s="49"/>
      <c r="J56" s="49"/>
      <c r="K56" s="49"/>
      <c r="L56" s="49"/>
      <c r="M56" s="49"/>
      <c r="N56" s="49"/>
      <c r="O56" s="49"/>
      <c r="P56" s="49"/>
      <c r="Q56" s="49"/>
      <c r="R56" s="49"/>
      <c r="S56" s="49"/>
      <c r="T56" s="71"/>
      <c r="U56" s="71"/>
      <c r="V56" s="71"/>
      <c r="W56" s="71"/>
      <c r="X56" s="71"/>
      <c r="Y56" s="71"/>
    </row>
    <row r="57" spans="1:25">
      <c r="A57" s="50" t="s">
        <v>1076</v>
      </c>
      <c r="B57" s="49"/>
      <c r="C57" s="49"/>
      <c r="D57" s="49"/>
      <c r="E57" s="49"/>
      <c r="F57" s="49"/>
      <c r="G57" s="49"/>
      <c r="H57" s="49"/>
      <c r="I57" s="49"/>
      <c r="J57" s="49"/>
      <c r="K57" s="49"/>
      <c r="L57" s="49"/>
      <c r="M57" s="49"/>
      <c r="N57" s="49"/>
      <c r="O57" s="49"/>
      <c r="P57" s="49"/>
      <c r="Q57" s="49"/>
      <c r="R57" s="49"/>
      <c r="S57" s="49"/>
      <c r="T57" s="71"/>
      <c r="U57" s="71"/>
      <c r="V57" s="71"/>
      <c r="W57" s="71"/>
      <c r="X57" s="71"/>
      <c r="Y57" s="71"/>
    </row>
    <row r="58" spans="1:25">
      <c r="A58" s="50" t="s">
        <v>1053</v>
      </c>
      <c r="B58" s="49"/>
      <c r="C58" s="49"/>
      <c r="D58" s="49"/>
      <c r="E58" s="49"/>
      <c r="F58" s="49"/>
      <c r="G58" s="49"/>
      <c r="H58" s="49"/>
      <c r="I58" s="49"/>
      <c r="J58" s="49"/>
      <c r="K58" s="49"/>
      <c r="L58" s="49"/>
      <c r="M58" s="49"/>
      <c r="N58" s="49"/>
      <c r="O58" s="49"/>
      <c r="P58" s="49"/>
      <c r="Q58" s="49"/>
      <c r="R58" s="49"/>
      <c r="S58" s="49"/>
      <c r="T58" s="71"/>
      <c r="U58" s="71"/>
      <c r="V58" s="71"/>
      <c r="W58" s="71"/>
      <c r="X58" s="71"/>
      <c r="Y58" s="71"/>
    </row>
    <row r="59" spans="1:25">
      <c r="A59" s="50" t="s">
        <v>1077</v>
      </c>
      <c r="B59" s="49"/>
      <c r="C59" s="49"/>
      <c r="D59" s="49"/>
      <c r="E59" s="49"/>
      <c r="F59" s="49"/>
      <c r="G59" s="49"/>
      <c r="H59" s="49"/>
      <c r="I59" s="49"/>
      <c r="J59" s="49"/>
      <c r="K59" s="49"/>
      <c r="L59" s="49"/>
      <c r="M59" s="49"/>
      <c r="N59" s="49"/>
      <c r="O59" s="49"/>
      <c r="P59" s="49"/>
      <c r="Q59" s="49"/>
      <c r="R59" s="49"/>
      <c r="S59" s="49"/>
      <c r="T59" s="71"/>
      <c r="U59" s="71"/>
      <c r="V59" s="71"/>
      <c r="W59" s="71"/>
      <c r="X59" s="71"/>
      <c r="Y59" s="71"/>
    </row>
    <row r="60" spans="1:25">
      <c r="A60" s="50" t="s">
        <v>1052</v>
      </c>
      <c r="B60" s="49"/>
      <c r="C60" s="49"/>
      <c r="D60" s="49"/>
      <c r="E60" s="49"/>
      <c r="F60" s="49"/>
      <c r="G60" s="49"/>
      <c r="H60" s="49"/>
      <c r="I60" s="49"/>
      <c r="J60" s="49"/>
      <c r="K60" s="49"/>
      <c r="L60" s="49"/>
      <c r="M60" s="49"/>
      <c r="N60" s="49"/>
      <c r="O60" s="49"/>
      <c r="P60" s="49"/>
      <c r="Q60" s="49"/>
      <c r="R60" s="49"/>
      <c r="S60" s="49"/>
      <c r="T60" s="71"/>
      <c r="U60" s="71"/>
      <c r="V60" s="71"/>
      <c r="W60" s="71"/>
      <c r="X60" s="71"/>
      <c r="Y60" s="71"/>
    </row>
    <row r="61" spans="1:25">
      <c r="A61" s="50" t="s">
        <v>1078</v>
      </c>
      <c r="B61" s="49"/>
      <c r="C61" s="49"/>
      <c r="D61" s="49"/>
      <c r="E61" s="49"/>
      <c r="F61" s="49"/>
      <c r="G61" s="49"/>
      <c r="H61" s="49"/>
      <c r="I61" s="49"/>
      <c r="J61" s="49"/>
      <c r="K61" s="49"/>
      <c r="L61" s="49"/>
      <c r="M61" s="49"/>
      <c r="N61" s="49"/>
      <c r="O61" s="49"/>
      <c r="P61" s="49"/>
      <c r="Q61" s="49"/>
      <c r="R61" s="49"/>
      <c r="S61" s="49"/>
      <c r="T61" s="71"/>
      <c r="U61" s="71"/>
      <c r="V61" s="71"/>
      <c r="W61" s="71"/>
      <c r="X61" s="71"/>
      <c r="Y61" s="71"/>
    </row>
    <row r="62" spans="1:25">
      <c r="A62" s="50" t="s">
        <v>1048</v>
      </c>
      <c r="B62" s="49"/>
      <c r="C62" s="49"/>
      <c r="D62" s="49"/>
      <c r="E62" s="49"/>
      <c r="F62" s="49"/>
      <c r="G62" s="49"/>
      <c r="H62" s="49"/>
      <c r="I62" s="49"/>
      <c r="J62" s="49"/>
      <c r="K62" s="49"/>
      <c r="L62" s="49"/>
      <c r="M62" s="49"/>
      <c r="N62" s="49"/>
      <c r="O62" s="49"/>
      <c r="P62" s="49"/>
      <c r="Q62" s="49"/>
      <c r="R62" s="49"/>
      <c r="S62" s="49"/>
      <c r="T62" s="71"/>
      <c r="U62" s="71"/>
      <c r="V62" s="71"/>
      <c r="W62" s="71"/>
      <c r="X62" s="71"/>
      <c r="Y62" s="71"/>
    </row>
    <row r="63" spans="1:25">
      <c r="A63" s="50" t="s">
        <v>1079</v>
      </c>
      <c r="B63" s="49"/>
      <c r="C63" s="49"/>
      <c r="D63" s="49"/>
      <c r="E63" s="49"/>
      <c r="F63" s="49"/>
      <c r="G63" s="49"/>
      <c r="H63" s="49"/>
      <c r="I63" s="49"/>
      <c r="J63" s="49"/>
      <c r="K63" s="49"/>
      <c r="L63" s="49"/>
      <c r="M63" s="49"/>
      <c r="N63" s="49"/>
      <c r="O63" s="49"/>
      <c r="P63" s="49"/>
      <c r="Q63" s="49"/>
      <c r="R63" s="49"/>
      <c r="S63" s="49"/>
      <c r="T63" s="71"/>
      <c r="U63" s="71"/>
      <c r="V63" s="71"/>
      <c r="W63" s="71"/>
      <c r="X63" s="71"/>
      <c r="Y63" s="71"/>
    </row>
    <row r="64" spans="1:25">
      <c r="A64" s="78" t="s">
        <v>25</v>
      </c>
      <c r="B64" s="73"/>
      <c r="C64" s="73"/>
      <c r="D64" s="73"/>
      <c r="E64" s="73"/>
      <c r="F64" s="73"/>
      <c r="G64" s="73"/>
      <c r="H64" s="73"/>
      <c r="I64" s="73"/>
      <c r="J64" s="73"/>
      <c r="K64" s="73"/>
      <c r="L64" s="73"/>
      <c r="M64" s="73"/>
      <c r="N64" s="73"/>
      <c r="O64" s="73"/>
      <c r="P64" s="73"/>
      <c r="Q64" s="73"/>
      <c r="R64" s="73"/>
      <c r="S64" s="73"/>
    </row>
    <row r="65" spans="1:19">
      <c r="A65" s="50" t="s">
        <v>1088</v>
      </c>
      <c r="B65" s="73"/>
      <c r="C65" s="73"/>
      <c r="D65" s="73"/>
      <c r="E65" s="73"/>
      <c r="F65" s="73"/>
      <c r="G65" s="73"/>
      <c r="H65" s="73"/>
      <c r="I65" s="73"/>
      <c r="J65" s="73"/>
      <c r="K65" s="73"/>
      <c r="L65" s="73"/>
      <c r="M65" s="73"/>
      <c r="N65" s="73"/>
      <c r="O65" s="73"/>
      <c r="P65" s="73"/>
      <c r="Q65" s="73"/>
      <c r="R65" s="73"/>
      <c r="S65" s="73"/>
    </row>
    <row r="66" spans="1:19">
      <c r="A66" s="78" t="s">
        <v>2</v>
      </c>
      <c r="B66" s="73"/>
      <c r="C66" s="73"/>
      <c r="D66" s="73"/>
      <c r="E66" s="73"/>
      <c r="F66" s="73"/>
      <c r="G66" s="73"/>
      <c r="H66" s="73"/>
      <c r="I66" s="73"/>
      <c r="J66" s="73"/>
      <c r="K66" s="73"/>
      <c r="L66" s="73"/>
      <c r="M66" s="73"/>
      <c r="N66" s="73"/>
      <c r="O66" s="73"/>
      <c r="P66" s="73"/>
      <c r="Q66" s="73"/>
      <c r="R66" s="73"/>
      <c r="S66" s="73"/>
    </row>
    <row r="67" spans="1:19">
      <c r="A67" s="50" t="s">
        <v>1090</v>
      </c>
      <c r="B67" s="73"/>
      <c r="C67" s="73"/>
      <c r="D67" s="73"/>
      <c r="E67" s="73"/>
      <c r="F67" s="73"/>
      <c r="G67" s="73"/>
      <c r="H67" s="73"/>
      <c r="I67" s="73"/>
      <c r="J67" s="73"/>
      <c r="K67" s="73"/>
      <c r="L67" s="73"/>
      <c r="M67" s="73"/>
      <c r="N67" s="73"/>
      <c r="O67" s="73"/>
      <c r="P67" s="73"/>
      <c r="Q67" s="73"/>
      <c r="R67" s="73"/>
      <c r="S67" s="73"/>
    </row>
    <row r="68" spans="1:19">
      <c r="A68" s="73"/>
      <c r="B68" s="73"/>
      <c r="C68" s="73"/>
      <c r="D68" s="73"/>
      <c r="E68" s="73"/>
      <c r="F68" s="73"/>
      <c r="G68" s="73"/>
      <c r="H68" s="73"/>
      <c r="I68" s="73"/>
      <c r="J68" s="73"/>
      <c r="K68" s="73"/>
      <c r="L68" s="73"/>
      <c r="M68" s="73"/>
      <c r="N68" s="73"/>
      <c r="O68" s="73"/>
      <c r="P68" s="73"/>
      <c r="Q68" s="73"/>
      <c r="R68" s="73"/>
      <c r="S68" s="73"/>
    </row>
    <row r="69" spans="1:19">
      <c r="A69" s="73"/>
      <c r="B69" s="73"/>
      <c r="C69" s="73"/>
      <c r="D69" s="73"/>
      <c r="E69" s="73"/>
      <c r="F69" s="73"/>
      <c r="G69" s="73"/>
      <c r="H69" s="73"/>
      <c r="I69" s="73"/>
      <c r="J69" s="73"/>
      <c r="K69" s="73"/>
      <c r="L69" s="73"/>
      <c r="M69" s="73"/>
      <c r="N69" s="73"/>
      <c r="O69" s="73"/>
      <c r="P69" s="73"/>
      <c r="Q69" s="73"/>
      <c r="R69" s="73"/>
      <c r="S69" s="73"/>
    </row>
    <row r="70" spans="1:19">
      <c r="A70" s="73"/>
      <c r="B70" s="73"/>
      <c r="C70" s="73"/>
      <c r="D70" s="73"/>
      <c r="E70" s="73"/>
      <c r="F70" s="73"/>
      <c r="G70" s="73"/>
      <c r="H70" s="73"/>
      <c r="I70" s="73"/>
      <c r="J70" s="73"/>
      <c r="K70" s="73"/>
      <c r="L70" s="73"/>
      <c r="M70" s="73"/>
      <c r="N70" s="73"/>
      <c r="O70" s="73"/>
      <c r="P70" s="73"/>
      <c r="Q70" s="73"/>
      <c r="R70" s="73"/>
      <c r="S70" s="73"/>
    </row>
    <row r="71" spans="1:19">
      <c r="A71" s="73"/>
      <c r="B71" s="73"/>
      <c r="C71" s="73"/>
      <c r="D71" s="73"/>
      <c r="E71" s="73"/>
      <c r="F71" s="73"/>
      <c r="G71" s="73"/>
      <c r="H71" s="73"/>
      <c r="I71" s="73"/>
      <c r="J71" s="73"/>
      <c r="K71" s="73"/>
      <c r="L71" s="73"/>
      <c r="M71" s="73"/>
      <c r="N71" s="73"/>
      <c r="O71" s="73"/>
      <c r="P71" s="73"/>
      <c r="Q71" s="73"/>
      <c r="R71" s="73"/>
      <c r="S71" s="73"/>
    </row>
    <row r="72" spans="1:19">
      <c r="A72" s="73"/>
      <c r="B72" s="73"/>
      <c r="C72" s="73"/>
      <c r="D72" s="73"/>
      <c r="E72" s="73"/>
      <c r="F72" s="73"/>
      <c r="G72" s="73"/>
      <c r="H72" s="73"/>
      <c r="I72" s="73"/>
      <c r="J72" s="73"/>
      <c r="K72" s="73"/>
      <c r="L72" s="73"/>
      <c r="M72" s="73"/>
      <c r="N72" s="73"/>
      <c r="O72" s="73"/>
      <c r="P72" s="73"/>
      <c r="Q72" s="73"/>
      <c r="R72" s="73"/>
      <c r="S72" s="73"/>
    </row>
    <row r="73" spans="1:19">
      <c r="A73" s="73"/>
      <c r="B73" s="73"/>
      <c r="C73" s="73"/>
      <c r="D73" s="73"/>
      <c r="E73" s="73"/>
      <c r="F73" s="73"/>
      <c r="G73" s="73"/>
      <c r="H73" s="73"/>
      <c r="I73" s="73"/>
      <c r="J73" s="73"/>
      <c r="K73" s="73"/>
      <c r="L73" s="73"/>
      <c r="M73" s="73"/>
      <c r="N73" s="73"/>
      <c r="O73" s="73"/>
      <c r="P73" s="73"/>
      <c r="Q73" s="73"/>
      <c r="R73" s="73"/>
      <c r="S73" s="73"/>
    </row>
  </sheetData>
  <mergeCells count="2">
    <mergeCell ref="A1:R1"/>
    <mergeCell ref="Q35:R35"/>
  </mergeCells>
  <phoneticPr fontId="2"/>
  <pageMargins left="0.70866141732283472" right="0.70866141732283472" top="0" bottom="0" header="0.31496062992125984" footer="0.31496062992125984"/>
  <pageSetup paperSize="9" orientation="landscape" r:id="rId1"/>
  <drawing r:id="rId2"/>
  <legacyDrawing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9BA66-3CEA-460B-BE63-73F61C314BDF}">
  <dimension ref="A1:AE73"/>
  <sheetViews>
    <sheetView topLeftCell="A7" zoomScale="95" zoomScaleNormal="95" workbookViewId="0">
      <selection activeCell="G11" sqref="G11"/>
    </sheetView>
  </sheetViews>
  <sheetFormatPr defaultColWidth="9" defaultRowHeight="18.75"/>
  <cols>
    <col min="1" max="18" width="6.625" style="40" customWidth="1"/>
    <col min="19" max="19" width="3.625" style="40" customWidth="1"/>
    <col min="20" max="20" width="6.625" style="40" customWidth="1"/>
    <col min="21" max="21" width="3.625" style="40" customWidth="1"/>
    <col min="22" max="37" width="6.625" style="40" customWidth="1"/>
    <col min="38" max="38" width="3.625" style="40" customWidth="1"/>
    <col min="39" max="16384" width="9" style="40"/>
  </cols>
  <sheetData>
    <row r="1" spans="1:29">
      <c r="A1" s="147" t="s">
        <v>1066</v>
      </c>
      <c r="B1" s="147"/>
      <c r="C1" s="147"/>
      <c r="D1" s="147"/>
      <c r="E1" s="147"/>
      <c r="F1" s="147"/>
      <c r="G1" s="147"/>
      <c r="H1" s="147"/>
      <c r="I1" s="147"/>
      <c r="J1" s="147"/>
      <c r="K1" s="147"/>
      <c r="L1" s="147"/>
      <c r="M1" s="147"/>
      <c r="N1" s="147"/>
      <c r="O1" s="147"/>
      <c r="P1" s="147"/>
      <c r="Q1" s="147"/>
      <c r="R1" s="147"/>
      <c r="X1" s="40" t="s">
        <v>167</v>
      </c>
    </row>
    <row r="2" spans="1:29" ht="16.5" customHeight="1">
      <c r="A2" s="26" t="s">
        <v>216</v>
      </c>
      <c r="B2" s="27">
        <v>45159</v>
      </c>
      <c r="C2" s="27">
        <v>45160</v>
      </c>
      <c r="D2" s="27">
        <v>45161</v>
      </c>
      <c r="E2" s="27">
        <v>45162</v>
      </c>
      <c r="F2" s="27">
        <v>45163</v>
      </c>
      <c r="G2" s="31">
        <v>45164</v>
      </c>
      <c r="H2" s="31">
        <v>45165</v>
      </c>
      <c r="I2" s="27">
        <v>45166</v>
      </c>
      <c r="J2" s="27">
        <v>45167</v>
      </c>
      <c r="K2" s="27">
        <v>45168</v>
      </c>
      <c r="L2" s="27">
        <v>45169</v>
      </c>
      <c r="M2" s="23" t="s">
        <v>217</v>
      </c>
      <c r="N2" s="25">
        <v>45170</v>
      </c>
      <c r="O2" s="30">
        <v>45171</v>
      </c>
      <c r="P2" s="30">
        <v>45172</v>
      </c>
      <c r="Q2" s="25">
        <v>45173</v>
      </c>
      <c r="R2" s="25">
        <v>45174</v>
      </c>
      <c r="V2" s="40" t="s">
        <v>63</v>
      </c>
      <c r="X2" s="40" t="s">
        <v>64</v>
      </c>
      <c r="Z2" s="40" t="s">
        <v>169</v>
      </c>
      <c r="AB2" s="40" t="s">
        <v>874</v>
      </c>
    </row>
    <row r="3" spans="1:29" ht="16.5" customHeight="1">
      <c r="A3" s="28">
        <v>1</v>
      </c>
      <c r="B3" s="19"/>
      <c r="C3" s="19"/>
      <c r="D3" s="19"/>
      <c r="E3" s="19"/>
      <c r="F3" s="19"/>
      <c r="G3" s="19" t="s">
        <v>312</v>
      </c>
      <c r="H3" s="19" t="s">
        <v>533</v>
      </c>
      <c r="I3" s="19"/>
      <c r="J3" s="19"/>
      <c r="K3" s="19"/>
      <c r="L3" s="19"/>
      <c r="M3" s="36">
        <v>1</v>
      </c>
      <c r="N3" s="19"/>
      <c r="O3" s="19" t="s">
        <v>2</v>
      </c>
      <c r="P3" s="19" t="s">
        <v>107</v>
      </c>
      <c r="Q3" s="19"/>
      <c r="R3" s="19"/>
      <c r="V3" s="40" t="s">
        <v>25</v>
      </c>
      <c r="W3" s="40">
        <v>2</v>
      </c>
      <c r="X3" s="40" t="s">
        <v>45</v>
      </c>
      <c r="Y3" s="40">
        <v>2</v>
      </c>
      <c r="Z3" s="40" t="s">
        <v>153</v>
      </c>
      <c r="AA3" s="40">
        <v>5</v>
      </c>
      <c r="AB3" s="40" t="s">
        <v>37</v>
      </c>
    </row>
    <row r="4" spans="1:29" ht="16.5" customHeight="1">
      <c r="A4" s="28">
        <v>2</v>
      </c>
      <c r="B4" s="19"/>
      <c r="C4" s="19"/>
      <c r="D4" s="19"/>
      <c r="E4" s="19"/>
      <c r="F4" s="19"/>
      <c r="G4" s="61" t="s">
        <v>93</v>
      </c>
      <c r="H4" s="40" t="s">
        <v>153</v>
      </c>
      <c r="I4" s="19"/>
      <c r="J4" s="19"/>
      <c r="K4" s="19"/>
      <c r="L4" s="19"/>
      <c r="M4" s="36">
        <v>2</v>
      </c>
      <c r="N4" s="19"/>
      <c r="O4" s="19" t="s">
        <v>516</v>
      </c>
      <c r="P4" s="40" t="s">
        <v>314</v>
      </c>
      <c r="Q4" s="19"/>
      <c r="R4" s="19"/>
      <c r="T4" s="41"/>
      <c r="U4" s="41"/>
      <c r="V4" s="40" t="s">
        <v>2</v>
      </c>
      <c r="W4" s="40">
        <v>2</v>
      </c>
      <c r="X4" s="40" t="s">
        <v>14</v>
      </c>
      <c r="Y4" s="40">
        <v>2</v>
      </c>
      <c r="Z4" s="40" t="s">
        <v>26</v>
      </c>
      <c r="AA4" s="40">
        <v>3</v>
      </c>
      <c r="AB4" s="40" t="s">
        <v>863</v>
      </c>
      <c r="AC4" s="40">
        <v>2</v>
      </c>
    </row>
    <row r="5" spans="1:29" ht="16.5" customHeight="1">
      <c r="A5" s="28">
        <v>3</v>
      </c>
      <c r="B5" s="19"/>
      <c r="C5" s="19"/>
      <c r="D5" s="19"/>
      <c r="E5" s="19"/>
      <c r="F5" s="19"/>
      <c r="G5" s="19" t="s">
        <v>863</v>
      </c>
      <c r="H5" s="19" t="s">
        <v>36</v>
      </c>
      <c r="I5" s="19"/>
      <c r="J5" s="19"/>
      <c r="K5" s="19"/>
      <c r="L5" s="19"/>
      <c r="M5" s="36">
        <v>3</v>
      </c>
      <c r="N5" s="19"/>
      <c r="O5" s="19" t="s">
        <v>37</v>
      </c>
      <c r="P5" s="19" t="s">
        <v>6</v>
      </c>
      <c r="Q5" s="19"/>
      <c r="R5" s="19"/>
      <c r="T5" s="41"/>
      <c r="U5" s="41"/>
      <c r="V5" s="40" t="s">
        <v>516</v>
      </c>
      <c r="W5" s="40">
        <v>1</v>
      </c>
      <c r="X5" s="40" t="s">
        <v>6</v>
      </c>
      <c r="Y5" s="40">
        <v>1</v>
      </c>
      <c r="Z5" s="40" t="s">
        <v>1032</v>
      </c>
      <c r="AA5" s="40">
        <v>9</v>
      </c>
      <c r="AB5" s="40" t="s">
        <v>875</v>
      </c>
      <c r="AC5" s="40">
        <v>4.8</v>
      </c>
    </row>
    <row r="6" spans="1:29" ht="16.5" customHeight="1">
      <c r="A6" s="28" t="s">
        <v>20</v>
      </c>
      <c r="B6" s="19" t="s">
        <v>769</v>
      </c>
      <c r="C6" s="19" t="s">
        <v>13</v>
      </c>
      <c r="D6" s="19" t="s">
        <v>13</v>
      </c>
      <c r="E6" s="19" t="s">
        <v>13</v>
      </c>
      <c r="F6" s="19" t="s">
        <v>13</v>
      </c>
      <c r="G6" s="19" t="s">
        <v>13</v>
      </c>
      <c r="H6" s="19" t="s">
        <v>13</v>
      </c>
      <c r="I6" s="19" t="s">
        <v>774</v>
      </c>
      <c r="J6" s="19" t="s">
        <v>13</v>
      </c>
      <c r="K6" s="19" t="s">
        <v>13</v>
      </c>
      <c r="L6" s="19" t="s">
        <v>13</v>
      </c>
      <c r="M6" s="36" t="s">
        <v>20</v>
      </c>
      <c r="N6" s="19" t="s">
        <v>774</v>
      </c>
      <c r="O6" s="19" t="s">
        <v>13</v>
      </c>
      <c r="P6" s="19" t="s">
        <v>13</v>
      </c>
      <c r="Q6" s="19" t="s">
        <v>26</v>
      </c>
      <c r="R6" s="19" t="s">
        <v>13</v>
      </c>
      <c r="T6" s="41"/>
      <c r="U6" s="41"/>
      <c r="V6" s="40" t="s">
        <v>7</v>
      </c>
      <c r="W6" s="40">
        <v>2</v>
      </c>
      <c r="X6" s="40" t="s">
        <v>23</v>
      </c>
      <c r="Y6" s="40">
        <v>1</v>
      </c>
      <c r="Z6" s="40" t="s">
        <v>23</v>
      </c>
      <c r="AA6" s="68" t="s">
        <v>897</v>
      </c>
      <c r="AB6" s="40" t="s">
        <v>356</v>
      </c>
      <c r="AC6" s="40" t="s">
        <v>917</v>
      </c>
    </row>
    <row r="7" spans="1:29" ht="16.5" customHeight="1">
      <c r="A7" s="28" t="s">
        <v>0</v>
      </c>
      <c r="B7" s="19" t="s">
        <v>875</v>
      </c>
      <c r="C7" s="19" t="s">
        <v>13</v>
      </c>
      <c r="D7" s="19" t="s">
        <v>13</v>
      </c>
      <c r="E7" s="19" t="s">
        <v>13</v>
      </c>
      <c r="F7" s="19" t="s">
        <v>13</v>
      </c>
      <c r="G7" s="19" t="s">
        <v>9</v>
      </c>
      <c r="H7" s="19" t="s">
        <v>13</v>
      </c>
      <c r="I7" s="19" t="s">
        <v>356</v>
      </c>
      <c r="J7" s="19" t="s">
        <v>13</v>
      </c>
      <c r="K7" s="19" t="s">
        <v>13</v>
      </c>
      <c r="L7" s="19" t="s">
        <v>13</v>
      </c>
      <c r="M7" s="36" t="s">
        <v>0</v>
      </c>
      <c r="N7" s="19" t="s">
        <v>356</v>
      </c>
      <c r="O7" s="19" t="s">
        <v>9</v>
      </c>
      <c r="P7" s="19" t="s">
        <v>13</v>
      </c>
      <c r="Q7" s="19" t="s">
        <v>863</v>
      </c>
      <c r="R7" s="19" t="s">
        <v>13</v>
      </c>
      <c r="T7" s="41"/>
      <c r="U7" s="41"/>
      <c r="V7" s="40" t="s">
        <v>21</v>
      </c>
      <c r="W7" s="40">
        <v>2</v>
      </c>
      <c r="X7" s="40" t="s">
        <v>153</v>
      </c>
      <c r="Y7" s="40">
        <v>1</v>
      </c>
      <c r="Z7" s="40" t="s">
        <v>25</v>
      </c>
      <c r="AA7" s="40">
        <v>6</v>
      </c>
      <c r="AB7" s="40" t="s">
        <v>6</v>
      </c>
      <c r="AC7" s="40">
        <v>6</v>
      </c>
    </row>
    <row r="8" spans="1:29" ht="16.5" customHeight="1">
      <c r="A8" s="28" t="s">
        <v>1</v>
      </c>
      <c r="B8" s="19"/>
      <c r="C8" s="19"/>
      <c r="D8" s="19"/>
      <c r="E8" s="19"/>
      <c r="F8" s="19"/>
      <c r="G8" s="19"/>
      <c r="H8" s="19"/>
      <c r="I8" s="19"/>
      <c r="J8" s="19"/>
      <c r="K8" s="19"/>
      <c r="L8" s="19"/>
      <c r="M8" s="36" t="s">
        <v>1</v>
      </c>
      <c r="N8" s="19"/>
      <c r="O8" s="19"/>
      <c r="P8" s="19"/>
      <c r="Q8" s="19"/>
      <c r="R8" s="19"/>
      <c r="T8" s="41"/>
      <c r="V8" s="40" t="s">
        <v>26</v>
      </c>
      <c r="W8" s="40">
        <v>2</v>
      </c>
      <c r="X8" s="40" t="s">
        <v>327</v>
      </c>
      <c r="Y8" s="40">
        <v>0</v>
      </c>
      <c r="Z8" s="40" t="s">
        <v>327</v>
      </c>
      <c r="AA8" s="64">
        <v>2</v>
      </c>
    </row>
    <row r="9" spans="1:29" ht="16.5" customHeight="1">
      <c r="A9" s="28" t="s">
        <v>366</v>
      </c>
      <c r="B9" s="19"/>
      <c r="C9" s="19"/>
      <c r="D9" s="19"/>
      <c r="E9" s="19"/>
      <c r="F9" s="19"/>
      <c r="G9" s="19"/>
      <c r="H9" s="19"/>
      <c r="I9" s="19"/>
      <c r="J9" s="19"/>
      <c r="K9" s="19"/>
      <c r="L9" s="19"/>
      <c r="M9" s="36" t="s">
        <v>366</v>
      </c>
      <c r="N9" s="19"/>
      <c r="O9" s="19"/>
      <c r="P9" s="19"/>
      <c r="Q9" s="19"/>
      <c r="R9" s="19"/>
      <c r="T9" s="41"/>
      <c r="V9" s="40" t="s">
        <v>27</v>
      </c>
      <c r="W9" s="40">
        <v>2</v>
      </c>
      <c r="X9" s="40" t="s">
        <v>28</v>
      </c>
      <c r="Y9" s="40">
        <v>2</v>
      </c>
      <c r="Z9" s="40" t="s">
        <v>516</v>
      </c>
      <c r="AA9" s="40">
        <v>4</v>
      </c>
    </row>
    <row r="10" spans="1:29" ht="16.5" customHeight="1">
      <c r="A10" s="23" t="s">
        <v>217</v>
      </c>
      <c r="B10" s="25">
        <v>45175</v>
      </c>
      <c r="C10" s="25">
        <v>45176</v>
      </c>
      <c r="D10" s="25">
        <v>45177</v>
      </c>
      <c r="E10" s="30">
        <v>45178</v>
      </c>
      <c r="F10" s="30">
        <v>45179</v>
      </c>
      <c r="G10" s="25">
        <v>45180</v>
      </c>
      <c r="H10" s="25">
        <v>45181</v>
      </c>
      <c r="I10" s="25">
        <v>45182</v>
      </c>
      <c r="J10" s="25">
        <v>45183</v>
      </c>
      <c r="K10" s="25">
        <v>45184</v>
      </c>
      <c r="L10" s="30">
        <v>45185</v>
      </c>
      <c r="M10" s="30">
        <v>45186</v>
      </c>
      <c r="N10" s="25">
        <v>45187</v>
      </c>
      <c r="O10" s="25">
        <v>45188</v>
      </c>
      <c r="P10" s="25">
        <v>45189</v>
      </c>
      <c r="Q10" s="19"/>
      <c r="R10" s="19"/>
      <c r="T10" s="41"/>
      <c r="V10" s="40" t="s">
        <v>533</v>
      </c>
      <c r="W10" s="40">
        <v>2</v>
      </c>
      <c r="X10" s="40" t="s">
        <v>152</v>
      </c>
      <c r="Y10" s="40">
        <v>2</v>
      </c>
      <c r="Z10" s="40" t="s">
        <v>864</v>
      </c>
      <c r="AA10" s="40">
        <v>7</v>
      </c>
    </row>
    <row r="11" spans="1:29" ht="16.5" customHeight="1">
      <c r="A11" s="36">
        <v>1</v>
      </c>
      <c r="B11" s="19"/>
      <c r="C11" s="19"/>
      <c r="D11" s="19"/>
      <c r="E11" s="19" t="s">
        <v>25</v>
      </c>
      <c r="F11" s="19" t="s">
        <v>315</v>
      </c>
      <c r="G11" s="19"/>
      <c r="H11" s="19"/>
      <c r="I11" s="19"/>
      <c r="J11" s="19"/>
      <c r="K11" s="19"/>
      <c r="L11" s="19" t="s">
        <v>769</v>
      </c>
      <c r="M11" s="40" t="s">
        <v>774</v>
      </c>
      <c r="N11" s="19"/>
      <c r="O11" s="19"/>
      <c r="P11" s="19"/>
      <c r="Q11" s="19"/>
      <c r="R11" s="19"/>
      <c r="T11" s="41"/>
      <c r="V11" s="40" t="s">
        <v>774</v>
      </c>
      <c r="W11" s="40">
        <v>1</v>
      </c>
      <c r="X11" s="40" t="s">
        <v>864</v>
      </c>
      <c r="Y11" s="40">
        <v>2</v>
      </c>
    </row>
    <row r="12" spans="1:29" ht="16.5" customHeight="1">
      <c r="A12" s="36">
        <v>2</v>
      </c>
      <c r="B12" s="19"/>
      <c r="C12" s="19"/>
      <c r="D12" s="19"/>
      <c r="E12" s="19" t="s">
        <v>1032</v>
      </c>
      <c r="F12" s="19" t="s">
        <v>864</v>
      </c>
      <c r="G12" s="19"/>
      <c r="H12" s="19"/>
      <c r="I12" s="19"/>
      <c r="J12" s="19"/>
      <c r="K12" s="19"/>
      <c r="L12" s="19" t="s">
        <v>313</v>
      </c>
      <c r="M12" s="19" t="s">
        <v>93</v>
      </c>
      <c r="N12" s="19"/>
      <c r="O12" s="19"/>
      <c r="P12" s="19"/>
      <c r="Q12" s="19"/>
      <c r="R12" s="19"/>
      <c r="T12" s="41"/>
      <c r="X12" s="40" t="s">
        <v>1032</v>
      </c>
      <c r="Y12" s="40">
        <v>2</v>
      </c>
    </row>
    <row r="13" spans="1:29" ht="16.5" customHeight="1">
      <c r="A13" s="36">
        <v>3</v>
      </c>
      <c r="B13" s="19"/>
      <c r="C13" s="19"/>
      <c r="D13" s="19"/>
      <c r="E13" s="19" t="s">
        <v>875</v>
      </c>
      <c r="F13" s="19" t="s">
        <v>1065</v>
      </c>
      <c r="G13" s="19"/>
      <c r="H13" s="19"/>
      <c r="I13" s="19"/>
      <c r="J13" s="19"/>
      <c r="K13" s="19"/>
      <c r="L13" s="19" t="s">
        <v>36</v>
      </c>
      <c r="M13" s="19" t="s">
        <v>37</v>
      </c>
      <c r="N13" s="19"/>
      <c r="O13" s="19"/>
      <c r="P13" s="19"/>
      <c r="Q13" s="19"/>
      <c r="R13" s="19"/>
      <c r="T13" s="41"/>
      <c r="X13" s="40" t="s">
        <v>516</v>
      </c>
      <c r="Y13" s="40">
        <v>1</v>
      </c>
    </row>
    <row r="14" spans="1:29" ht="16.5" customHeight="1">
      <c r="A14" s="36" t="s">
        <v>20</v>
      </c>
      <c r="B14" s="19" t="s">
        <v>312</v>
      </c>
      <c r="C14" s="19" t="s">
        <v>13</v>
      </c>
      <c r="D14" s="19" t="s">
        <v>13</v>
      </c>
      <c r="E14" s="19" t="s">
        <v>13</v>
      </c>
      <c r="F14" s="19" t="s">
        <v>13</v>
      </c>
      <c r="G14" s="19" t="s">
        <v>516</v>
      </c>
      <c r="H14" s="19" t="s">
        <v>13</v>
      </c>
      <c r="I14" s="19" t="s">
        <v>13</v>
      </c>
      <c r="J14" s="19" t="s">
        <v>13</v>
      </c>
      <c r="K14" s="19" t="s">
        <v>13</v>
      </c>
      <c r="L14" s="19" t="s">
        <v>13</v>
      </c>
      <c r="M14" s="19" t="s">
        <v>13</v>
      </c>
      <c r="N14" s="19" t="s">
        <v>25</v>
      </c>
      <c r="O14" s="19" t="s">
        <v>13</v>
      </c>
      <c r="P14" s="19" t="s">
        <v>13</v>
      </c>
      <c r="Q14" s="19"/>
      <c r="R14" s="19"/>
      <c r="T14" s="41"/>
    </row>
    <row r="15" spans="1:29" ht="16.5" customHeight="1">
      <c r="A15" s="36" t="s">
        <v>0</v>
      </c>
      <c r="B15" s="19" t="s">
        <v>863</v>
      </c>
      <c r="C15" s="19" t="s">
        <v>13</v>
      </c>
      <c r="D15" s="19" t="s">
        <v>13</v>
      </c>
      <c r="E15" s="19" t="s">
        <v>9</v>
      </c>
      <c r="F15" s="19" t="s">
        <v>13</v>
      </c>
      <c r="G15" s="19" t="s">
        <v>356</v>
      </c>
      <c r="H15" s="19" t="s">
        <v>13</v>
      </c>
      <c r="I15" s="19" t="s">
        <v>13</v>
      </c>
      <c r="J15" s="19" t="s">
        <v>13</v>
      </c>
      <c r="K15" s="19" t="s">
        <v>13</v>
      </c>
      <c r="L15" s="19" t="s">
        <v>9</v>
      </c>
      <c r="M15" s="19" t="s">
        <v>13</v>
      </c>
      <c r="N15" s="19" t="s">
        <v>6</v>
      </c>
      <c r="O15" s="19" t="s">
        <v>13</v>
      </c>
      <c r="P15" s="19" t="s">
        <v>13</v>
      </c>
      <c r="Q15" s="19"/>
      <c r="R15" s="19"/>
      <c r="T15" s="41"/>
      <c r="V15" s="40" t="s">
        <v>696</v>
      </c>
      <c r="W15" s="40">
        <f>SUM(W2:W14)</f>
        <v>16</v>
      </c>
      <c r="Y15" s="40">
        <f>SUM(Y2:Y14)</f>
        <v>16</v>
      </c>
    </row>
    <row r="16" spans="1:29" ht="16.5" customHeight="1">
      <c r="A16" s="36" t="s">
        <v>1</v>
      </c>
      <c r="B16" s="19"/>
      <c r="C16" s="19"/>
      <c r="D16" s="19"/>
      <c r="E16" s="19"/>
      <c r="F16" s="19"/>
      <c r="G16" s="19"/>
      <c r="H16" s="19"/>
      <c r="I16" s="19"/>
      <c r="J16" s="19"/>
      <c r="K16" s="19"/>
      <c r="L16" s="19"/>
      <c r="M16" s="19"/>
      <c r="N16" s="19"/>
      <c r="O16" s="19"/>
      <c r="P16" s="19"/>
      <c r="Q16" s="19"/>
      <c r="R16" s="19"/>
      <c r="T16" s="41"/>
    </row>
    <row r="17" spans="1:31" ht="16.5" customHeight="1">
      <c r="A17" s="36" t="s">
        <v>366</v>
      </c>
      <c r="B17" s="19"/>
      <c r="C17" s="19"/>
      <c r="D17" s="19"/>
      <c r="E17" s="19"/>
      <c r="F17" s="19"/>
      <c r="G17" s="19"/>
      <c r="H17" s="19"/>
      <c r="I17" s="19"/>
      <c r="J17" s="19"/>
      <c r="K17" s="19"/>
      <c r="L17" s="19"/>
      <c r="M17" s="19"/>
      <c r="N17" s="19"/>
      <c r="O17" s="19"/>
      <c r="P17" s="19"/>
      <c r="Q17" s="19"/>
      <c r="R17" s="19"/>
      <c r="T17" s="41"/>
    </row>
    <row r="18" spans="1:31" ht="11.25" customHeight="1">
      <c r="A18" s="42"/>
      <c r="B18" s="37"/>
      <c r="C18" s="37"/>
      <c r="D18" s="37"/>
      <c r="E18" s="37"/>
      <c r="F18" s="37"/>
      <c r="G18" s="37"/>
      <c r="H18" s="38"/>
      <c r="I18" s="38"/>
      <c r="J18" s="38"/>
      <c r="K18" s="38"/>
      <c r="L18" s="38"/>
      <c r="M18" s="38"/>
      <c r="N18" s="38"/>
      <c r="O18" s="38"/>
      <c r="P18" s="37"/>
      <c r="Q18" s="37"/>
      <c r="R18" s="39"/>
      <c r="T18" s="41"/>
      <c r="X18" s="40" t="s">
        <v>80</v>
      </c>
    </row>
    <row r="19" spans="1:31" ht="16.5" customHeight="1">
      <c r="A19" s="23" t="s">
        <v>217</v>
      </c>
      <c r="B19" s="25">
        <v>45190</v>
      </c>
      <c r="C19" s="25">
        <v>45191</v>
      </c>
      <c r="D19" s="30">
        <v>45192</v>
      </c>
      <c r="E19" s="30">
        <v>45193</v>
      </c>
      <c r="F19" s="25">
        <v>45194</v>
      </c>
      <c r="G19" s="25">
        <v>45195</v>
      </c>
      <c r="H19" s="25">
        <v>45196</v>
      </c>
      <c r="I19" s="25">
        <v>45197</v>
      </c>
      <c r="J19" s="25">
        <v>45198</v>
      </c>
      <c r="K19" s="30">
        <v>45199</v>
      </c>
      <c r="L19" s="25"/>
      <c r="M19" s="26" t="s">
        <v>218</v>
      </c>
      <c r="N19" s="31">
        <v>45200</v>
      </c>
      <c r="O19" s="27">
        <v>45201</v>
      </c>
      <c r="P19" s="27">
        <v>45202</v>
      </c>
      <c r="Q19" s="27">
        <v>45203</v>
      </c>
      <c r="R19" s="27">
        <v>45204</v>
      </c>
      <c r="T19" s="41"/>
      <c r="V19" s="40" t="s">
        <v>63</v>
      </c>
      <c r="X19" s="40" t="s">
        <v>64</v>
      </c>
      <c r="Z19" s="40" t="s">
        <v>65</v>
      </c>
      <c r="AB19" s="40" t="s">
        <v>169</v>
      </c>
      <c r="AD19" s="40" t="s">
        <v>874</v>
      </c>
    </row>
    <row r="20" spans="1:31" ht="16.5" customHeight="1">
      <c r="A20" s="36">
        <v>1</v>
      </c>
      <c r="B20" s="19"/>
      <c r="C20" s="19"/>
      <c r="D20" s="19" t="s">
        <v>7</v>
      </c>
      <c r="E20" s="19" t="s">
        <v>533</v>
      </c>
      <c r="F20" s="19"/>
      <c r="G20" s="19"/>
      <c r="H20" s="19"/>
      <c r="I20" s="19"/>
      <c r="J20" s="19"/>
      <c r="K20" s="19" t="s">
        <v>107</v>
      </c>
      <c r="L20" s="19"/>
      <c r="M20" s="28"/>
      <c r="N20" s="19" t="s">
        <v>2</v>
      </c>
      <c r="O20" s="19"/>
      <c r="P20" s="19"/>
      <c r="Q20" s="19"/>
      <c r="R20" s="19"/>
      <c r="T20" s="41"/>
      <c r="V20" s="40" t="s">
        <v>25</v>
      </c>
      <c r="W20" s="40">
        <v>2</v>
      </c>
      <c r="X20" s="40" t="s">
        <v>45</v>
      </c>
      <c r="Y20" s="40">
        <v>2</v>
      </c>
      <c r="Z20" s="40" t="s">
        <v>6</v>
      </c>
      <c r="AA20" s="40">
        <v>2</v>
      </c>
      <c r="AB20" s="40" t="s">
        <v>153</v>
      </c>
      <c r="AC20" s="40">
        <v>7</v>
      </c>
      <c r="AD20" s="40" t="s">
        <v>37</v>
      </c>
      <c r="AE20" s="40">
        <v>9</v>
      </c>
    </row>
    <row r="21" spans="1:31" ht="16.5" customHeight="1">
      <c r="A21" s="36">
        <v>2</v>
      </c>
      <c r="B21" s="19"/>
      <c r="C21" s="19"/>
      <c r="D21" s="19" t="s">
        <v>153</v>
      </c>
      <c r="E21" s="40" t="s">
        <v>14</v>
      </c>
      <c r="F21" s="19"/>
      <c r="G21" s="19"/>
      <c r="H21" s="19"/>
      <c r="I21" s="19"/>
      <c r="J21" s="19"/>
      <c r="K21" s="19" t="s">
        <v>1032</v>
      </c>
      <c r="L21" s="61"/>
      <c r="M21" s="28"/>
      <c r="N21" s="19" t="s">
        <v>314</v>
      </c>
      <c r="O21" s="19"/>
      <c r="P21" s="19"/>
      <c r="Q21" s="19"/>
      <c r="R21" s="19"/>
      <c r="T21" s="41"/>
      <c r="V21" s="40" t="s">
        <v>2</v>
      </c>
      <c r="W21" s="40">
        <v>2</v>
      </c>
      <c r="X21" s="40" t="s">
        <v>14</v>
      </c>
      <c r="Y21" s="40">
        <v>2</v>
      </c>
      <c r="Z21" s="40" t="s">
        <v>1065</v>
      </c>
      <c r="AA21" s="40">
        <v>3</v>
      </c>
      <c r="AB21" s="40" t="s">
        <v>26</v>
      </c>
      <c r="AC21" s="40">
        <v>3</v>
      </c>
      <c r="AD21" s="40" t="s">
        <v>863</v>
      </c>
      <c r="AE21" s="40">
        <v>3</v>
      </c>
    </row>
    <row r="22" spans="1:31" ht="16.5" customHeight="1">
      <c r="A22" s="36">
        <v>3</v>
      </c>
      <c r="B22" s="19"/>
      <c r="C22" s="19"/>
      <c r="D22" s="19" t="s">
        <v>875</v>
      </c>
      <c r="E22" s="19" t="s">
        <v>863</v>
      </c>
      <c r="F22" s="19"/>
      <c r="G22" s="19"/>
      <c r="H22" s="19"/>
      <c r="I22" s="19"/>
      <c r="J22" s="19"/>
      <c r="K22" s="19" t="s">
        <v>1065</v>
      </c>
      <c r="L22" s="19"/>
      <c r="M22" s="28"/>
      <c r="N22" s="19" t="s">
        <v>37</v>
      </c>
      <c r="O22" s="19"/>
      <c r="P22" s="19"/>
      <c r="Q22" s="19"/>
      <c r="R22" s="19"/>
      <c r="T22" s="41"/>
      <c r="V22" s="40" t="s">
        <v>516</v>
      </c>
      <c r="W22" s="40">
        <v>0</v>
      </c>
      <c r="X22" s="40" t="s">
        <v>23</v>
      </c>
      <c r="Y22" s="40">
        <v>1</v>
      </c>
      <c r="Z22" s="40" t="s">
        <v>863</v>
      </c>
      <c r="AA22" s="40">
        <v>3</v>
      </c>
      <c r="AB22" s="40" t="s">
        <v>1032</v>
      </c>
      <c r="AC22" s="40">
        <v>8</v>
      </c>
      <c r="AD22" s="40" t="s">
        <v>875</v>
      </c>
      <c r="AE22" s="40">
        <v>1.7</v>
      </c>
    </row>
    <row r="23" spans="1:31" ht="16.5" customHeight="1">
      <c r="A23" s="36" t="s">
        <v>20</v>
      </c>
      <c r="B23" s="19" t="s">
        <v>25</v>
      </c>
      <c r="C23" s="19" t="s">
        <v>13</v>
      </c>
      <c r="D23" s="19" t="s">
        <v>13</v>
      </c>
      <c r="E23" s="19" t="s">
        <v>13</v>
      </c>
      <c r="F23" s="19" t="s">
        <v>864</v>
      </c>
      <c r="G23" s="19" t="s">
        <v>13</v>
      </c>
      <c r="H23" s="19" t="s">
        <v>13</v>
      </c>
      <c r="I23" s="19" t="s">
        <v>13</v>
      </c>
      <c r="J23" s="19" t="s">
        <v>13</v>
      </c>
      <c r="K23" s="19" t="s">
        <v>13</v>
      </c>
      <c r="L23" s="19"/>
      <c r="M23" s="28"/>
      <c r="N23" s="19" t="s">
        <v>864</v>
      </c>
      <c r="O23" s="19" t="s">
        <v>153</v>
      </c>
      <c r="P23" s="19" t="s">
        <v>13</v>
      </c>
      <c r="Q23" s="19" t="s">
        <v>13</v>
      </c>
      <c r="R23" s="19" t="s">
        <v>13</v>
      </c>
      <c r="T23" s="41"/>
      <c r="V23" s="40" t="s">
        <v>7</v>
      </c>
      <c r="W23" s="40">
        <v>1</v>
      </c>
      <c r="X23" s="40" t="s">
        <v>153</v>
      </c>
      <c r="Y23" s="40">
        <v>2</v>
      </c>
      <c r="Z23" s="40" t="s">
        <v>37</v>
      </c>
      <c r="AA23" s="68">
        <v>3</v>
      </c>
      <c r="AB23" s="40" t="s">
        <v>23</v>
      </c>
      <c r="AC23" s="68" t="s">
        <v>930</v>
      </c>
      <c r="AD23" s="40" t="s">
        <v>356</v>
      </c>
      <c r="AE23" s="40" t="s">
        <v>982</v>
      </c>
    </row>
    <row r="24" spans="1:31" ht="16.5" customHeight="1">
      <c r="A24" s="36" t="s">
        <v>0</v>
      </c>
      <c r="B24" s="19" t="s">
        <v>6</v>
      </c>
      <c r="C24" s="19" t="s">
        <v>13</v>
      </c>
      <c r="D24" s="19" t="s">
        <v>13</v>
      </c>
      <c r="E24" s="19" t="s">
        <v>13</v>
      </c>
      <c r="F24" s="19" t="s">
        <v>356</v>
      </c>
      <c r="G24" s="19" t="s">
        <v>13</v>
      </c>
      <c r="H24" s="19" t="s">
        <v>13</v>
      </c>
      <c r="I24" s="19" t="s">
        <v>13</v>
      </c>
      <c r="J24" s="19" t="s">
        <v>13</v>
      </c>
      <c r="K24" s="19" t="s">
        <v>9</v>
      </c>
      <c r="L24" s="19"/>
      <c r="M24" s="28"/>
      <c r="N24" s="19" t="s">
        <v>9</v>
      </c>
      <c r="O24" s="19" t="s">
        <v>875</v>
      </c>
      <c r="P24" s="19" t="s">
        <v>13</v>
      </c>
      <c r="Q24" s="19" t="s">
        <v>13</v>
      </c>
      <c r="R24" s="19" t="s">
        <v>13</v>
      </c>
      <c r="T24" s="41"/>
      <c r="V24" s="40" t="s">
        <v>21</v>
      </c>
      <c r="W24" s="40">
        <v>2</v>
      </c>
      <c r="X24" s="40" t="s">
        <v>327</v>
      </c>
      <c r="Y24" s="40">
        <v>0</v>
      </c>
      <c r="Z24" s="40" t="s">
        <v>875</v>
      </c>
      <c r="AA24" s="40">
        <v>2</v>
      </c>
      <c r="AB24" s="40" t="s">
        <v>25</v>
      </c>
      <c r="AC24" s="40">
        <v>5</v>
      </c>
      <c r="AD24" s="40" t="s">
        <v>6</v>
      </c>
      <c r="AE24" s="40">
        <v>5</v>
      </c>
    </row>
    <row r="25" spans="1:31" ht="16.5" customHeight="1">
      <c r="A25" s="36" t="s">
        <v>1</v>
      </c>
      <c r="B25" s="19"/>
      <c r="C25" s="19"/>
      <c r="D25" s="19"/>
      <c r="E25" s="19"/>
      <c r="F25" s="19"/>
      <c r="G25" s="19"/>
      <c r="H25" s="19"/>
      <c r="I25" s="19"/>
      <c r="J25" s="19"/>
      <c r="K25" s="19"/>
      <c r="L25" s="19"/>
      <c r="M25" s="28"/>
      <c r="N25" s="19"/>
      <c r="O25" s="19"/>
      <c r="P25" s="19"/>
      <c r="Q25" s="19"/>
      <c r="R25" s="19"/>
      <c r="T25" s="41"/>
      <c r="V25" s="40" t="s">
        <v>26</v>
      </c>
      <c r="W25" s="40">
        <v>2</v>
      </c>
      <c r="X25" s="40" t="s">
        <v>28</v>
      </c>
      <c r="Y25" s="40">
        <v>2</v>
      </c>
      <c r="Z25" s="40" t="s">
        <v>36</v>
      </c>
      <c r="AA25" s="64">
        <v>3</v>
      </c>
      <c r="AB25" s="40" t="s">
        <v>327</v>
      </c>
      <c r="AC25" s="64">
        <v>2</v>
      </c>
    </row>
    <row r="26" spans="1:31" ht="16.5" customHeight="1">
      <c r="A26" s="36" t="s">
        <v>366</v>
      </c>
      <c r="B26" s="19"/>
      <c r="C26" s="19"/>
      <c r="D26" s="19"/>
      <c r="E26" s="19"/>
      <c r="F26" s="19"/>
      <c r="G26" s="19"/>
      <c r="H26" s="19"/>
      <c r="I26" s="19"/>
      <c r="J26" s="19"/>
      <c r="K26" s="19"/>
      <c r="L26" s="19"/>
      <c r="M26" s="28"/>
      <c r="N26" s="19"/>
      <c r="O26" s="19"/>
      <c r="P26" s="19"/>
      <c r="Q26" s="19"/>
      <c r="R26" s="19"/>
      <c r="T26" s="41"/>
      <c r="V26" s="40" t="s">
        <v>27</v>
      </c>
      <c r="W26" s="40">
        <v>2</v>
      </c>
      <c r="X26" s="40" t="s">
        <v>152</v>
      </c>
      <c r="Y26" s="40">
        <v>2</v>
      </c>
      <c r="AB26" s="40" t="s">
        <v>516</v>
      </c>
      <c r="AC26" s="40">
        <v>4</v>
      </c>
    </row>
    <row r="27" spans="1:31" ht="16.5" customHeight="1">
      <c r="A27" s="26" t="s">
        <v>218</v>
      </c>
      <c r="B27" s="27">
        <v>45205</v>
      </c>
      <c r="C27" s="31">
        <v>45206</v>
      </c>
      <c r="D27" s="31">
        <v>45207</v>
      </c>
      <c r="E27" s="27">
        <v>45208</v>
      </c>
      <c r="F27" s="27">
        <v>45209</v>
      </c>
      <c r="G27" s="27">
        <v>45210</v>
      </c>
      <c r="H27" s="27">
        <v>45211</v>
      </c>
      <c r="I27" s="27">
        <v>45212</v>
      </c>
      <c r="J27" s="31">
        <v>45213</v>
      </c>
      <c r="K27" s="31">
        <v>45214</v>
      </c>
      <c r="L27" s="27">
        <v>45215</v>
      </c>
      <c r="M27" s="27">
        <v>45216</v>
      </c>
      <c r="N27" s="27">
        <v>45217</v>
      </c>
      <c r="O27" s="27">
        <v>45218</v>
      </c>
      <c r="P27" s="27">
        <v>45219</v>
      </c>
      <c r="Q27" s="19"/>
      <c r="R27" s="19"/>
      <c r="T27" s="41"/>
      <c r="V27" s="40" t="s">
        <v>533</v>
      </c>
      <c r="W27" s="40">
        <v>2</v>
      </c>
      <c r="X27" s="40" t="s">
        <v>864</v>
      </c>
      <c r="Y27" s="40">
        <v>1</v>
      </c>
      <c r="AB27" s="40" t="s">
        <v>864</v>
      </c>
      <c r="AC27" s="40">
        <v>6</v>
      </c>
    </row>
    <row r="28" spans="1:31" ht="16.5" customHeight="1">
      <c r="A28" s="28">
        <v>1</v>
      </c>
      <c r="B28" s="19"/>
      <c r="C28" s="19" t="s">
        <v>312</v>
      </c>
      <c r="D28" s="19" t="s">
        <v>25</v>
      </c>
      <c r="E28" s="19"/>
      <c r="F28" s="19"/>
      <c r="G28" s="19"/>
      <c r="H28" s="19"/>
      <c r="I28" s="19"/>
      <c r="J28" s="19" t="s">
        <v>774</v>
      </c>
      <c r="K28" s="19" t="s">
        <v>315</v>
      </c>
      <c r="L28" s="19"/>
      <c r="M28" s="19"/>
      <c r="N28" s="19"/>
      <c r="O28" s="19"/>
      <c r="P28" s="19"/>
      <c r="Q28" s="19"/>
      <c r="R28" s="19"/>
      <c r="T28" s="41"/>
      <c r="V28" s="40" t="s">
        <v>774</v>
      </c>
      <c r="W28" s="40">
        <v>2</v>
      </c>
      <c r="X28" s="40" t="s">
        <v>1032</v>
      </c>
      <c r="Y28" s="40">
        <v>2</v>
      </c>
    </row>
    <row r="29" spans="1:31" ht="16.5" customHeight="1">
      <c r="A29" s="28">
        <v>2</v>
      </c>
      <c r="B29" s="19"/>
      <c r="C29" s="19" t="s">
        <v>769</v>
      </c>
      <c r="D29" s="19" t="s">
        <v>516</v>
      </c>
      <c r="E29" s="19"/>
      <c r="F29" s="19"/>
      <c r="G29" s="19"/>
      <c r="H29" s="19"/>
      <c r="I29" s="19"/>
      <c r="J29" s="19" t="s">
        <v>313</v>
      </c>
      <c r="K29" s="19" t="s">
        <v>14</v>
      </c>
      <c r="L29" s="19"/>
      <c r="M29" s="19"/>
      <c r="N29" s="19"/>
      <c r="O29" s="19"/>
      <c r="P29" s="19"/>
      <c r="Q29" s="19"/>
      <c r="R29" s="19"/>
      <c r="T29" s="41"/>
      <c r="V29" s="40" t="s">
        <v>769</v>
      </c>
      <c r="W29" s="40">
        <v>1</v>
      </c>
      <c r="X29" s="40" t="s">
        <v>516</v>
      </c>
      <c r="Y29" s="40">
        <v>2</v>
      </c>
    </row>
    <row r="30" spans="1:31" ht="16.5" customHeight="1">
      <c r="A30" s="28">
        <v>3</v>
      </c>
      <c r="B30" s="19"/>
      <c r="C30" s="19" t="s">
        <v>6</v>
      </c>
      <c r="D30" s="19" t="s">
        <v>36</v>
      </c>
      <c r="E30" s="19"/>
      <c r="F30" s="19"/>
      <c r="G30" s="19"/>
      <c r="H30" s="19"/>
      <c r="I30" s="19"/>
      <c r="J30" s="19" t="s">
        <v>863</v>
      </c>
      <c r="K30" s="19" t="s">
        <v>1065</v>
      </c>
      <c r="L30" s="19"/>
      <c r="M30" s="19"/>
      <c r="N30" s="19"/>
      <c r="O30" s="19"/>
      <c r="P30" s="19"/>
      <c r="Q30" s="19"/>
      <c r="R30" s="19"/>
      <c r="T30" s="41"/>
    </row>
    <row r="31" spans="1:31" ht="16.5" customHeight="1">
      <c r="A31" s="28" t="s">
        <v>20</v>
      </c>
      <c r="B31" s="19" t="s">
        <v>153</v>
      </c>
      <c r="C31" s="19" t="s">
        <v>13</v>
      </c>
      <c r="D31" s="19" t="s">
        <v>13</v>
      </c>
      <c r="E31" s="19" t="s">
        <v>1032</v>
      </c>
      <c r="F31" s="19" t="s">
        <v>13</v>
      </c>
      <c r="G31" s="19" t="s">
        <v>13</v>
      </c>
      <c r="H31" s="19" t="s">
        <v>13</v>
      </c>
      <c r="I31" s="19" t="s">
        <v>13</v>
      </c>
      <c r="J31" s="19" t="s">
        <v>13</v>
      </c>
      <c r="K31" s="19" t="s">
        <v>13</v>
      </c>
      <c r="L31" s="19" t="s">
        <v>769</v>
      </c>
      <c r="M31" s="19" t="s">
        <v>13</v>
      </c>
      <c r="N31" s="19" t="s">
        <v>13</v>
      </c>
      <c r="O31" s="19" t="s">
        <v>13</v>
      </c>
      <c r="P31" s="19" t="s">
        <v>13</v>
      </c>
      <c r="Q31" s="19"/>
      <c r="R31" s="19"/>
      <c r="T31" s="41"/>
    </row>
    <row r="32" spans="1:31" ht="16.5" customHeight="1">
      <c r="A32" s="28" t="s">
        <v>0</v>
      </c>
      <c r="B32" s="19" t="s">
        <v>875</v>
      </c>
      <c r="C32" s="19" t="s">
        <v>9</v>
      </c>
      <c r="D32" s="19" t="s">
        <v>13</v>
      </c>
      <c r="E32" s="19" t="s">
        <v>356</v>
      </c>
      <c r="F32" s="19" t="s">
        <v>13</v>
      </c>
      <c r="G32" s="19" t="s">
        <v>13</v>
      </c>
      <c r="H32" s="19" t="s">
        <v>13</v>
      </c>
      <c r="I32" s="19" t="s">
        <v>13</v>
      </c>
      <c r="J32" s="19" t="s">
        <v>9</v>
      </c>
      <c r="K32" s="19" t="s">
        <v>13</v>
      </c>
      <c r="L32" s="19" t="s">
        <v>37</v>
      </c>
      <c r="M32" s="19" t="s">
        <v>13</v>
      </c>
      <c r="N32" s="19" t="s">
        <v>13</v>
      </c>
      <c r="O32" s="19" t="s">
        <v>13</v>
      </c>
      <c r="P32" s="19" t="s">
        <v>13</v>
      </c>
      <c r="Q32" s="19"/>
      <c r="R32" s="19"/>
      <c r="T32" s="41"/>
      <c r="V32" s="40" t="s">
        <v>696</v>
      </c>
      <c r="W32" s="40">
        <f>SUM(W19:W31)</f>
        <v>16</v>
      </c>
      <c r="Y32" s="40">
        <f>SUM(Y19:Y31)</f>
        <v>16</v>
      </c>
      <c r="AA32" s="40">
        <f>SUM(AA19:AA31)</f>
        <v>16</v>
      </c>
    </row>
    <row r="33" spans="1:25" ht="16.5" customHeight="1">
      <c r="A33" s="28" t="s">
        <v>1</v>
      </c>
      <c r="B33" s="19"/>
      <c r="C33" s="19"/>
      <c r="D33" s="19"/>
      <c r="E33" s="19"/>
      <c r="F33" s="19"/>
      <c r="G33" s="19"/>
      <c r="H33" s="19"/>
      <c r="I33" s="19"/>
      <c r="J33" s="19"/>
      <c r="K33" s="19"/>
      <c r="L33" s="19"/>
      <c r="M33" s="19"/>
      <c r="N33" s="19"/>
      <c r="O33" s="19"/>
      <c r="P33" s="19"/>
      <c r="Q33" s="19"/>
      <c r="R33" s="19"/>
    </row>
    <row r="34" spans="1:25" ht="16.5" customHeight="1">
      <c r="A34" s="28" t="s">
        <v>366</v>
      </c>
      <c r="B34" s="19"/>
      <c r="C34" s="19"/>
      <c r="D34" s="19"/>
      <c r="E34" s="19"/>
      <c r="F34" s="19"/>
      <c r="G34" s="19"/>
      <c r="H34" s="19"/>
      <c r="I34" s="19"/>
      <c r="J34" s="19"/>
      <c r="K34" s="19"/>
      <c r="L34" s="19"/>
      <c r="M34" s="19"/>
      <c r="N34" s="19"/>
      <c r="O34" s="19"/>
      <c r="P34" s="19"/>
      <c r="Q34" s="19"/>
      <c r="R34" s="19"/>
    </row>
    <row r="35" spans="1:25" ht="12.75" customHeight="1">
      <c r="Q35" s="145" t="s">
        <v>82</v>
      </c>
      <c r="R35" s="145"/>
      <c r="T35" s="41"/>
    </row>
    <row r="36" spans="1:25">
      <c r="A36" s="40" t="s">
        <v>322</v>
      </c>
      <c r="B36" s="49"/>
      <c r="C36" s="49"/>
      <c r="D36" s="49"/>
      <c r="E36" s="49"/>
      <c r="F36" s="49"/>
      <c r="G36" s="49"/>
      <c r="H36" s="55"/>
      <c r="I36" s="49"/>
      <c r="J36" s="49"/>
      <c r="K36" s="49"/>
      <c r="L36" s="49"/>
      <c r="M36" s="49"/>
      <c r="N36" s="49"/>
      <c r="O36" s="49"/>
      <c r="T36" s="41"/>
    </row>
    <row r="37" spans="1:25">
      <c r="A37" t="s">
        <v>1062</v>
      </c>
      <c r="B37" t="s">
        <v>1063</v>
      </c>
      <c r="C37"/>
      <c r="D37"/>
      <c r="E37"/>
      <c r="F37"/>
      <c r="G37" t="s">
        <v>1000</v>
      </c>
      <c r="H37"/>
      <c r="I37" s="55"/>
      <c r="J37" s="55"/>
      <c r="K37" s="55" t="s">
        <v>945</v>
      </c>
      <c r="L37" s="55"/>
      <c r="M37" s="55"/>
      <c r="N37" s="55"/>
      <c r="O37" s="55"/>
      <c r="P37" s="43"/>
      <c r="Q37" s="43"/>
      <c r="R37" s="43"/>
      <c r="T37" s="41"/>
    </row>
    <row r="38" spans="1:25">
      <c r="A38" s="74" t="s">
        <v>1046</v>
      </c>
      <c r="B38"/>
      <c r="C38"/>
      <c r="D38"/>
      <c r="E38"/>
      <c r="F38"/>
      <c r="G38" s="74" t="s">
        <v>1046</v>
      </c>
      <c r="H38"/>
      <c r="I38" s="55"/>
      <c r="J38" s="55"/>
      <c r="K38" s="55" t="s">
        <v>1033</v>
      </c>
      <c r="L38" s="55"/>
      <c r="M38" s="55"/>
      <c r="N38" s="55"/>
      <c r="O38" s="55"/>
      <c r="P38" s="55"/>
      <c r="Q38" s="55"/>
      <c r="R38" s="55"/>
      <c r="S38" s="49"/>
      <c r="T38" s="72"/>
      <c r="U38" s="71"/>
      <c r="V38" s="71"/>
      <c r="W38" s="71"/>
      <c r="X38" s="71"/>
      <c r="Y38" s="71"/>
    </row>
    <row r="39" spans="1:25">
      <c r="A39" s="50" t="s">
        <v>1034</v>
      </c>
      <c r="B39"/>
      <c r="C39" s="69"/>
      <c r="D39"/>
      <c r="E39"/>
      <c r="F39"/>
      <c r="G39" s="75" t="s">
        <v>1059</v>
      </c>
      <c r="H39"/>
      <c r="I39" s="55"/>
      <c r="J39" s="55"/>
      <c r="K39" s="55"/>
      <c r="L39" s="55"/>
      <c r="M39" s="55"/>
      <c r="N39" s="55"/>
      <c r="O39" s="55"/>
      <c r="P39" s="55"/>
      <c r="Q39" s="55"/>
      <c r="R39" s="55"/>
      <c r="S39" s="49"/>
      <c r="T39" s="72"/>
      <c r="U39" s="71"/>
      <c r="V39" s="71"/>
      <c r="W39" s="71"/>
      <c r="X39" s="71"/>
      <c r="Y39" s="71"/>
    </row>
    <row r="40" spans="1:25">
      <c r="A40" s="74" t="s">
        <v>1047</v>
      </c>
      <c r="B40"/>
      <c r="C40"/>
      <c r="D40"/>
      <c r="E40"/>
      <c r="F40"/>
      <c r="G40" s="74" t="s">
        <v>1052</v>
      </c>
      <c r="H40"/>
      <c r="I40" s="55"/>
      <c r="J40" s="55"/>
      <c r="K40" s="55" t="s">
        <v>1064</v>
      </c>
      <c r="L40" s="55"/>
      <c r="M40" s="55"/>
      <c r="N40" s="55"/>
      <c r="O40" s="55"/>
      <c r="P40" s="55"/>
      <c r="Q40" s="55"/>
      <c r="R40" s="55"/>
      <c r="S40" s="49"/>
      <c r="T40" s="71"/>
      <c r="U40" s="71"/>
      <c r="V40" s="71"/>
      <c r="W40" s="71"/>
      <c r="X40" s="71"/>
      <c r="Y40" s="71"/>
    </row>
    <row r="41" spans="1:25">
      <c r="A41" s="50" t="s">
        <v>1035</v>
      </c>
      <c r="B41"/>
      <c r="C41"/>
      <c r="D41"/>
      <c r="E41"/>
      <c r="F41"/>
      <c r="G41" s="75" t="s">
        <v>1061</v>
      </c>
      <c r="H41"/>
      <c r="I41" s="55"/>
      <c r="J41" s="55"/>
      <c r="K41" s="55"/>
      <c r="L41" s="55"/>
      <c r="M41" s="55"/>
      <c r="N41" s="55"/>
      <c r="O41" s="55"/>
      <c r="P41" s="55"/>
      <c r="Q41" s="55"/>
      <c r="R41" s="55"/>
      <c r="S41" s="49"/>
      <c r="T41" s="71"/>
      <c r="U41" s="71"/>
      <c r="V41" s="71"/>
      <c r="W41" s="71"/>
      <c r="X41" s="71"/>
      <c r="Y41" s="71"/>
    </row>
    <row r="42" spans="1:25">
      <c r="A42" s="74" t="s">
        <v>1048</v>
      </c>
      <c r="B42"/>
      <c r="C42"/>
      <c r="D42"/>
      <c r="E42"/>
      <c r="F42"/>
      <c r="G42" s="74" t="s">
        <v>1056</v>
      </c>
      <c r="H42"/>
      <c r="I42" s="55"/>
      <c r="J42" s="55"/>
      <c r="K42" s="55"/>
      <c r="L42" s="55"/>
      <c r="M42" s="55"/>
      <c r="N42" s="55"/>
      <c r="O42" s="55"/>
      <c r="P42" s="55"/>
      <c r="Q42" s="55"/>
      <c r="R42" s="55"/>
      <c r="S42" s="49"/>
      <c r="T42" s="72"/>
      <c r="U42" s="71"/>
      <c r="V42" s="71"/>
      <c r="W42" s="71"/>
      <c r="X42" s="71"/>
      <c r="Y42" s="71"/>
    </row>
    <row r="43" spans="1:25">
      <c r="A43" s="50" t="s">
        <v>1036</v>
      </c>
      <c r="B43"/>
      <c r="C43"/>
      <c r="D43"/>
      <c r="E43"/>
      <c r="F43"/>
      <c r="G43" s="50" t="s">
        <v>1060</v>
      </c>
      <c r="H43"/>
      <c r="I43" s="55"/>
      <c r="J43" s="55"/>
      <c r="K43" s="55"/>
      <c r="L43" s="55"/>
      <c r="M43" s="55"/>
      <c r="N43" s="55"/>
      <c r="O43" s="55"/>
      <c r="P43" s="55"/>
      <c r="Q43" s="55"/>
      <c r="R43" s="55"/>
      <c r="S43" s="49"/>
      <c r="T43" s="72"/>
      <c r="U43" s="71"/>
      <c r="V43" s="71"/>
      <c r="W43" s="71"/>
      <c r="X43" s="71"/>
      <c r="Y43" s="71"/>
    </row>
    <row r="44" spans="1:25">
      <c r="A44" s="74" t="s">
        <v>1049</v>
      </c>
      <c r="B44"/>
      <c r="C44"/>
      <c r="D44"/>
      <c r="E44"/>
      <c r="F44"/>
      <c r="G44"/>
      <c r="H44"/>
      <c r="I44" s="55"/>
      <c r="J44" s="55"/>
      <c r="K44" s="55"/>
      <c r="L44" s="55"/>
      <c r="M44" s="55"/>
      <c r="N44" s="55"/>
      <c r="O44" s="55"/>
      <c r="P44" s="55"/>
      <c r="Q44" s="55"/>
      <c r="R44" s="55"/>
      <c r="S44" s="49"/>
      <c r="T44" s="72"/>
      <c r="U44" s="71"/>
      <c r="V44" s="71"/>
      <c r="W44" s="71"/>
      <c r="X44" s="71"/>
      <c r="Y44" s="71"/>
    </row>
    <row r="45" spans="1:25">
      <c r="A45" s="50" t="s">
        <v>1037</v>
      </c>
      <c r="B45"/>
      <c r="C45" s="69"/>
      <c r="D45"/>
      <c r="E45"/>
      <c r="F45"/>
      <c r="G45" s="70"/>
      <c r="H45"/>
      <c r="I45" s="55"/>
      <c r="J45" s="55"/>
      <c r="K45" s="55"/>
      <c r="L45" s="55"/>
      <c r="M45" s="55"/>
      <c r="N45" s="55"/>
      <c r="O45" s="55"/>
      <c r="P45" s="55"/>
      <c r="Q45" s="55"/>
      <c r="R45" s="55"/>
      <c r="S45" s="49"/>
      <c r="T45" s="71"/>
      <c r="U45" s="71"/>
      <c r="V45" s="71"/>
      <c r="W45" s="71"/>
      <c r="X45" s="71"/>
      <c r="Y45" s="71"/>
    </row>
    <row r="46" spans="1:25">
      <c r="A46" s="74" t="s">
        <v>1050</v>
      </c>
      <c r="B46"/>
      <c r="C46"/>
      <c r="D46"/>
      <c r="E46"/>
      <c r="F46"/>
      <c r="G46"/>
      <c r="H46"/>
      <c r="I46" s="55"/>
      <c r="J46" s="55"/>
      <c r="K46" s="55"/>
      <c r="L46" s="55"/>
      <c r="M46" s="55"/>
      <c r="N46" s="55"/>
      <c r="O46" s="55"/>
      <c r="P46" s="55"/>
      <c r="Q46" s="55"/>
      <c r="R46" s="55"/>
      <c r="S46" s="49"/>
      <c r="T46" s="72"/>
      <c r="U46" s="71"/>
      <c r="V46" s="71"/>
      <c r="W46" s="71"/>
      <c r="X46" s="71"/>
      <c r="Y46" s="71"/>
    </row>
    <row r="47" spans="1:25">
      <c r="A47" s="50" t="s">
        <v>1038</v>
      </c>
      <c r="B47"/>
      <c r="C47"/>
      <c r="D47"/>
      <c r="E47"/>
      <c r="F47"/>
      <c r="G47"/>
      <c r="H47"/>
      <c r="I47" s="55"/>
      <c r="J47" s="55"/>
      <c r="K47" s="55"/>
      <c r="L47" s="55"/>
      <c r="M47" s="55"/>
      <c r="N47" s="55"/>
      <c r="O47" s="55"/>
      <c r="P47" s="55"/>
      <c r="Q47" s="55"/>
      <c r="R47" s="55"/>
      <c r="S47" s="49"/>
      <c r="T47" s="72"/>
      <c r="U47" s="71"/>
      <c r="V47" s="71"/>
      <c r="W47" s="71"/>
      <c r="X47" s="71"/>
      <c r="Y47" s="71"/>
    </row>
    <row r="48" spans="1:25">
      <c r="A48" s="74" t="s">
        <v>1051</v>
      </c>
      <c r="B48"/>
      <c r="C48"/>
      <c r="D48"/>
      <c r="E48"/>
      <c r="F48"/>
      <c r="G48"/>
      <c r="H48"/>
      <c r="I48" s="55"/>
      <c r="J48" s="55"/>
      <c r="K48" s="55"/>
      <c r="L48" s="55"/>
      <c r="M48" s="55"/>
      <c r="N48" s="55"/>
      <c r="O48" s="55"/>
      <c r="P48" s="55"/>
      <c r="Q48" s="55"/>
      <c r="R48" s="55"/>
      <c r="S48" s="49"/>
      <c r="T48" s="72"/>
      <c r="U48" s="71"/>
      <c r="V48" s="71"/>
      <c r="W48" s="71"/>
      <c r="X48" s="71"/>
      <c r="Y48" s="71"/>
    </row>
    <row r="49" spans="1:25">
      <c r="A49" s="50" t="s">
        <v>1039</v>
      </c>
      <c r="B49"/>
      <c r="C49"/>
      <c r="D49"/>
      <c r="E49"/>
      <c r="F49"/>
      <c r="G49"/>
      <c r="H49"/>
      <c r="I49" s="55"/>
      <c r="J49" s="55"/>
      <c r="K49" s="55"/>
      <c r="L49" s="55"/>
      <c r="M49" s="55"/>
      <c r="N49" s="55"/>
      <c r="O49" s="55"/>
      <c r="P49" s="55"/>
      <c r="Q49" s="55"/>
      <c r="R49" s="55"/>
      <c r="S49" s="49"/>
      <c r="T49" s="71"/>
      <c r="U49" s="71"/>
      <c r="V49" s="71"/>
      <c r="W49" s="71"/>
      <c r="X49" s="71"/>
      <c r="Y49" s="71"/>
    </row>
    <row r="50" spans="1:25">
      <c r="A50" s="74" t="s">
        <v>1052</v>
      </c>
      <c r="B50"/>
      <c r="C50"/>
      <c r="D50"/>
      <c r="E50"/>
      <c r="F50"/>
      <c r="G50"/>
      <c r="H50"/>
      <c r="I50" s="55"/>
      <c r="J50" s="55"/>
      <c r="K50" s="55"/>
      <c r="L50" s="55"/>
      <c r="M50" s="55"/>
      <c r="N50" s="55"/>
      <c r="O50" s="55"/>
      <c r="P50" s="55"/>
      <c r="Q50" s="55"/>
      <c r="R50" s="55"/>
      <c r="S50" s="49"/>
      <c r="T50" s="71"/>
      <c r="U50" s="71"/>
      <c r="V50" s="71"/>
      <c r="W50" s="71"/>
      <c r="X50" s="71"/>
      <c r="Y50" s="71"/>
    </row>
    <row r="51" spans="1:25">
      <c r="A51" s="50" t="s">
        <v>1040</v>
      </c>
      <c r="B51"/>
      <c r="C51"/>
      <c r="D51"/>
      <c r="E51"/>
      <c r="F51"/>
      <c r="G51"/>
      <c r="H51"/>
      <c r="I51" s="55"/>
      <c r="J51" s="55"/>
      <c r="K51" s="55"/>
      <c r="L51" s="55"/>
      <c r="M51" s="55"/>
      <c r="N51" s="55"/>
      <c r="O51" s="55"/>
      <c r="P51" s="55"/>
      <c r="Q51" s="55"/>
      <c r="R51" s="55"/>
      <c r="S51" s="49"/>
      <c r="T51" s="71"/>
      <c r="U51" s="71"/>
      <c r="V51" s="71"/>
      <c r="W51" s="71"/>
      <c r="X51" s="71"/>
      <c r="Y51" s="71"/>
    </row>
    <row r="52" spans="1:25">
      <c r="A52" s="74" t="s">
        <v>1053</v>
      </c>
      <c r="B52"/>
      <c r="C52"/>
      <c r="D52"/>
      <c r="E52"/>
      <c r="F52"/>
      <c r="G52"/>
      <c r="H52"/>
      <c r="I52" s="49"/>
      <c r="J52" s="49"/>
      <c r="K52" s="49"/>
      <c r="L52" s="49"/>
      <c r="M52" s="49"/>
      <c r="N52" s="49"/>
      <c r="O52" s="49"/>
      <c r="P52" s="49"/>
      <c r="Q52" s="49"/>
      <c r="R52" s="49"/>
      <c r="S52" s="49"/>
      <c r="T52" s="71"/>
      <c r="U52" s="71"/>
      <c r="V52" s="71"/>
      <c r="W52" s="71"/>
      <c r="X52" s="71"/>
      <c r="Y52" s="71"/>
    </row>
    <row r="53" spans="1:25">
      <c r="A53" s="50" t="s">
        <v>1041</v>
      </c>
      <c r="B53" s="49"/>
      <c r="C53"/>
      <c r="D53"/>
      <c r="E53"/>
      <c r="F53"/>
      <c r="G53"/>
      <c r="H53"/>
      <c r="I53" s="49"/>
      <c r="J53" s="49"/>
      <c r="K53" s="49"/>
      <c r="L53" s="49"/>
      <c r="M53" s="49"/>
      <c r="N53" s="49"/>
      <c r="O53" s="49"/>
      <c r="P53" s="49"/>
      <c r="Q53" s="49"/>
      <c r="R53" s="49"/>
      <c r="S53" s="49"/>
      <c r="T53" s="71"/>
      <c r="U53" s="71"/>
      <c r="V53" s="71"/>
      <c r="W53" s="71"/>
      <c r="X53" s="71"/>
      <c r="Y53" s="71"/>
    </row>
    <row r="54" spans="1:25">
      <c r="A54" s="50" t="s">
        <v>1054</v>
      </c>
      <c r="B54" s="73"/>
      <c r="C54" s="49"/>
      <c r="D54" s="49"/>
      <c r="E54" s="49"/>
      <c r="F54" s="49"/>
      <c r="G54" s="49"/>
      <c r="H54" s="49"/>
      <c r="I54" s="49"/>
      <c r="J54" s="49"/>
      <c r="K54" s="49"/>
      <c r="L54" s="49"/>
      <c r="M54" s="49"/>
      <c r="N54" s="49"/>
      <c r="O54" s="49"/>
      <c r="P54" s="49"/>
      <c r="Q54" s="49"/>
      <c r="R54" s="49"/>
      <c r="S54" s="49"/>
      <c r="T54" s="71"/>
      <c r="U54" s="71"/>
      <c r="V54" s="71"/>
      <c r="W54" s="71"/>
      <c r="X54" s="71"/>
      <c r="Y54" s="71"/>
    </row>
    <row r="55" spans="1:25">
      <c r="A55" s="50" t="s">
        <v>1042</v>
      </c>
      <c r="B55" s="49"/>
      <c r="C55" s="49"/>
      <c r="D55" s="49"/>
      <c r="E55" s="49"/>
      <c r="F55" s="49"/>
      <c r="G55" s="49"/>
      <c r="H55" s="49"/>
      <c r="I55" s="49"/>
      <c r="J55" s="49"/>
      <c r="K55" s="49"/>
      <c r="L55" s="49"/>
      <c r="M55" s="49"/>
      <c r="N55" s="49"/>
      <c r="O55" s="49"/>
      <c r="P55" s="49"/>
      <c r="Q55" s="49"/>
      <c r="R55" s="49"/>
      <c r="S55" s="49"/>
      <c r="T55" s="71"/>
      <c r="U55" s="71"/>
      <c r="V55" s="71"/>
      <c r="W55" s="71"/>
      <c r="X55" s="71"/>
      <c r="Y55" s="71"/>
    </row>
    <row r="56" spans="1:25">
      <c r="A56" s="50" t="s">
        <v>1055</v>
      </c>
      <c r="B56" s="49"/>
      <c r="C56" s="49"/>
      <c r="D56" s="49"/>
      <c r="E56" s="49"/>
      <c r="F56" s="49"/>
      <c r="G56" s="49"/>
      <c r="H56" s="49"/>
      <c r="I56" s="49"/>
      <c r="J56" s="49"/>
      <c r="K56" s="49"/>
      <c r="L56" s="49"/>
      <c r="M56" s="49"/>
      <c r="N56" s="49"/>
      <c r="O56" s="49"/>
      <c r="P56" s="49"/>
      <c r="Q56" s="49"/>
      <c r="R56" s="49"/>
      <c r="S56" s="49"/>
      <c r="T56" s="71"/>
      <c r="U56" s="71"/>
      <c r="V56" s="71"/>
      <c r="W56" s="71"/>
      <c r="X56" s="71"/>
      <c r="Y56" s="71"/>
    </row>
    <row r="57" spans="1:25">
      <c r="A57" s="50" t="s">
        <v>1043</v>
      </c>
      <c r="B57" s="49"/>
      <c r="C57" s="49"/>
      <c r="D57" s="49"/>
      <c r="E57" s="49"/>
      <c r="F57" s="49"/>
      <c r="G57" s="49"/>
      <c r="H57" s="49"/>
      <c r="I57" s="49"/>
      <c r="J57" s="49"/>
      <c r="K57" s="49"/>
      <c r="L57" s="49"/>
      <c r="M57" s="49"/>
      <c r="N57" s="49"/>
      <c r="O57" s="49"/>
      <c r="P57" s="49"/>
      <c r="Q57" s="49"/>
      <c r="R57" s="49"/>
      <c r="S57" s="49"/>
      <c r="T57" s="71"/>
      <c r="U57" s="71"/>
      <c r="V57" s="71"/>
      <c r="W57" s="71"/>
      <c r="X57" s="71"/>
      <c r="Y57" s="71"/>
    </row>
    <row r="58" spans="1:25">
      <c r="A58" s="50" t="s">
        <v>1056</v>
      </c>
      <c r="B58" s="49"/>
      <c r="C58" s="49"/>
      <c r="D58" s="49"/>
      <c r="E58" s="49"/>
      <c r="F58" s="49"/>
      <c r="G58" s="49"/>
      <c r="H58" s="49"/>
      <c r="I58" s="49"/>
      <c r="J58" s="49"/>
      <c r="K58" s="49"/>
      <c r="L58" s="49"/>
      <c r="M58" s="49"/>
      <c r="N58" s="49"/>
      <c r="O58" s="49"/>
      <c r="P58" s="49"/>
      <c r="Q58" s="49"/>
      <c r="R58" s="49"/>
      <c r="S58" s="49"/>
      <c r="T58" s="71"/>
      <c r="U58" s="71"/>
      <c r="V58" s="71"/>
      <c r="W58" s="71"/>
      <c r="X58" s="71"/>
      <c r="Y58" s="71"/>
    </row>
    <row r="59" spans="1:25">
      <c r="A59" s="50" t="s">
        <v>1044</v>
      </c>
      <c r="B59" s="49"/>
      <c r="C59" s="49"/>
      <c r="D59" s="49"/>
      <c r="E59" s="49"/>
      <c r="F59" s="49"/>
      <c r="G59" s="49"/>
      <c r="H59" s="49"/>
      <c r="I59" s="49"/>
      <c r="J59" s="49"/>
      <c r="K59" s="49"/>
      <c r="L59" s="49"/>
      <c r="M59" s="49"/>
      <c r="N59" s="49"/>
      <c r="O59" s="49"/>
      <c r="P59" s="49"/>
      <c r="Q59" s="49"/>
      <c r="R59" s="49"/>
      <c r="S59" s="49"/>
      <c r="T59" s="71"/>
      <c r="U59" s="71"/>
      <c r="V59" s="71"/>
      <c r="W59" s="71"/>
      <c r="X59" s="71"/>
      <c r="Y59" s="71"/>
    </row>
    <row r="60" spans="1:25">
      <c r="A60" s="50" t="s">
        <v>1057</v>
      </c>
      <c r="B60" s="49"/>
      <c r="C60" s="49"/>
      <c r="D60" s="49"/>
      <c r="E60" s="49"/>
      <c r="F60" s="49"/>
      <c r="G60" s="49"/>
      <c r="H60" s="49"/>
      <c r="I60" s="49"/>
      <c r="J60" s="49"/>
      <c r="K60" s="49"/>
      <c r="L60" s="49"/>
      <c r="M60" s="49"/>
      <c r="N60" s="49"/>
      <c r="O60" s="49"/>
      <c r="P60" s="49"/>
      <c r="Q60" s="49"/>
      <c r="R60" s="49"/>
      <c r="S60" s="49"/>
      <c r="T60" s="71"/>
      <c r="U60" s="71"/>
      <c r="V60" s="71"/>
      <c r="W60" s="71"/>
      <c r="X60" s="71"/>
      <c r="Y60" s="71"/>
    </row>
    <row r="61" spans="1:25">
      <c r="A61" s="50" t="s">
        <v>1045</v>
      </c>
      <c r="B61" s="49"/>
      <c r="C61" s="49"/>
      <c r="D61" s="49"/>
      <c r="E61" s="49"/>
      <c r="F61" s="49"/>
      <c r="G61" s="49"/>
      <c r="H61" s="49"/>
      <c r="I61" s="49"/>
      <c r="J61" s="49"/>
      <c r="K61" s="49"/>
      <c r="L61" s="49"/>
      <c r="M61" s="49"/>
      <c r="N61" s="49"/>
      <c r="O61" s="49"/>
      <c r="P61" s="49"/>
      <c r="Q61" s="49"/>
      <c r="R61" s="49"/>
      <c r="S61" s="49"/>
      <c r="T61" s="71"/>
      <c r="U61" s="71"/>
      <c r="V61" s="71"/>
      <c r="W61" s="71"/>
      <c r="X61" s="71"/>
      <c r="Y61" s="71"/>
    </row>
    <row r="62" spans="1:25">
      <c r="A62" s="50" t="s">
        <v>2</v>
      </c>
      <c r="B62" s="49"/>
      <c r="C62" s="49"/>
      <c r="D62" s="49"/>
      <c r="E62" s="49"/>
      <c r="F62" s="49"/>
      <c r="G62" s="49"/>
      <c r="H62" s="49"/>
      <c r="I62" s="49"/>
      <c r="J62" s="49"/>
      <c r="K62" s="49"/>
      <c r="L62" s="49"/>
      <c r="M62" s="49"/>
      <c r="N62" s="49"/>
      <c r="O62" s="49"/>
      <c r="P62" s="49"/>
      <c r="Q62" s="49"/>
      <c r="R62" s="49"/>
      <c r="S62" s="49"/>
      <c r="T62" s="71"/>
      <c r="U62" s="71"/>
      <c r="V62" s="71"/>
      <c r="W62" s="71"/>
      <c r="X62" s="71"/>
      <c r="Y62" s="71"/>
    </row>
    <row r="63" spans="1:25">
      <c r="A63" s="50" t="s">
        <v>1058</v>
      </c>
      <c r="B63" s="49"/>
      <c r="C63" s="49"/>
      <c r="D63" s="49"/>
      <c r="E63" s="49"/>
      <c r="F63" s="49"/>
      <c r="G63" s="49"/>
      <c r="H63" s="49"/>
      <c r="I63" s="49"/>
      <c r="J63" s="49"/>
      <c r="K63" s="49"/>
      <c r="L63" s="49"/>
      <c r="M63" s="49"/>
      <c r="N63" s="49"/>
      <c r="O63" s="49"/>
      <c r="P63" s="49"/>
      <c r="Q63" s="49"/>
      <c r="R63" s="49"/>
      <c r="S63" s="49"/>
      <c r="T63" s="71"/>
      <c r="U63" s="71"/>
      <c r="V63" s="71"/>
      <c r="W63" s="71"/>
      <c r="X63" s="71"/>
      <c r="Y63" s="71"/>
    </row>
    <row r="64" spans="1:25">
      <c r="A64" s="73"/>
      <c r="B64" s="73"/>
      <c r="C64" s="73"/>
      <c r="D64" s="73"/>
      <c r="E64" s="73"/>
      <c r="F64" s="73"/>
      <c r="G64" s="73"/>
      <c r="H64" s="73"/>
      <c r="I64" s="73"/>
      <c r="J64" s="73"/>
      <c r="K64" s="73"/>
      <c r="L64" s="73"/>
      <c r="M64" s="73"/>
      <c r="N64" s="73"/>
      <c r="O64" s="73"/>
      <c r="P64" s="73"/>
      <c r="Q64" s="73"/>
      <c r="R64" s="73"/>
      <c r="S64" s="73"/>
    </row>
    <row r="65" spans="1:19">
      <c r="A65" s="73"/>
      <c r="B65" s="73"/>
      <c r="C65" s="73"/>
      <c r="D65" s="73"/>
      <c r="E65" s="73"/>
      <c r="F65" s="73"/>
      <c r="G65" s="73"/>
      <c r="H65" s="73"/>
      <c r="I65" s="73"/>
      <c r="J65" s="73"/>
      <c r="K65" s="73"/>
      <c r="L65" s="73"/>
      <c r="M65" s="73"/>
      <c r="N65" s="73"/>
      <c r="O65" s="73"/>
      <c r="P65" s="73"/>
      <c r="Q65" s="73"/>
      <c r="R65" s="73"/>
      <c r="S65" s="73"/>
    </row>
    <row r="66" spans="1:19">
      <c r="A66" s="73"/>
      <c r="B66" s="73"/>
      <c r="C66" s="73"/>
      <c r="D66" s="73"/>
      <c r="E66" s="73"/>
      <c r="F66" s="73"/>
      <c r="G66" s="73"/>
      <c r="H66" s="73"/>
      <c r="I66" s="73"/>
      <c r="J66" s="73"/>
      <c r="K66" s="73"/>
      <c r="L66" s="73"/>
      <c r="M66" s="73"/>
      <c r="N66" s="73"/>
      <c r="O66" s="73"/>
      <c r="P66" s="73"/>
      <c r="Q66" s="73"/>
      <c r="R66" s="73"/>
      <c r="S66" s="73"/>
    </row>
    <row r="67" spans="1:19">
      <c r="A67" s="73"/>
      <c r="B67" s="73"/>
      <c r="C67" s="73"/>
      <c r="D67" s="73"/>
      <c r="E67" s="73"/>
      <c r="F67" s="73"/>
      <c r="G67" s="73"/>
      <c r="H67" s="73"/>
      <c r="I67" s="73"/>
      <c r="J67" s="73"/>
      <c r="K67" s="73"/>
      <c r="L67" s="73"/>
      <c r="M67" s="73"/>
      <c r="N67" s="73"/>
      <c r="O67" s="73"/>
      <c r="P67" s="73"/>
      <c r="Q67" s="73"/>
      <c r="R67" s="73"/>
      <c r="S67" s="73"/>
    </row>
    <row r="68" spans="1:19">
      <c r="A68" s="73"/>
      <c r="B68" s="73"/>
      <c r="C68" s="73"/>
      <c r="D68" s="73"/>
      <c r="E68" s="73"/>
      <c r="F68" s="73"/>
      <c r="G68" s="73"/>
      <c r="H68" s="73"/>
      <c r="I68" s="73"/>
      <c r="J68" s="73"/>
      <c r="K68" s="73"/>
      <c r="L68" s="73"/>
      <c r="M68" s="73"/>
      <c r="N68" s="73"/>
      <c r="O68" s="73"/>
      <c r="P68" s="73"/>
      <c r="Q68" s="73"/>
      <c r="R68" s="73"/>
      <c r="S68" s="73"/>
    </row>
    <row r="69" spans="1:19">
      <c r="A69" s="73"/>
      <c r="B69" s="73"/>
      <c r="C69" s="73"/>
      <c r="D69" s="73"/>
      <c r="E69" s="73"/>
      <c r="F69" s="73"/>
      <c r="G69" s="73"/>
      <c r="H69" s="73"/>
      <c r="I69" s="73"/>
      <c r="J69" s="73"/>
      <c r="K69" s="73"/>
      <c r="L69" s="73"/>
      <c r="M69" s="73"/>
      <c r="N69" s="73"/>
      <c r="O69" s="73"/>
      <c r="P69" s="73"/>
      <c r="Q69" s="73"/>
      <c r="R69" s="73"/>
      <c r="S69" s="73"/>
    </row>
    <row r="70" spans="1:19">
      <c r="A70" s="73"/>
      <c r="B70" s="73"/>
      <c r="C70" s="73"/>
      <c r="D70" s="73"/>
      <c r="E70" s="73"/>
      <c r="F70" s="73"/>
      <c r="G70" s="73"/>
      <c r="H70" s="73"/>
      <c r="I70" s="73"/>
      <c r="J70" s="73"/>
      <c r="K70" s="73"/>
      <c r="L70" s="73"/>
      <c r="M70" s="73"/>
      <c r="N70" s="73"/>
      <c r="O70" s="73"/>
      <c r="P70" s="73"/>
      <c r="Q70" s="73"/>
      <c r="R70" s="73"/>
      <c r="S70" s="73"/>
    </row>
    <row r="71" spans="1:19">
      <c r="A71" s="73"/>
      <c r="B71" s="73"/>
      <c r="C71" s="73"/>
      <c r="D71" s="73"/>
      <c r="E71" s="73"/>
      <c r="F71" s="73"/>
      <c r="G71" s="73"/>
      <c r="H71" s="73"/>
      <c r="I71" s="73"/>
      <c r="J71" s="73"/>
      <c r="K71" s="73"/>
      <c r="L71" s="73"/>
      <c r="M71" s="73"/>
      <c r="N71" s="73"/>
      <c r="O71" s="73"/>
      <c r="P71" s="73"/>
      <c r="Q71" s="73"/>
      <c r="R71" s="73"/>
      <c r="S71" s="73"/>
    </row>
    <row r="72" spans="1:19">
      <c r="A72" s="73"/>
      <c r="B72" s="73"/>
      <c r="C72" s="73"/>
      <c r="D72" s="73"/>
      <c r="E72" s="73"/>
      <c r="F72" s="73"/>
      <c r="G72" s="73"/>
      <c r="H72" s="73"/>
      <c r="I72" s="73"/>
      <c r="J72" s="73"/>
      <c r="K72" s="73"/>
      <c r="L72" s="73"/>
      <c r="M72" s="73"/>
      <c r="N72" s="73"/>
      <c r="O72" s="73"/>
      <c r="P72" s="73"/>
      <c r="Q72" s="73"/>
      <c r="R72" s="73"/>
      <c r="S72" s="73"/>
    </row>
    <row r="73" spans="1:19">
      <c r="A73" s="73"/>
      <c r="B73" s="73"/>
      <c r="C73" s="73"/>
      <c r="D73" s="73"/>
      <c r="E73" s="73"/>
      <c r="F73" s="73"/>
      <c r="G73" s="73"/>
      <c r="H73" s="73"/>
      <c r="I73" s="73"/>
      <c r="J73" s="73"/>
      <c r="K73" s="73"/>
      <c r="L73" s="73"/>
      <c r="M73" s="73"/>
      <c r="N73" s="73"/>
      <c r="O73" s="73"/>
      <c r="P73" s="73"/>
      <c r="Q73" s="73"/>
      <c r="R73" s="73"/>
      <c r="S73" s="73"/>
    </row>
  </sheetData>
  <mergeCells count="2">
    <mergeCell ref="A1:R1"/>
    <mergeCell ref="Q35:R35"/>
  </mergeCells>
  <phoneticPr fontId="2"/>
  <pageMargins left="0.70866141732283472" right="0.70866141732283472" top="0" bottom="0" header="0.31496062992125984" footer="0.31496062992125984"/>
  <pageSetup paperSize="9" orientation="landscape" r:id="rId1"/>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584D6-9CFB-4AA2-BCC4-EB5A9B71D39E}">
  <dimension ref="A1:AC53"/>
  <sheetViews>
    <sheetView topLeftCell="A11" zoomScale="95" zoomScaleNormal="95" workbookViewId="0">
      <selection activeCell="C32" sqref="C32:F32"/>
    </sheetView>
  </sheetViews>
  <sheetFormatPr defaultColWidth="9" defaultRowHeight="18.75"/>
  <cols>
    <col min="1" max="18" width="6.625" style="40" customWidth="1"/>
    <col min="19" max="19" width="3.625" style="40" customWidth="1"/>
    <col min="20" max="20" width="6.625" style="40" customWidth="1"/>
    <col min="21" max="21" width="3.625" style="40" customWidth="1"/>
    <col min="22" max="37" width="6.625" style="40" customWidth="1"/>
    <col min="38" max="38" width="3.625" style="40" customWidth="1"/>
    <col min="39" max="16384" width="9" style="40"/>
  </cols>
  <sheetData>
    <row r="1" spans="1:29">
      <c r="A1" s="147" t="s">
        <v>997</v>
      </c>
      <c r="B1" s="147"/>
      <c r="C1" s="147"/>
      <c r="D1" s="147"/>
      <c r="E1" s="147"/>
      <c r="F1" s="147"/>
      <c r="G1" s="147"/>
      <c r="H1" s="147"/>
      <c r="I1" s="147"/>
      <c r="J1" s="147"/>
      <c r="K1" s="147"/>
      <c r="L1" s="147"/>
      <c r="M1" s="147"/>
      <c r="N1" s="147"/>
      <c r="O1" s="147"/>
      <c r="P1" s="147"/>
      <c r="Q1" s="147"/>
      <c r="R1" s="147"/>
      <c r="X1" s="40" t="s">
        <v>116</v>
      </c>
    </row>
    <row r="2" spans="1:29" ht="16.5" customHeight="1">
      <c r="A2" s="26" t="s">
        <v>355</v>
      </c>
      <c r="B2" s="27">
        <v>45098</v>
      </c>
      <c r="C2" s="27">
        <v>45099</v>
      </c>
      <c r="D2" s="27">
        <v>45100</v>
      </c>
      <c r="E2" s="31">
        <v>45101</v>
      </c>
      <c r="F2" s="31">
        <v>45102</v>
      </c>
      <c r="G2" s="27">
        <v>45103</v>
      </c>
      <c r="H2" s="27">
        <v>45104</v>
      </c>
      <c r="I2" s="27">
        <v>45105</v>
      </c>
      <c r="J2" s="27">
        <v>45106</v>
      </c>
      <c r="K2" s="27">
        <v>45107</v>
      </c>
      <c r="L2" s="27"/>
      <c r="M2" s="23" t="s">
        <v>368</v>
      </c>
      <c r="N2" s="30">
        <v>45108</v>
      </c>
      <c r="O2" s="30">
        <v>45109</v>
      </c>
      <c r="P2" s="25">
        <v>45110</v>
      </c>
      <c r="Q2" s="25">
        <v>45111</v>
      </c>
      <c r="R2" s="25">
        <v>45112</v>
      </c>
      <c r="V2" s="40" t="s">
        <v>63</v>
      </c>
      <c r="X2" s="40" t="s">
        <v>64</v>
      </c>
      <c r="Z2" s="40" t="s">
        <v>169</v>
      </c>
      <c r="AB2" s="40" t="s">
        <v>874</v>
      </c>
    </row>
    <row r="3" spans="1:29" ht="16.5" customHeight="1">
      <c r="A3" s="28">
        <v>1</v>
      </c>
      <c r="B3" s="19"/>
      <c r="C3" s="19"/>
      <c r="D3" s="19"/>
      <c r="E3" s="19" t="s">
        <v>312</v>
      </c>
      <c r="F3" s="19" t="s">
        <v>25</v>
      </c>
      <c r="G3" s="19"/>
      <c r="H3" s="19"/>
      <c r="I3" s="19"/>
      <c r="J3" s="19"/>
      <c r="K3" s="19"/>
      <c r="L3" s="19"/>
      <c r="M3" s="36">
        <v>1</v>
      </c>
      <c r="N3" s="19" t="s">
        <v>107</v>
      </c>
      <c r="O3" s="19" t="s">
        <v>516</v>
      </c>
      <c r="P3" s="19"/>
      <c r="Q3" s="19"/>
      <c r="R3" s="19"/>
      <c r="V3" s="40" t="s">
        <v>25</v>
      </c>
      <c r="W3" s="40">
        <v>2</v>
      </c>
      <c r="X3" s="40" t="s">
        <v>45</v>
      </c>
      <c r="Y3" s="40">
        <v>1</v>
      </c>
      <c r="Z3" s="40" t="s">
        <v>153</v>
      </c>
      <c r="AA3" s="40">
        <v>7</v>
      </c>
      <c r="AB3" s="40" t="s">
        <v>37</v>
      </c>
      <c r="AC3" s="40">
        <v>3.9</v>
      </c>
    </row>
    <row r="4" spans="1:29" ht="16.5" customHeight="1">
      <c r="A4" s="28">
        <v>2</v>
      </c>
      <c r="B4" s="19"/>
      <c r="C4" s="19"/>
      <c r="D4" s="19"/>
      <c r="E4" s="19" t="s">
        <v>1032</v>
      </c>
      <c r="F4" s="19" t="s">
        <v>152</v>
      </c>
      <c r="G4" s="61"/>
      <c r="I4" s="19"/>
      <c r="J4" s="19"/>
      <c r="K4" s="19"/>
      <c r="L4" s="19"/>
      <c r="M4" s="36">
        <v>2</v>
      </c>
      <c r="N4" s="19" t="s">
        <v>864</v>
      </c>
      <c r="O4" s="19" t="s">
        <v>93</v>
      </c>
      <c r="Q4" s="19"/>
      <c r="R4" s="19"/>
      <c r="T4" s="41"/>
      <c r="U4" s="41"/>
      <c r="V4" s="40" t="s">
        <v>2</v>
      </c>
      <c r="W4" s="40">
        <v>2</v>
      </c>
      <c r="X4" s="40" t="s">
        <v>14</v>
      </c>
      <c r="Y4" s="40">
        <v>2</v>
      </c>
      <c r="Z4" s="40" t="s">
        <v>26</v>
      </c>
      <c r="AA4" s="40">
        <v>3.4</v>
      </c>
      <c r="AB4" s="40" t="s">
        <v>863</v>
      </c>
      <c r="AC4" s="40">
        <v>1.6</v>
      </c>
    </row>
    <row r="5" spans="1:29" ht="16.5" customHeight="1">
      <c r="A5" s="28">
        <v>3</v>
      </c>
      <c r="B5" s="19"/>
      <c r="C5" s="19"/>
      <c r="D5" s="19"/>
      <c r="E5" s="19" t="s">
        <v>855</v>
      </c>
      <c r="F5" s="19" t="s">
        <v>843</v>
      </c>
      <c r="G5" s="19"/>
      <c r="H5" s="19"/>
      <c r="I5" s="19"/>
      <c r="J5" s="19"/>
      <c r="K5" s="19"/>
      <c r="L5" s="19"/>
      <c r="M5" s="36">
        <v>3</v>
      </c>
      <c r="N5" s="19" t="s">
        <v>855</v>
      </c>
      <c r="O5" s="19" t="s">
        <v>843</v>
      </c>
      <c r="P5" s="19"/>
      <c r="Q5" s="19"/>
      <c r="R5" s="19"/>
      <c r="T5" s="41"/>
      <c r="U5" s="41"/>
      <c r="V5" s="40" t="s">
        <v>516</v>
      </c>
      <c r="W5" s="40">
        <v>2</v>
      </c>
      <c r="X5" s="40" t="s">
        <v>6</v>
      </c>
      <c r="Y5" s="40">
        <v>2</v>
      </c>
      <c r="Z5" s="40" t="s">
        <v>6</v>
      </c>
      <c r="AA5" s="40">
        <v>6</v>
      </c>
      <c r="AB5" s="40" t="s">
        <v>875</v>
      </c>
      <c r="AC5" s="40">
        <v>4.8</v>
      </c>
    </row>
    <row r="6" spans="1:29" ht="16.5" customHeight="1">
      <c r="A6" s="28" t="s">
        <v>20</v>
      </c>
      <c r="B6" s="19" t="s">
        <v>769</v>
      </c>
      <c r="C6" s="19" t="s">
        <v>13</v>
      </c>
      <c r="D6" s="19" t="s">
        <v>13</v>
      </c>
      <c r="E6" s="19" t="s">
        <v>13</v>
      </c>
      <c r="F6" s="19" t="s">
        <v>13</v>
      </c>
      <c r="G6" s="19" t="s">
        <v>774</v>
      </c>
      <c r="H6" s="19" t="s">
        <v>13</v>
      </c>
      <c r="I6" s="19" t="s">
        <v>13</v>
      </c>
      <c r="J6" s="19" t="s">
        <v>13</v>
      </c>
      <c r="K6" s="19" t="s">
        <v>13</v>
      </c>
      <c r="L6" s="19"/>
      <c r="M6" s="36" t="s">
        <v>20</v>
      </c>
      <c r="N6" s="19" t="s">
        <v>774</v>
      </c>
      <c r="O6" s="19" t="s">
        <v>13</v>
      </c>
      <c r="P6" s="19" t="s">
        <v>312</v>
      </c>
      <c r="Q6" s="19" t="s">
        <v>13</v>
      </c>
      <c r="R6" s="19" t="s">
        <v>13</v>
      </c>
      <c r="T6" s="41"/>
      <c r="U6" s="41"/>
      <c r="V6" s="40" t="s">
        <v>7</v>
      </c>
      <c r="W6" s="40">
        <v>2</v>
      </c>
      <c r="X6" s="40" t="s">
        <v>23</v>
      </c>
      <c r="Y6" s="40">
        <v>2</v>
      </c>
      <c r="Z6" s="40" t="s">
        <v>23</v>
      </c>
      <c r="AA6" s="68" t="s">
        <v>995</v>
      </c>
      <c r="AB6" s="40" t="s">
        <v>356</v>
      </c>
      <c r="AC6" s="40" t="s">
        <v>996</v>
      </c>
    </row>
    <row r="7" spans="1:29" ht="16.5" customHeight="1">
      <c r="A7" s="28" t="s">
        <v>0</v>
      </c>
      <c r="B7" s="19" t="s">
        <v>356</v>
      </c>
      <c r="C7" s="19" t="s">
        <v>13</v>
      </c>
      <c r="D7" s="19" t="s">
        <v>13</v>
      </c>
      <c r="E7" s="19" t="s">
        <v>9</v>
      </c>
      <c r="F7" s="19" t="s">
        <v>13</v>
      </c>
      <c r="G7" s="19" t="s">
        <v>863</v>
      </c>
      <c r="H7" s="19" t="s">
        <v>13</v>
      </c>
      <c r="I7" s="19" t="s">
        <v>13</v>
      </c>
      <c r="J7" s="19" t="s">
        <v>13</v>
      </c>
      <c r="K7" s="19" t="s">
        <v>13</v>
      </c>
      <c r="L7" s="19"/>
      <c r="M7" s="36" t="s">
        <v>0</v>
      </c>
      <c r="N7" s="19" t="s">
        <v>9</v>
      </c>
      <c r="O7" s="19" t="s">
        <v>13</v>
      </c>
      <c r="P7" s="19" t="s">
        <v>356</v>
      </c>
      <c r="Q7" s="19" t="s">
        <v>13</v>
      </c>
      <c r="R7" s="19" t="s">
        <v>13</v>
      </c>
      <c r="T7" s="41"/>
      <c r="U7" s="41"/>
      <c r="V7" s="40" t="s">
        <v>21</v>
      </c>
      <c r="W7" s="40">
        <v>2</v>
      </c>
      <c r="X7" s="40" t="s">
        <v>153</v>
      </c>
      <c r="Y7" s="40">
        <v>2</v>
      </c>
      <c r="Z7" s="40" t="s">
        <v>25</v>
      </c>
      <c r="AA7" s="40">
        <v>8</v>
      </c>
    </row>
    <row r="8" spans="1:29" ht="16.5" customHeight="1">
      <c r="A8" s="28" t="s">
        <v>1</v>
      </c>
      <c r="B8" s="19"/>
      <c r="C8" s="19"/>
      <c r="D8" s="19"/>
      <c r="E8" s="19"/>
      <c r="F8" s="19"/>
      <c r="G8" s="19"/>
      <c r="H8" s="19"/>
      <c r="I8" s="19"/>
      <c r="J8" s="19"/>
      <c r="K8" s="19"/>
      <c r="L8" s="19"/>
      <c r="M8" s="36" t="s">
        <v>1</v>
      </c>
      <c r="N8" s="19"/>
      <c r="O8" s="19"/>
      <c r="P8" s="19"/>
      <c r="Q8" s="19"/>
      <c r="R8" s="19"/>
      <c r="T8" s="41"/>
      <c r="V8" s="40" t="s">
        <v>26</v>
      </c>
      <c r="W8" s="40">
        <v>2</v>
      </c>
      <c r="X8" s="40" t="s">
        <v>327</v>
      </c>
      <c r="Y8" s="40">
        <v>1</v>
      </c>
      <c r="Z8" s="40" t="s">
        <v>327</v>
      </c>
      <c r="AA8" s="64">
        <v>2</v>
      </c>
    </row>
    <row r="9" spans="1:29" ht="16.5" customHeight="1">
      <c r="A9" s="28" t="s">
        <v>366</v>
      </c>
      <c r="B9" s="19"/>
      <c r="C9" s="19"/>
      <c r="D9" s="19"/>
      <c r="E9" s="19"/>
      <c r="F9" s="19"/>
      <c r="G9" s="19"/>
      <c r="H9" s="19"/>
      <c r="I9" s="19"/>
      <c r="J9" s="19"/>
      <c r="K9" s="19"/>
      <c r="L9" s="19"/>
      <c r="M9" s="36" t="s">
        <v>366</v>
      </c>
      <c r="N9" s="19"/>
      <c r="O9" s="19"/>
      <c r="P9" s="19"/>
      <c r="Q9" s="19"/>
      <c r="R9" s="19"/>
      <c r="T9" s="41"/>
      <c r="V9" s="40" t="s">
        <v>27</v>
      </c>
      <c r="W9" s="40">
        <v>2</v>
      </c>
      <c r="X9" s="40" t="s">
        <v>28</v>
      </c>
      <c r="Y9" s="40">
        <v>2</v>
      </c>
      <c r="Z9" s="40" t="s">
        <v>516</v>
      </c>
      <c r="AA9" s="40">
        <v>5</v>
      </c>
    </row>
    <row r="10" spans="1:29" ht="16.5" customHeight="1">
      <c r="A10" s="23" t="s">
        <v>368</v>
      </c>
      <c r="B10" s="25">
        <v>45113</v>
      </c>
      <c r="C10" s="25">
        <v>45114</v>
      </c>
      <c r="D10" s="30">
        <v>45115</v>
      </c>
      <c r="E10" s="30">
        <v>45116</v>
      </c>
      <c r="F10" s="25">
        <v>45117</v>
      </c>
      <c r="G10" s="25">
        <v>45118</v>
      </c>
      <c r="H10" s="25">
        <v>45119</v>
      </c>
      <c r="I10" s="25">
        <v>45120</v>
      </c>
      <c r="J10" s="25">
        <v>45121</v>
      </c>
      <c r="K10" s="30">
        <v>45122</v>
      </c>
      <c r="L10" s="30">
        <v>45123</v>
      </c>
      <c r="M10" s="25">
        <v>45124</v>
      </c>
      <c r="N10" s="25">
        <v>45125</v>
      </c>
      <c r="O10" s="25">
        <v>45126</v>
      </c>
      <c r="P10" s="25">
        <v>45127</v>
      </c>
      <c r="Q10" s="19"/>
      <c r="R10" s="19"/>
      <c r="T10" s="41"/>
      <c r="V10" s="40" t="s">
        <v>533</v>
      </c>
      <c r="W10" s="40">
        <v>2</v>
      </c>
      <c r="X10" s="40" t="s">
        <v>152</v>
      </c>
      <c r="Y10" s="40">
        <v>2</v>
      </c>
      <c r="Z10" s="40" t="s">
        <v>864</v>
      </c>
      <c r="AA10" s="40">
        <v>9</v>
      </c>
    </row>
    <row r="11" spans="1:29" ht="16.5" customHeight="1">
      <c r="A11" s="36">
        <v>1</v>
      </c>
      <c r="B11" s="19"/>
      <c r="C11" s="19"/>
      <c r="D11" s="19" t="s">
        <v>315</v>
      </c>
      <c r="E11" s="19" t="s">
        <v>533</v>
      </c>
      <c r="F11" s="19"/>
      <c r="G11" s="19"/>
      <c r="H11" s="19"/>
      <c r="I11" s="19"/>
      <c r="J11" s="19"/>
      <c r="K11" s="19" t="s">
        <v>2</v>
      </c>
      <c r="L11" s="19" t="s">
        <v>7</v>
      </c>
      <c r="N11" s="19"/>
      <c r="O11" s="19"/>
      <c r="P11" s="19"/>
      <c r="Q11" s="19"/>
      <c r="R11" s="19"/>
      <c r="T11" s="41"/>
      <c r="X11" s="40" t="s">
        <v>864</v>
      </c>
      <c r="Y11" s="40">
        <v>2</v>
      </c>
    </row>
    <row r="12" spans="1:29" ht="16.5" customHeight="1">
      <c r="A12" s="36">
        <v>2</v>
      </c>
      <c r="B12" s="19"/>
      <c r="C12" s="19"/>
      <c r="D12" s="19" t="s">
        <v>153</v>
      </c>
      <c r="E12" s="19" t="s">
        <v>14</v>
      </c>
      <c r="F12" s="19"/>
      <c r="G12" s="19"/>
      <c r="H12" s="19"/>
      <c r="I12" s="19"/>
      <c r="J12" s="19"/>
      <c r="K12" s="19" t="s">
        <v>313</v>
      </c>
      <c r="L12" s="19" t="s">
        <v>6</v>
      </c>
      <c r="M12" s="19"/>
      <c r="N12" s="19"/>
      <c r="O12" s="19"/>
      <c r="P12" s="19"/>
      <c r="Q12" s="19"/>
      <c r="R12" s="19"/>
      <c r="T12" s="41"/>
    </row>
    <row r="13" spans="1:29" ht="16.5" customHeight="1">
      <c r="A13" s="36">
        <v>3</v>
      </c>
      <c r="B13" s="19"/>
      <c r="C13" s="19"/>
      <c r="D13" s="19" t="s">
        <v>843</v>
      </c>
      <c r="E13" s="19" t="s">
        <v>855</v>
      </c>
      <c r="F13" s="19"/>
      <c r="G13" s="19"/>
      <c r="H13" s="19"/>
      <c r="I13" s="19"/>
      <c r="J13" s="19"/>
      <c r="K13" s="19" t="s">
        <v>855</v>
      </c>
      <c r="L13" s="19" t="s">
        <v>843</v>
      </c>
      <c r="M13" s="19"/>
      <c r="N13" s="19"/>
      <c r="O13" s="19"/>
      <c r="P13" s="19"/>
      <c r="Q13" s="19"/>
      <c r="R13" s="19"/>
      <c r="T13" s="41"/>
    </row>
    <row r="14" spans="1:29" ht="16.5" customHeight="1">
      <c r="A14" s="36" t="s">
        <v>20</v>
      </c>
      <c r="B14" s="19" t="s">
        <v>312</v>
      </c>
      <c r="C14" s="19" t="s">
        <v>13</v>
      </c>
      <c r="D14" s="19" t="s">
        <v>13</v>
      </c>
      <c r="E14" s="19" t="s">
        <v>13</v>
      </c>
      <c r="F14" s="19" t="s">
        <v>516</v>
      </c>
      <c r="G14" s="19" t="s">
        <v>13</v>
      </c>
      <c r="H14" s="19" t="s">
        <v>13</v>
      </c>
      <c r="I14" s="19" t="s">
        <v>13</v>
      </c>
      <c r="J14" s="19" t="s">
        <v>13</v>
      </c>
      <c r="K14" s="19" t="s">
        <v>13</v>
      </c>
      <c r="L14" s="19" t="s">
        <v>13</v>
      </c>
      <c r="M14" s="19" t="s">
        <v>153</v>
      </c>
      <c r="N14" s="19" t="s">
        <v>13</v>
      </c>
      <c r="O14" s="19" t="s">
        <v>13</v>
      </c>
      <c r="P14" s="19" t="s">
        <v>13</v>
      </c>
      <c r="Q14" s="19"/>
      <c r="R14" s="19"/>
      <c r="T14" s="41"/>
    </row>
    <row r="15" spans="1:29" ht="16.5" customHeight="1">
      <c r="A15" s="36" t="s">
        <v>0</v>
      </c>
      <c r="B15" s="19" t="s">
        <v>356</v>
      </c>
      <c r="C15" s="19" t="s">
        <v>13</v>
      </c>
      <c r="D15" s="19" t="s">
        <v>9</v>
      </c>
      <c r="E15" s="19" t="s">
        <v>13</v>
      </c>
      <c r="F15" s="19" t="s">
        <v>875</v>
      </c>
      <c r="G15" s="19" t="s">
        <v>13</v>
      </c>
      <c r="H15" s="19" t="s">
        <v>13</v>
      </c>
      <c r="I15" s="19" t="s">
        <v>13</v>
      </c>
      <c r="J15" s="19" t="s">
        <v>13</v>
      </c>
      <c r="K15" s="19" t="s">
        <v>9</v>
      </c>
      <c r="L15" s="19" t="s">
        <v>13</v>
      </c>
      <c r="M15" s="19" t="s">
        <v>356</v>
      </c>
      <c r="N15" s="19" t="s">
        <v>13</v>
      </c>
      <c r="O15" s="19" t="s">
        <v>13</v>
      </c>
      <c r="P15" s="19" t="s">
        <v>13</v>
      </c>
      <c r="Q15" s="19"/>
      <c r="R15" s="19"/>
      <c r="T15" s="41"/>
      <c r="V15" s="40" t="s">
        <v>696</v>
      </c>
      <c r="W15" s="40">
        <f>SUM(W2:W14)</f>
        <v>16</v>
      </c>
      <c r="Y15" s="40">
        <f>SUM(Y2:Y14)</f>
        <v>16</v>
      </c>
    </row>
    <row r="16" spans="1:29" ht="16.5" customHeight="1">
      <c r="A16" s="36" t="s">
        <v>1</v>
      </c>
      <c r="B16" s="19"/>
      <c r="C16" s="19"/>
      <c r="D16" s="19"/>
      <c r="E16" s="19"/>
      <c r="F16" s="19"/>
      <c r="G16" s="19"/>
      <c r="H16" s="19"/>
      <c r="I16" s="19"/>
      <c r="J16" s="19"/>
      <c r="K16" s="19"/>
      <c r="L16" s="19"/>
      <c r="M16" s="19"/>
      <c r="N16" s="19"/>
      <c r="O16" s="19"/>
      <c r="P16" s="19"/>
      <c r="Q16" s="19"/>
      <c r="R16" s="19"/>
      <c r="T16" s="41"/>
    </row>
    <row r="17" spans="1:29" ht="16.5" customHeight="1">
      <c r="A17" s="36" t="s">
        <v>366</v>
      </c>
      <c r="B17" s="19"/>
      <c r="C17" s="19"/>
      <c r="D17" s="19"/>
      <c r="E17" s="19"/>
      <c r="F17" s="19"/>
      <c r="G17" s="19"/>
      <c r="H17" s="19"/>
      <c r="I17" s="19"/>
      <c r="J17" s="19"/>
      <c r="K17" s="19"/>
      <c r="L17" s="19"/>
      <c r="M17" s="19"/>
      <c r="N17" s="19"/>
      <c r="O17" s="19"/>
      <c r="P17" s="19"/>
      <c r="Q17" s="19"/>
      <c r="R17" s="19"/>
      <c r="T17" s="41"/>
    </row>
    <row r="18" spans="1:29" ht="11.25" customHeight="1">
      <c r="A18" s="42"/>
      <c r="B18" s="37"/>
      <c r="C18" s="37"/>
      <c r="D18" s="37"/>
      <c r="E18" s="37"/>
      <c r="F18" s="37"/>
      <c r="G18" s="37"/>
      <c r="H18" s="38"/>
      <c r="I18" s="38"/>
      <c r="J18" s="38"/>
      <c r="K18" s="38"/>
      <c r="L18" s="38"/>
      <c r="M18" s="38"/>
      <c r="N18" s="38"/>
      <c r="O18" s="38"/>
      <c r="P18" s="37"/>
      <c r="Q18" s="37"/>
      <c r="R18" s="39"/>
      <c r="T18" s="41"/>
      <c r="X18" s="40" t="s">
        <v>167</v>
      </c>
    </row>
    <row r="19" spans="1:29" ht="16.5" customHeight="1">
      <c r="A19" s="23" t="s">
        <v>368</v>
      </c>
      <c r="B19" s="25">
        <v>45128</v>
      </c>
      <c r="C19" s="30">
        <v>45129</v>
      </c>
      <c r="D19" s="30">
        <v>45130</v>
      </c>
      <c r="E19" s="25">
        <v>45131</v>
      </c>
      <c r="F19" s="25">
        <v>45132</v>
      </c>
      <c r="G19" s="25">
        <v>45133</v>
      </c>
      <c r="H19" s="25">
        <v>45134</v>
      </c>
      <c r="I19" s="25">
        <v>45135</v>
      </c>
      <c r="J19" s="30">
        <v>45136</v>
      </c>
      <c r="K19" s="30">
        <v>45137</v>
      </c>
      <c r="L19" s="25">
        <v>45138</v>
      </c>
      <c r="M19" s="26" t="s">
        <v>216</v>
      </c>
      <c r="N19" s="27">
        <v>45139</v>
      </c>
      <c r="O19" s="27">
        <v>45140</v>
      </c>
      <c r="P19" s="27">
        <v>45141</v>
      </c>
      <c r="Q19" s="27">
        <v>45142</v>
      </c>
      <c r="R19" s="31">
        <v>45143</v>
      </c>
      <c r="T19" s="41"/>
      <c r="V19" s="40" t="s">
        <v>63</v>
      </c>
      <c r="X19" s="40" t="s">
        <v>64</v>
      </c>
      <c r="Z19" s="40" t="s">
        <v>169</v>
      </c>
      <c r="AB19" s="40" t="s">
        <v>874</v>
      </c>
    </row>
    <row r="20" spans="1:29" ht="16.5" customHeight="1">
      <c r="A20" s="36">
        <v>1</v>
      </c>
      <c r="B20" s="19"/>
      <c r="C20" s="19" t="s">
        <v>774</v>
      </c>
      <c r="D20" s="19" t="s">
        <v>312</v>
      </c>
      <c r="E20" s="19"/>
      <c r="F20" s="19"/>
      <c r="G20" s="19"/>
      <c r="H20" s="19"/>
      <c r="I20" s="19"/>
      <c r="J20" s="19" t="s">
        <v>533</v>
      </c>
      <c r="K20" s="19" t="s">
        <v>107</v>
      </c>
      <c r="L20" s="19"/>
      <c r="M20" s="28"/>
      <c r="N20" s="19"/>
      <c r="O20" s="19"/>
      <c r="P20" s="19"/>
      <c r="Q20" s="19"/>
      <c r="R20" s="19" t="s">
        <v>2</v>
      </c>
      <c r="T20" s="41"/>
      <c r="V20" s="40" t="s">
        <v>25</v>
      </c>
      <c r="W20" s="40">
        <v>2</v>
      </c>
      <c r="X20" s="40" t="s">
        <v>45</v>
      </c>
      <c r="Y20" s="40">
        <v>2</v>
      </c>
      <c r="Z20" s="40" t="s">
        <v>153</v>
      </c>
      <c r="AA20" s="40">
        <v>5</v>
      </c>
      <c r="AB20" s="40" t="s">
        <v>37</v>
      </c>
    </row>
    <row r="21" spans="1:29" ht="16.5" customHeight="1">
      <c r="A21" s="36">
        <v>2</v>
      </c>
      <c r="B21" s="19"/>
      <c r="C21" s="19" t="s">
        <v>93</v>
      </c>
      <c r="D21" s="19" t="s">
        <v>864</v>
      </c>
      <c r="F21" s="19"/>
      <c r="G21" s="19"/>
      <c r="H21" s="19"/>
      <c r="I21" s="19"/>
      <c r="J21" s="19" t="s">
        <v>1032</v>
      </c>
      <c r="K21" s="19" t="s">
        <v>314</v>
      </c>
      <c r="L21" s="61"/>
      <c r="M21" s="28"/>
      <c r="N21" s="19"/>
      <c r="O21" s="19"/>
      <c r="P21" s="19"/>
      <c r="Q21" s="19"/>
      <c r="R21" s="19" t="s">
        <v>516</v>
      </c>
      <c r="T21" s="41"/>
      <c r="V21" s="40" t="s">
        <v>2</v>
      </c>
      <c r="W21" s="40">
        <v>2</v>
      </c>
      <c r="X21" s="40" t="s">
        <v>14</v>
      </c>
      <c r="Y21" s="40">
        <v>2</v>
      </c>
      <c r="Z21" s="40" t="s">
        <v>26</v>
      </c>
      <c r="AA21" s="40">
        <v>3</v>
      </c>
      <c r="AB21" s="40" t="s">
        <v>863</v>
      </c>
      <c r="AC21" s="40">
        <v>2</v>
      </c>
    </row>
    <row r="22" spans="1:29" ht="16.5" customHeight="1">
      <c r="A22" s="36">
        <v>3</v>
      </c>
      <c r="B22" s="19"/>
      <c r="C22" s="19" t="s">
        <v>855</v>
      </c>
      <c r="D22" s="19" t="s">
        <v>843</v>
      </c>
      <c r="E22" s="19"/>
      <c r="F22" s="19"/>
      <c r="G22" s="19"/>
      <c r="H22" s="19"/>
      <c r="I22" s="19"/>
      <c r="J22" s="19" t="s">
        <v>855</v>
      </c>
      <c r="K22" s="19" t="s">
        <v>843</v>
      </c>
      <c r="L22" s="19"/>
      <c r="M22" s="28"/>
      <c r="N22" s="19"/>
      <c r="O22" s="19"/>
      <c r="P22" s="19"/>
      <c r="Q22" s="19"/>
      <c r="R22" s="19" t="s">
        <v>855</v>
      </c>
      <c r="T22" s="41"/>
      <c r="V22" s="40" t="s">
        <v>516</v>
      </c>
      <c r="W22" s="40">
        <v>1</v>
      </c>
      <c r="X22" s="40" t="s">
        <v>6</v>
      </c>
      <c r="Y22" s="40">
        <v>1</v>
      </c>
      <c r="Z22" s="40" t="s">
        <v>1032</v>
      </c>
      <c r="AA22" s="40">
        <v>9</v>
      </c>
      <c r="AB22" s="40" t="s">
        <v>875</v>
      </c>
      <c r="AC22" s="40">
        <v>4.8</v>
      </c>
    </row>
    <row r="23" spans="1:29" ht="16.5" customHeight="1">
      <c r="A23" s="36" t="s">
        <v>20</v>
      </c>
      <c r="B23" s="19" t="s">
        <v>153</v>
      </c>
      <c r="C23" s="19" t="s">
        <v>13</v>
      </c>
      <c r="D23" s="19" t="s">
        <v>13</v>
      </c>
      <c r="E23" s="19" t="s">
        <v>25</v>
      </c>
      <c r="F23" s="19" t="s">
        <v>13</v>
      </c>
      <c r="G23" s="19" t="s">
        <v>13</v>
      </c>
      <c r="H23" s="19" t="s">
        <v>13</v>
      </c>
      <c r="I23" s="19" t="s">
        <v>13</v>
      </c>
      <c r="J23" s="19" t="s">
        <v>13</v>
      </c>
      <c r="K23" s="19" t="s">
        <v>13</v>
      </c>
      <c r="L23" s="19" t="s">
        <v>864</v>
      </c>
      <c r="M23" s="28"/>
      <c r="N23" s="19" t="s">
        <v>864</v>
      </c>
      <c r="O23" s="19" t="s">
        <v>13</v>
      </c>
      <c r="P23" s="19" t="s">
        <v>13</v>
      </c>
      <c r="Q23" s="19" t="s">
        <v>13</v>
      </c>
      <c r="R23" s="19" t="s">
        <v>13</v>
      </c>
      <c r="T23" s="41"/>
      <c r="V23" s="40" t="s">
        <v>7</v>
      </c>
      <c r="W23" s="40">
        <v>2</v>
      </c>
      <c r="X23" s="40" t="s">
        <v>23</v>
      </c>
      <c r="Y23" s="40">
        <v>1</v>
      </c>
      <c r="Z23" s="40" t="s">
        <v>23</v>
      </c>
      <c r="AA23" s="68" t="s">
        <v>897</v>
      </c>
      <c r="AB23" s="40" t="s">
        <v>356</v>
      </c>
      <c r="AC23" s="40" t="s">
        <v>917</v>
      </c>
    </row>
    <row r="24" spans="1:29" ht="16.5" customHeight="1">
      <c r="A24" s="36" t="s">
        <v>0</v>
      </c>
      <c r="B24" s="19" t="s">
        <v>356</v>
      </c>
      <c r="C24" s="19" t="s">
        <v>9</v>
      </c>
      <c r="D24" s="19" t="s">
        <v>13</v>
      </c>
      <c r="E24" s="19" t="s">
        <v>6</v>
      </c>
      <c r="F24" s="19" t="s">
        <v>13</v>
      </c>
      <c r="G24" s="19" t="s">
        <v>13</v>
      </c>
      <c r="H24" s="19" t="s">
        <v>13</v>
      </c>
      <c r="I24" s="19" t="s">
        <v>13</v>
      </c>
      <c r="J24" s="19" t="s">
        <v>13</v>
      </c>
      <c r="K24" s="19" t="s">
        <v>13</v>
      </c>
      <c r="L24" s="19" t="s">
        <v>356</v>
      </c>
      <c r="M24" s="28"/>
      <c r="N24" s="19" t="s">
        <v>13</v>
      </c>
      <c r="O24" s="19" t="s">
        <v>13</v>
      </c>
      <c r="P24" s="19" t="s">
        <v>13</v>
      </c>
      <c r="Q24" s="19" t="s">
        <v>13</v>
      </c>
      <c r="R24" s="19" t="s">
        <v>9</v>
      </c>
      <c r="T24" s="41"/>
      <c r="V24" s="40" t="s">
        <v>21</v>
      </c>
      <c r="W24" s="40">
        <v>2</v>
      </c>
      <c r="X24" s="40" t="s">
        <v>153</v>
      </c>
      <c r="Y24" s="40">
        <v>1</v>
      </c>
      <c r="Z24" s="40" t="s">
        <v>25</v>
      </c>
      <c r="AA24" s="40">
        <v>6</v>
      </c>
      <c r="AB24" s="40" t="s">
        <v>6</v>
      </c>
      <c r="AC24" s="40">
        <v>6</v>
      </c>
    </row>
    <row r="25" spans="1:29" ht="16.5" customHeight="1">
      <c r="A25" s="36" t="s">
        <v>1</v>
      </c>
      <c r="B25" s="19"/>
      <c r="C25" s="19"/>
      <c r="D25" s="19"/>
      <c r="E25" s="19"/>
      <c r="F25" s="19"/>
      <c r="G25" s="19"/>
      <c r="H25" s="19"/>
      <c r="I25" s="19"/>
      <c r="J25" s="19"/>
      <c r="K25" s="19"/>
      <c r="L25" s="19"/>
      <c r="M25" s="28"/>
      <c r="N25" s="19"/>
      <c r="O25" s="19"/>
      <c r="P25" s="19"/>
      <c r="Q25" s="19"/>
      <c r="R25" s="19"/>
      <c r="T25" s="41"/>
      <c r="V25" s="40" t="s">
        <v>26</v>
      </c>
      <c r="W25" s="40">
        <v>2</v>
      </c>
      <c r="X25" s="40" t="s">
        <v>327</v>
      </c>
      <c r="Y25" s="40">
        <v>0</v>
      </c>
      <c r="Z25" s="40" t="s">
        <v>327</v>
      </c>
      <c r="AA25" s="64">
        <v>2</v>
      </c>
    </row>
    <row r="26" spans="1:29" ht="16.5" customHeight="1">
      <c r="A26" s="36" t="s">
        <v>366</v>
      </c>
      <c r="B26" s="19"/>
      <c r="C26" s="19"/>
      <c r="D26" s="19"/>
      <c r="E26" s="19"/>
      <c r="F26" s="19"/>
      <c r="G26" s="19"/>
      <c r="H26" s="19"/>
      <c r="I26" s="19"/>
      <c r="J26" s="19"/>
      <c r="K26" s="19"/>
      <c r="L26" s="19"/>
      <c r="M26" s="28"/>
      <c r="N26" s="19"/>
      <c r="O26" s="19"/>
      <c r="P26" s="19"/>
      <c r="Q26" s="19"/>
      <c r="R26" s="19"/>
      <c r="T26" s="41"/>
      <c r="V26" s="40" t="s">
        <v>27</v>
      </c>
      <c r="W26" s="40">
        <v>2</v>
      </c>
      <c r="X26" s="40" t="s">
        <v>28</v>
      </c>
      <c r="Y26" s="40">
        <v>2</v>
      </c>
      <c r="Z26" s="40" t="s">
        <v>516</v>
      </c>
      <c r="AA26" s="40">
        <v>4</v>
      </c>
    </row>
    <row r="27" spans="1:29" ht="16.5" customHeight="1">
      <c r="A27" s="26" t="s">
        <v>216</v>
      </c>
      <c r="B27" s="31">
        <v>45144</v>
      </c>
      <c r="C27" s="27">
        <v>45145</v>
      </c>
      <c r="D27" s="27">
        <v>45146</v>
      </c>
      <c r="E27" s="27">
        <v>45147</v>
      </c>
      <c r="F27" s="27">
        <v>45148</v>
      </c>
      <c r="G27" s="27">
        <v>45149</v>
      </c>
      <c r="H27" s="31">
        <v>45150</v>
      </c>
      <c r="I27" s="31">
        <v>45151</v>
      </c>
      <c r="J27" s="27">
        <v>45152</v>
      </c>
      <c r="K27" s="27">
        <v>45153</v>
      </c>
      <c r="L27" s="27">
        <v>45154</v>
      </c>
      <c r="M27" s="27">
        <v>45155</v>
      </c>
      <c r="N27" s="27">
        <v>45156</v>
      </c>
      <c r="O27" s="31">
        <v>45157</v>
      </c>
      <c r="P27" s="31">
        <v>45158</v>
      </c>
      <c r="Q27" s="19"/>
      <c r="R27" s="19"/>
      <c r="T27" s="41"/>
      <c r="V27" s="40" t="s">
        <v>533</v>
      </c>
      <c r="W27" s="40">
        <v>2</v>
      </c>
      <c r="X27" s="40" t="s">
        <v>152</v>
      </c>
      <c r="Y27" s="40">
        <v>2</v>
      </c>
      <c r="Z27" s="40" t="s">
        <v>864</v>
      </c>
      <c r="AA27" s="40">
        <v>7</v>
      </c>
    </row>
    <row r="28" spans="1:29" ht="16.5" customHeight="1">
      <c r="A28" s="28">
        <v>1</v>
      </c>
      <c r="B28" s="19" t="s">
        <v>315</v>
      </c>
      <c r="C28" s="19"/>
      <c r="D28" s="19"/>
      <c r="E28" s="19"/>
      <c r="F28" s="19"/>
      <c r="G28" s="19"/>
      <c r="H28" s="19"/>
      <c r="I28" s="19"/>
      <c r="J28" s="19"/>
      <c r="K28" s="19"/>
      <c r="L28" s="19"/>
      <c r="M28" s="19"/>
      <c r="N28" s="19"/>
      <c r="O28" s="19" t="s">
        <v>7</v>
      </c>
      <c r="P28" s="19" t="s">
        <v>25</v>
      </c>
      <c r="Q28" s="19"/>
      <c r="R28" s="19"/>
      <c r="T28" s="41"/>
      <c r="V28" s="40" t="s">
        <v>774</v>
      </c>
      <c r="W28" s="40">
        <v>1</v>
      </c>
      <c r="X28" s="40" t="s">
        <v>864</v>
      </c>
      <c r="Y28" s="40">
        <v>2</v>
      </c>
    </row>
    <row r="29" spans="1:29" ht="16.5" customHeight="1">
      <c r="A29" s="28">
        <v>2</v>
      </c>
      <c r="B29" s="19" t="s">
        <v>769</v>
      </c>
      <c r="C29" s="19"/>
      <c r="D29" s="19"/>
      <c r="E29" s="19"/>
      <c r="F29" s="19"/>
      <c r="G29" s="19"/>
      <c r="H29" s="19"/>
      <c r="I29" s="19"/>
      <c r="J29" s="19"/>
      <c r="K29" s="19"/>
      <c r="L29" s="19"/>
      <c r="M29" s="19"/>
      <c r="N29" s="19"/>
      <c r="O29" s="19" t="s">
        <v>14</v>
      </c>
      <c r="P29" s="19" t="s">
        <v>313</v>
      </c>
      <c r="Q29" s="19"/>
      <c r="R29" s="19"/>
      <c r="T29" s="41"/>
      <c r="X29" s="40" t="s">
        <v>1032</v>
      </c>
      <c r="Y29" s="40">
        <v>2</v>
      </c>
    </row>
    <row r="30" spans="1:29" ht="16.5" customHeight="1">
      <c r="A30" s="28">
        <v>3</v>
      </c>
      <c r="B30" s="19" t="s">
        <v>843</v>
      </c>
      <c r="C30" s="19"/>
      <c r="D30" s="19"/>
      <c r="E30" s="19"/>
      <c r="F30" s="19"/>
      <c r="G30" s="19"/>
      <c r="H30" s="19"/>
      <c r="I30" s="19"/>
      <c r="J30" s="19"/>
      <c r="K30" s="19"/>
      <c r="L30" s="19"/>
      <c r="M30" s="19"/>
      <c r="N30" s="19"/>
      <c r="O30" s="19" t="s">
        <v>855</v>
      </c>
      <c r="P30" s="19" t="s">
        <v>843</v>
      </c>
      <c r="Q30" s="19"/>
      <c r="R30" s="19"/>
      <c r="T30" s="41"/>
      <c r="X30" s="40" t="s">
        <v>516</v>
      </c>
      <c r="Y30" s="40">
        <v>1</v>
      </c>
    </row>
    <row r="31" spans="1:29" ht="16.5" customHeight="1">
      <c r="A31" s="28" t="s">
        <v>20</v>
      </c>
      <c r="B31" s="19" t="s">
        <v>864</v>
      </c>
      <c r="C31" s="19" t="s">
        <v>769</v>
      </c>
      <c r="D31" s="19" t="s">
        <v>13</v>
      </c>
      <c r="E31" s="19" t="s">
        <v>13</v>
      </c>
      <c r="F31" s="19" t="s">
        <v>13</v>
      </c>
      <c r="G31" s="19"/>
      <c r="H31" s="19"/>
      <c r="I31" s="19"/>
      <c r="J31" s="19"/>
      <c r="K31" s="19"/>
      <c r="L31" s="19"/>
      <c r="M31" s="19" t="s">
        <v>1032</v>
      </c>
      <c r="N31" s="19" t="s">
        <v>13</v>
      </c>
      <c r="O31" s="19" t="s">
        <v>13</v>
      </c>
      <c r="P31" s="19" t="s">
        <v>13</v>
      </c>
      <c r="Q31" s="19"/>
      <c r="R31" s="19"/>
      <c r="T31" s="41"/>
    </row>
    <row r="32" spans="1:29" ht="16.5" customHeight="1">
      <c r="A32" s="28" t="s">
        <v>0</v>
      </c>
      <c r="B32" s="19" t="s">
        <v>9</v>
      </c>
      <c r="C32" s="19" t="s">
        <v>875</v>
      </c>
      <c r="D32" s="19" t="s">
        <v>13</v>
      </c>
      <c r="E32" s="19" t="s">
        <v>13</v>
      </c>
      <c r="F32" s="19" t="s">
        <v>13</v>
      </c>
      <c r="G32" s="19"/>
      <c r="H32" s="19"/>
      <c r="I32" s="19"/>
      <c r="J32" s="19"/>
      <c r="K32" s="19"/>
      <c r="L32" s="19"/>
      <c r="M32" s="19" t="s">
        <v>356</v>
      </c>
      <c r="N32" s="19" t="s">
        <v>13</v>
      </c>
      <c r="O32" s="19" t="s">
        <v>9</v>
      </c>
      <c r="P32" s="19" t="s">
        <v>13</v>
      </c>
      <c r="Q32" s="19"/>
      <c r="R32" s="19"/>
      <c r="T32" s="41"/>
      <c r="V32" s="40" t="s">
        <v>696</v>
      </c>
      <c r="W32" s="40">
        <f>SUM(W19:W31)</f>
        <v>16</v>
      </c>
      <c r="Y32" s="40">
        <f>SUM(Y19:Y31)</f>
        <v>16</v>
      </c>
    </row>
    <row r="33" spans="1:20" ht="16.5" customHeight="1">
      <c r="A33" s="28" t="s">
        <v>1</v>
      </c>
      <c r="B33" s="19"/>
      <c r="C33" s="19"/>
      <c r="D33" s="19"/>
      <c r="E33" s="19"/>
      <c r="F33" s="19"/>
      <c r="G33" s="19"/>
      <c r="H33" s="19"/>
      <c r="I33" s="19"/>
      <c r="J33" s="19"/>
      <c r="K33" s="19"/>
      <c r="L33" s="19"/>
      <c r="M33" s="19"/>
      <c r="N33" s="19"/>
      <c r="O33" s="19"/>
      <c r="P33" s="19"/>
      <c r="Q33" s="19"/>
      <c r="R33" s="19"/>
    </row>
    <row r="34" spans="1:20" ht="16.5" customHeight="1">
      <c r="A34" s="28" t="s">
        <v>366</v>
      </c>
      <c r="B34" s="19"/>
      <c r="C34" s="19"/>
      <c r="D34" s="19"/>
      <c r="E34" s="19"/>
      <c r="F34" s="19"/>
      <c r="G34" s="19"/>
      <c r="H34" s="19"/>
      <c r="I34" s="19"/>
      <c r="J34" s="19"/>
      <c r="K34" s="19"/>
      <c r="L34" s="19"/>
      <c r="M34" s="19"/>
      <c r="N34" s="19"/>
      <c r="O34" s="19"/>
      <c r="P34" s="19"/>
      <c r="Q34" s="19"/>
      <c r="R34" s="19"/>
    </row>
    <row r="35" spans="1:20" ht="12.75" customHeight="1">
      <c r="Q35" s="145" t="s">
        <v>82</v>
      </c>
      <c r="R35" s="145"/>
      <c r="T35" s="41"/>
    </row>
    <row r="36" spans="1:20">
      <c r="A36" s="40" t="s">
        <v>322</v>
      </c>
      <c r="B36" s="49"/>
      <c r="C36" s="49"/>
      <c r="D36" s="49"/>
      <c r="E36" s="49"/>
      <c r="F36" s="49"/>
      <c r="G36" s="49"/>
      <c r="H36" s="55"/>
      <c r="I36" s="49"/>
      <c r="J36" s="49"/>
      <c r="K36" s="49"/>
      <c r="L36" s="49"/>
      <c r="M36" s="49"/>
      <c r="N36" s="49"/>
      <c r="O36" s="49"/>
      <c r="T36" s="41"/>
    </row>
    <row r="37" spans="1:20">
      <c r="A37" t="s">
        <v>998</v>
      </c>
      <c r="B37" t="s">
        <v>999</v>
      </c>
      <c r="C37"/>
      <c r="D37"/>
      <c r="E37"/>
      <c r="F37"/>
      <c r="G37" t="s">
        <v>1000</v>
      </c>
      <c r="H37"/>
      <c r="I37" s="55"/>
      <c r="J37" s="55"/>
      <c r="K37" s="55" t="s">
        <v>945</v>
      </c>
      <c r="L37" s="55"/>
      <c r="M37" s="55"/>
      <c r="N37" s="55"/>
      <c r="O37" s="55"/>
      <c r="P37" s="43"/>
      <c r="Q37" s="43"/>
      <c r="R37" s="43"/>
      <c r="T37" s="41"/>
    </row>
    <row r="38" spans="1:20">
      <c r="A38" t="s">
        <v>1001</v>
      </c>
      <c r="B38" t="s">
        <v>1002</v>
      </c>
      <c r="C38"/>
      <c r="D38"/>
      <c r="E38"/>
      <c r="F38"/>
      <c r="G38"/>
      <c r="H38"/>
      <c r="I38" s="55"/>
      <c r="J38" s="55"/>
      <c r="K38" s="55" t="s">
        <v>1033</v>
      </c>
      <c r="L38" s="55"/>
      <c r="M38" s="55"/>
      <c r="N38" s="55"/>
      <c r="O38" s="55"/>
      <c r="P38" s="43"/>
      <c r="Q38" s="43"/>
      <c r="R38" s="43"/>
      <c r="T38" s="41"/>
    </row>
    <row r="39" spans="1:20">
      <c r="A39" t="s">
        <v>1003</v>
      </c>
      <c r="B39" t="s">
        <v>1004</v>
      </c>
      <c r="C39" s="69"/>
      <c r="D39"/>
      <c r="E39"/>
      <c r="F39"/>
      <c r="G39" s="70" t="s">
        <v>1028</v>
      </c>
      <c r="H39"/>
      <c r="I39" s="55"/>
      <c r="J39" s="55"/>
      <c r="K39" s="55"/>
      <c r="L39" s="55"/>
      <c r="M39" s="55"/>
      <c r="N39" s="55"/>
      <c r="O39" s="55"/>
      <c r="P39" s="43"/>
      <c r="Q39" s="43"/>
      <c r="R39" s="43"/>
      <c r="T39" s="41"/>
    </row>
    <row r="40" spans="1:20">
      <c r="A40" t="s">
        <v>1005</v>
      </c>
      <c r="B40" t="s">
        <v>1006</v>
      </c>
      <c r="C40"/>
      <c r="D40"/>
      <c r="E40"/>
      <c r="F40"/>
      <c r="G40"/>
      <c r="H40"/>
      <c r="I40" s="55"/>
      <c r="J40" s="55"/>
      <c r="K40" s="55"/>
      <c r="L40" s="55"/>
      <c r="M40" s="55"/>
      <c r="N40" s="55"/>
      <c r="O40" s="55"/>
      <c r="P40" s="43"/>
      <c r="Q40" s="43"/>
      <c r="R40" s="43"/>
    </row>
    <row r="41" spans="1:20">
      <c r="A41" t="s">
        <v>1007</v>
      </c>
      <c r="B41" t="s">
        <v>1008</v>
      </c>
      <c r="C41"/>
      <c r="D41"/>
      <c r="E41"/>
      <c r="F41"/>
      <c r="G41"/>
      <c r="H41"/>
      <c r="I41" s="55"/>
      <c r="J41" s="55"/>
      <c r="K41" s="55"/>
      <c r="L41" s="55"/>
      <c r="M41" s="55"/>
      <c r="N41" s="55"/>
      <c r="O41" s="55"/>
      <c r="P41" s="43"/>
      <c r="Q41" s="43"/>
      <c r="R41" s="43"/>
    </row>
    <row r="42" spans="1:20">
      <c r="A42" t="s">
        <v>1009</v>
      </c>
      <c r="B42" t="s">
        <v>1010</v>
      </c>
      <c r="C42"/>
      <c r="D42"/>
      <c r="E42"/>
      <c r="F42"/>
      <c r="G42"/>
      <c r="H42"/>
      <c r="I42" s="55"/>
      <c r="J42" s="55"/>
      <c r="K42" s="55"/>
      <c r="L42" s="55"/>
      <c r="M42" s="55"/>
      <c r="N42" s="55"/>
      <c r="O42" s="55"/>
      <c r="P42" s="43"/>
      <c r="Q42" s="43"/>
      <c r="R42" s="43"/>
      <c r="T42" s="41"/>
    </row>
    <row r="43" spans="1:20">
      <c r="A43" t="s">
        <v>1011</v>
      </c>
      <c r="B43"/>
      <c r="C43"/>
      <c r="D43"/>
      <c r="E43"/>
      <c r="F43"/>
      <c r="G43"/>
      <c r="H43"/>
      <c r="I43" s="55"/>
      <c r="J43" s="55"/>
      <c r="K43" s="55"/>
      <c r="L43" s="55"/>
      <c r="M43" s="55"/>
      <c r="N43" s="55"/>
      <c r="O43" s="55"/>
      <c r="P43" s="43"/>
      <c r="Q43" s="43"/>
      <c r="R43" s="43"/>
      <c r="T43" s="41"/>
    </row>
    <row r="44" spans="1:20">
      <c r="A44" t="s">
        <v>1012</v>
      </c>
      <c r="B44"/>
      <c r="C44"/>
      <c r="D44"/>
      <c r="E44"/>
      <c r="F44"/>
      <c r="G44"/>
      <c r="H44"/>
      <c r="I44" s="55"/>
      <c r="J44" s="55"/>
      <c r="K44" s="55"/>
      <c r="L44" s="55"/>
      <c r="M44" s="55"/>
      <c r="N44" s="55"/>
      <c r="O44" s="55"/>
      <c r="P44" s="43"/>
      <c r="Q44" s="43"/>
      <c r="R44" s="43"/>
      <c r="T44" s="41"/>
    </row>
    <row r="45" spans="1:20">
      <c r="A45" t="s">
        <v>1013</v>
      </c>
      <c r="B45" t="s">
        <v>1014</v>
      </c>
      <c r="C45" s="69"/>
      <c r="D45"/>
      <c r="E45"/>
      <c r="F45"/>
      <c r="G45" s="70" t="s">
        <v>1029</v>
      </c>
      <c r="H45"/>
      <c r="I45" s="63"/>
      <c r="J45" s="43"/>
      <c r="K45" s="43"/>
      <c r="L45" s="43"/>
      <c r="M45" s="43"/>
      <c r="N45" s="43"/>
      <c r="O45" s="43"/>
      <c r="P45" s="43"/>
      <c r="Q45" s="43"/>
      <c r="R45" s="43"/>
    </row>
    <row r="46" spans="1:20">
      <c r="A46" t="s">
        <v>893</v>
      </c>
      <c r="B46" t="s">
        <v>1015</v>
      </c>
      <c r="C46"/>
      <c r="D46"/>
      <c r="E46"/>
      <c r="F46"/>
      <c r="G46"/>
      <c r="H46"/>
      <c r="I46" s="43"/>
      <c r="J46" s="43"/>
      <c r="K46" s="43"/>
      <c r="L46" s="43"/>
      <c r="M46" s="43"/>
      <c r="N46" s="43"/>
      <c r="O46" s="43"/>
      <c r="P46" s="43"/>
      <c r="Q46" s="43"/>
      <c r="R46" s="43"/>
      <c r="T46" s="41"/>
    </row>
    <row r="47" spans="1:20">
      <c r="A47" t="s">
        <v>1016</v>
      </c>
      <c r="B47" t="s">
        <v>1017</v>
      </c>
      <c r="C47"/>
      <c r="D47"/>
      <c r="E47"/>
      <c r="F47"/>
      <c r="G47"/>
      <c r="H47"/>
      <c r="I47" s="43"/>
      <c r="J47" s="43"/>
      <c r="K47" s="43"/>
      <c r="L47" s="43"/>
      <c r="M47" s="43"/>
      <c r="N47" s="43"/>
      <c r="O47" s="43"/>
      <c r="P47" s="43"/>
      <c r="Q47" s="43"/>
      <c r="R47" s="43"/>
      <c r="T47" s="41"/>
    </row>
    <row r="48" spans="1:20">
      <c r="A48" t="s">
        <v>1018</v>
      </c>
      <c r="B48" t="s">
        <v>1019</v>
      </c>
      <c r="C48"/>
      <c r="D48"/>
      <c r="E48"/>
      <c r="F48"/>
      <c r="G48"/>
      <c r="H48"/>
      <c r="I48" s="43"/>
      <c r="J48" s="43"/>
      <c r="K48" s="43"/>
      <c r="L48" s="43"/>
      <c r="M48" s="43"/>
      <c r="N48" s="43"/>
      <c r="O48" s="43"/>
      <c r="P48" s="43"/>
      <c r="Q48" s="43"/>
      <c r="R48" s="43"/>
      <c r="T48" s="41"/>
    </row>
    <row r="49" spans="1:18">
      <c r="A49" t="s">
        <v>1020</v>
      </c>
      <c r="B49"/>
      <c r="C49"/>
      <c r="D49"/>
      <c r="E49"/>
      <c r="F49"/>
      <c r="G49"/>
      <c r="H49"/>
      <c r="I49" s="43"/>
      <c r="J49" s="43"/>
      <c r="K49" s="43"/>
      <c r="L49" s="43"/>
      <c r="M49" s="43"/>
      <c r="N49" s="43"/>
      <c r="O49" s="43"/>
      <c r="P49" s="43"/>
      <c r="Q49" s="43"/>
      <c r="R49" s="43"/>
    </row>
    <row r="50" spans="1:18">
      <c r="A50" t="s">
        <v>1021</v>
      </c>
      <c r="B50" t="s">
        <v>1022</v>
      </c>
      <c r="C50"/>
      <c r="D50"/>
      <c r="E50"/>
      <c r="F50"/>
      <c r="G50"/>
      <c r="H50"/>
      <c r="I50" s="43"/>
      <c r="J50" s="43"/>
      <c r="K50" s="43"/>
      <c r="L50" s="43"/>
      <c r="M50" s="43"/>
      <c r="N50" s="43"/>
      <c r="O50" s="43"/>
      <c r="P50" s="43"/>
      <c r="Q50" s="43"/>
      <c r="R50" s="43"/>
    </row>
    <row r="51" spans="1:18">
      <c r="A51" t="s">
        <v>1023</v>
      </c>
      <c r="B51" t="s">
        <v>1024</v>
      </c>
      <c r="C51"/>
      <c r="D51"/>
      <c r="E51"/>
      <c r="F51"/>
      <c r="G51" t="s">
        <v>1030</v>
      </c>
      <c r="H51"/>
      <c r="I51" s="43"/>
      <c r="J51" s="43"/>
      <c r="K51" s="43"/>
      <c r="L51" s="43"/>
      <c r="M51" s="43"/>
      <c r="N51" s="43"/>
      <c r="O51" s="43"/>
      <c r="P51" s="43"/>
      <c r="Q51" s="43"/>
      <c r="R51" s="43"/>
    </row>
    <row r="52" spans="1:18">
      <c r="A52" t="s">
        <v>1025</v>
      </c>
      <c r="B52" t="s">
        <v>1031</v>
      </c>
      <c r="C52"/>
      <c r="D52"/>
      <c r="E52"/>
      <c r="F52"/>
      <c r="G52"/>
      <c r="H52"/>
    </row>
    <row r="53" spans="1:18">
      <c r="A53" t="s">
        <v>1026</v>
      </c>
      <c r="B53" t="s">
        <v>1027</v>
      </c>
      <c r="C53"/>
      <c r="D53"/>
      <c r="E53"/>
      <c r="F53"/>
      <c r="G53"/>
      <c r="H53"/>
    </row>
  </sheetData>
  <mergeCells count="2">
    <mergeCell ref="A1:R1"/>
    <mergeCell ref="Q35:R35"/>
  </mergeCells>
  <phoneticPr fontId="2"/>
  <pageMargins left="0.70866141732283472" right="0.70866141732283472" top="0" bottom="0" header="0.31496062992125984" footer="0.31496062992125984"/>
  <pageSetup paperSize="9" orientation="landscape" r:id="rId1"/>
  <drawing r:id="rId2"/>
  <legacyDrawing r:id="rId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654C1-ECAD-4318-B041-FC18CFC1C25E}">
  <dimension ref="A1:AC51"/>
  <sheetViews>
    <sheetView topLeftCell="A7" zoomScaleNormal="100" workbookViewId="0">
      <selection sqref="A1:R1"/>
    </sheetView>
  </sheetViews>
  <sheetFormatPr defaultColWidth="9" defaultRowHeight="18.75"/>
  <cols>
    <col min="1" max="18" width="6.625" style="40" customWidth="1"/>
    <col min="19" max="19" width="3.625" style="40" customWidth="1"/>
    <col min="20" max="20" width="6.625" style="40" customWidth="1"/>
    <col min="21" max="21" width="3.625" style="40" customWidth="1"/>
    <col min="22" max="37" width="6.625" style="40" customWidth="1"/>
    <col min="38" max="38" width="3.625" style="40" customWidth="1"/>
    <col min="39" max="16384" width="9" style="40"/>
  </cols>
  <sheetData>
    <row r="1" spans="1:29">
      <c r="A1" s="147" t="s">
        <v>985</v>
      </c>
      <c r="B1" s="147"/>
      <c r="C1" s="147"/>
      <c r="D1" s="147"/>
      <c r="E1" s="147"/>
      <c r="F1" s="147"/>
      <c r="G1" s="147"/>
      <c r="H1" s="147"/>
      <c r="I1" s="147"/>
      <c r="J1" s="147"/>
      <c r="K1" s="147"/>
      <c r="L1" s="147"/>
      <c r="M1" s="147"/>
      <c r="N1" s="147"/>
      <c r="O1" s="147"/>
      <c r="P1" s="147"/>
      <c r="Q1" s="147"/>
      <c r="R1" s="147"/>
      <c r="X1" s="40" t="s">
        <v>779</v>
      </c>
    </row>
    <row r="2" spans="1:29" ht="16.5" customHeight="1">
      <c r="A2" s="26" t="s">
        <v>325</v>
      </c>
      <c r="B2" s="27">
        <v>45037</v>
      </c>
      <c r="C2" s="31">
        <v>45038</v>
      </c>
      <c r="D2" s="31">
        <v>45039</v>
      </c>
      <c r="E2" s="27">
        <v>45040</v>
      </c>
      <c r="F2" s="27">
        <v>45041</v>
      </c>
      <c r="G2" s="27">
        <v>45042</v>
      </c>
      <c r="H2" s="27">
        <v>45043</v>
      </c>
      <c r="I2" s="27">
        <v>45044</v>
      </c>
      <c r="J2" s="31">
        <v>45045</v>
      </c>
      <c r="K2" s="31">
        <v>45046</v>
      </c>
      <c r="L2" s="27"/>
      <c r="M2" s="23" t="s">
        <v>354</v>
      </c>
      <c r="N2" s="25">
        <v>45047</v>
      </c>
      <c r="O2" s="25">
        <v>45048</v>
      </c>
      <c r="P2" s="25">
        <v>45049</v>
      </c>
      <c r="Q2" s="25">
        <v>45050</v>
      </c>
      <c r="R2" s="25">
        <v>45051</v>
      </c>
      <c r="V2" s="40" t="s">
        <v>63</v>
      </c>
      <c r="X2" s="40" t="s">
        <v>64</v>
      </c>
      <c r="Z2" s="40" t="s">
        <v>169</v>
      </c>
      <c r="AB2" s="40" t="s">
        <v>874</v>
      </c>
    </row>
    <row r="3" spans="1:29" ht="16.5" customHeight="1">
      <c r="A3" s="28">
        <v>1</v>
      </c>
      <c r="B3" s="19"/>
      <c r="C3" s="19" t="s">
        <v>312</v>
      </c>
      <c r="D3" s="19" t="s">
        <v>516</v>
      </c>
      <c r="E3" s="19"/>
      <c r="F3" s="19"/>
      <c r="G3" s="19"/>
      <c r="H3" s="19"/>
      <c r="I3" s="19"/>
      <c r="J3" s="19" t="s">
        <v>533</v>
      </c>
      <c r="K3" s="19" t="s">
        <v>25</v>
      </c>
      <c r="L3" s="19"/>
      <c r="M3" s="36">
        <v>1</v>
      </c>
      <c r="N3" s="19"/>
      <c r="O3" s="19"/>
      <c r="P3" s="19"/>
      <c r="Q3" s="19"/>
      <c r="R3" s="19"/>
      <c r="V3" s="40" t="s">
        <v>25</v>
      </c>
      <c r="W3" s="40">
        <v>2</v>
      </c>
      <c r="X3" s="40" t="s">
        <v>45</v>
      </c>
      <c r="Y3" s="40">
        <v>2</v>
      </c>
      <c r="Z3" s="40" t="s">
        <v>153</v>
      </c>
      <c r="AA3" s="40">
        <v>6</v>
      </c>
      <c r="AB3" s="40" t="s">
        <v>37</v>
      </c>
      <c r="AC3" s="40">
        <v>1.9</v>
      </c>
    </row>
    <row r="4" spans="1:29" ht="16.5" customHeight="1">
      <c r="A4" s="28">
        <v>2</v>
      </c>
      <c r="B4" s="19"/>
      <c r="C4" s="19" t="s">
        <v>14</v>
      </c>
      <c r="D4" s="19" t="s">
        <v>6</v>
      </c>
      <c r="E4" s="19"/>
      <c r="F4" s="19"/>
      <c r="G4" s="61"/>
      <c r="I4" s="19"/>
      <c r="J4" s="19" t="s">
        <v>314</v>
      </c>
      <c r="K4" s="19" t="s">
        <v>864</v>
      </c>
      <c r="L4" s="19"/>
      <c r="M4" s="36">
        <v>2</v>
      </c>
      <c r="N4" s="19"/>
      <c r="O4" s="19"/>
      <c r="Q4" s="19"/>
      <c r="R4" s="19"/>
      <c r="T4" s="41"/>
      <c r="U4" s="41"/>
      <c r="V4" s="40" t="s">
        <v>2</v>
      </c>
      <c r="W4" s="40">
        <v>2</v>
      </c>
      <c r="X4" s="40" t="s">
        <v>14</v>
      </c>
      <c r="Y4" s="40">
        <v>2</v>
      </c>
      <c r="Z4" s="40" t="s">
        <v>26</v>
      </c>
      <c r="AA4" s="40">
        <v>3</v>
      </c>
      <c r="AB4" s="40" t="s">
        <v>863</v>
      </c>
      <c r="AC4" s="40">
        <v>5</v>
      </c>
    </row>
    <row r="5" spans="1:29" ht="16.5" customHeight="1">
      <c r="A5" s="28">
        <v>3</v>
      </c>
      <c r="B5" s="19"/>
      <c r="C5" s="19" t="s">
        <v>855</v>
      </c>
      <c r="D5" s="19" t="s">
        <v>843</v>
      </c>
      <c r="E5" s="19"/>
      <c r="F5" s="19"/>
      <c r="G5" s="19"/>
      <c r="H5" s="19"/>
      <c r="I5" s="19"/>
      <c r="J5" s="19" t="s">
        <v>855</v>
      </c>
      <c r="K5" s="19" t="s">
        <v>843</v>
      </c>
      <c r="L5" s="19"/>
      <c r="M5" s="36">
        <v>3</v>
      </c>
      <c r="N5" s="19"/>
      <c r="O5" s="19"/>
      <c r="P5" s="19"/>
      <c r="Q5" s="19"/>
      <c r="R5" s="19"/>
      <c r="T5" s="41"/>
      <c r="U5" s="41"/>
      <c r="V5" s="40" t="s">
        <v>516</v>
      </c>
      <c r="W5" s="40">
        <v>2</v>
      </c>
      <c r="X5" s="40" t="s">
        <v>6</v>
      </c>
      <c r="Y5" s="40">
        <v>1</v>
      </c>
      <c r="Z5" s="40" t="s">
        <v>6</v>
      </c>
      <c r="AA5" s="40">
        <v>5</v>
      </c>
      <c r="AB5" s="40" t="s">
        <v>875</v>
      </c>
      <c r="AC5" s="40">
        <v>3.7</v>
      </c>
    </row>
    <row r="6" spans="1:29" ht="16.5" customHeight="1">
      <c r="A6" s="28" t="s">
        <v>20</v>
      </c>
      <c r="B6" s="19" t="s">
        <v>769</v>
      </c>
      <c r="C6" s="19" t="s">
        <v>13</v>
      </c>
      <c r="D6" s="19" t="s">
        <v>13</v>
      </c>
      <c r="E6" s="19" t="s">
        <v>774</v>
      </c>
      <c r="F6" s="19" t="s">
        <v>13</v>
      </c>
      <c r="G6" s="19" t="s">
        <v>13</v>
      </c>
      <c r="H6" s="19" t="s">
        <v>13</v>
      </c>
      <c r="I6" s="19" t="s">
        <v>13</v>
      </c>
      <c r="J6" s="19" t="s">
        <v>13</v>
      </c>
      <c r="K6" s="19" t="s">
        <v>13</v>
      </c>
      <c r="L6" s="19"/>
      <c r="M6" s="36" t="s">
        <v>20</v>
      </c>
      <c r="N6" s="19" t="s">
        <v>312</v>
      </c>
      <c r="O6" s="19" t="s">
        <v>13</v>
      </c>
      <c r="P6" s="19"/>
      <c r="Q6" s="19"/>
      <c r="R6" s="19"/>
      <c r="T6" s="41"/>
      <c r="U6" s="41"/>
      <c r="V6" s="40" t="s">
        <v>7</v>
      </c>
      <c r="W6" s="40">
        <v>2</v>
      </c>
      <c r="X6" s="40" t="s">
        <v>23</v>
      </c>
      <c r="Y6" s="40">
        <v>1</v>
      </c>
      <c r="Z6" s="40" t="s">
        <v>23</v>
      </c>
      <c r="AA6" s="65" t="s">
        <v>930</v>
      </c>
      <c r="AB6" s="40" t="s">
        <v>356</v>
      </c>
      <c r="AC6" s="40" t="s">
        <v>982</v>
      </c>
    </row>
    <row r="7" spans="1:29" ht="16.5" customHeight="1">
      <c r="A7" s="28" t="s">
        <v>0</v>
      </c>
      <c r="B7" s="19" t="s">
        <v>863</v>
      </c>
      <c r="C7" s="19" t="s">
        <v>9</v>
      </c>
      <c r="D7" s="19" t="s">
        <v>13</v>
      </c>
      <c r="E7" s="19" t="s">
        <v>356</v>
      </c>
      <c r="F7" s="19" t="s">
        <v>13</v>
      </c>
      <c r="G7" s="19" t="s">
        <v>13</v>
      </c>
      <c r="H7" s="19" t="s">
        <v>13</v>
      </c>
      <c r="I7" s="19" t="s">
        <v>13</v>
      </c>
      <c r="J7" s="19" t="s">
        <v>9</v>
      </c>
      <c r="K7" s="19" t="s">
        <v>13</v>
      </c>
      <c r="L7" s="19"/>
      <c r="M7" s="36" t="s">
        <v>0</v>
      </c>
      <c r="N7" s="19" t="s">
        <v>37</v>
      </c>
      <c r="O7" s="19" t="s">
        <v>13</v>
      </c>
      <c r="P7" s="19"/>
      <c r="Q7" s="19"/>
      <c r="R7" s="19"/>
      <c r="T7" s="41"/>
      <c r="U7" s="41"/>
      <c r="V7" s="40" t="s">
        <v>21</v>
      </c>
      <c r="W7" s="40">
        <v>2</v>
      </c>
      <c r="X7" s="40" t="s">
        <v>153</v>
      </c>
      <c r="Y7" s="40">
        <v>2</v>
      </c>
      <c r="Z7" s="40" t="s">
        <v>25</v>
      </c>
      <c r="AA7" s="40">
        <v>7</v>
      </c>
    </row>
    <row r="8" spans="1:29" ht="16.5" customHeight="1">
      <c r="A8" s="28" t="s">
        <v>1</v>
      </c>
      <c r="B8" s="19"/>
      <c r="C8" s="19"/>
      <c r="D8" s="19"/>
      <c r="E8" s="19"/>
      <c r="F8" s="19"/>
      <c r="G8" s="19"/>
      <c r="H8" s="19"/>
      <c r="I8" s="19"/>
      <c r="J8" s="19"/>
      <c r="K8" s="19"/>
      <c r="L8" s="19"/>
      <c r="M8" s="36" t="s">
        <v>1</v>
      </c>
      <c r="N8" s="19"/>
      <c r="O8" s="19"/>
      <c r="P8" s="19"/>
      <c r="Q8" s="19"/>
      <c r="R8" s="19"/>
      <c r="T8" s="41"/>
      <c r="V8" s="40" t="s">
        <v>26</v>
      </c>
      <c r="W8" s="40">
        <v>2</v>
      </c>
      <c r="X8" s="40" t="s">
        <v>327</v>
      </c>
      <c r="Y8" s="40">
        <v>2</v>
      </c>
      <c r="Z8" s="40" t="s">
        <v>327</v>
      </c>
      <c r="AA8" s="64">
        <v>2</v>
      </c>
    </row>
    <row r="9" spans="1:29" ht="16.5" customHeight="1">
      <c r="A9" s="28" t="s">
        <v>366</v>
      </c>
      <c r="B9" s="19"/>
      <c r="C9" s="19"/>
      <c r="D9" s="19"/>
      <c r="E9" s="19"/>
      <c r="F9" s="19"/>
      <c r="G9" s="19"/>
      <c r="H9" s="19"/>
      <c r="I9" s="19"/>
      <c r="J9" s="19"/>
      <c r="K9" s="19"/>
      <c r="L9" s="19"/>
      <c r="M9" s="36" t="s">
        <v>366</v>
      </c>
      <c r="N9" s="19"/>
      <c r="O9" s="19"/>
      <c r="P9" s="19"/>
      <c r="Q9" s="19"/>
      <c r="R9" s="19"/>
      <c r="T9" s="41"/>
      <c r="V9" s="40" t="s">
        <v>27</v>
      </c>
      <c r="W9" s="40">
        <v>2</v>
      </c>
      <c r="X9" s="40" t="s">
        <v>28</v>
      </c>
      <c r="Y9" s="40">
        <v>2</v>
      </c>
      <c r="Z9" s="40" t="s">
        <v>516</v>
      </c>
      <c r="AA9" s="40">
        <v>4</v>
      </c>
    </row>
    <row r="10" spans="1:29" ht="16.5" customHeight="1">
      <c r="A10" s="23" t="s">
        <v>354</v>
      </c>
      <c r="B10" s="30">
        <v>45052</v>
      </c>
      <c r="C10" s="30">
        <v>45053</v>
      </c>
      <c r="D10" s="25">
        <v>45054</v>
      </c>
      <c r="E10" s="25">
        <v>45055</v>
      </c>
      <c r="F10" s="25">
        <v>45056</v>
      </c>
      <c r="G10" s="25">
        <v>45057</v>
      </c>
      <c r="H10" s="25">
        <v>45058</v>
      </c>
      <c r="I10" s="30">
        <v>45059</v>
      </c>
      <c r="J10" s="30">
        <v>45060</v>
      </c>
      <c r="K10" s="25">
        <v>45061</v>
      </c>
      <c r="L10" s="25">
        <v>45062</v>
      </c>
      <c r="M10" s="25">
        <v>45063</v>
      </c>
      <c r="N10" s="25">
        <v>45064</v>
      </c>
      <c r="O10" s="25">
        <v>45065</v>
      </c>
      <c r="P10" s="30">
        <v>45066</v>
      </c>
      <c r="Q10" s="19"/>
      <c r="R10" s="19"/>
      <c r="T10" s="41"/>
      <c r="V10" s="40" t="s">
        <v>533</v>
      </c>
      <c r="W10" s="40">
        <v>2</v>
      </c>
      <c r="X10" s="40" t="s">
        <v>152</v>
      </c>
      <c r="Y10" s="40">
        <v>2</v>
      </c>
      <c r="Z10" s="40" t="s">
        <v>864</v>
      </c>
      <c r="AA10" s="40">
        <v>8</v>
      </c>
    </row>
    <row r="11" spans="1:29" ht="16.5" customHeight="1">
      <c r="A11" s="36">
        <v>1</v>
      </c>
      <c r="B11" s="19"/>
      <c r="C11" s="19"/>
      <c r="D11" s="19"/>
      <c r="E11" s="19"/>
      <c r="F11" s="19"/>
      <c r="G11" s="19"/>
      <c r="H11" s="19"/>
      <c r="I11" s="19" t="s">
        <v>107</v>
      </c>
      <c r="J11" s="19" t="s">
        <v>2</v>
      </c>
      <c r="K11" s="19"/>
      <c r="L11" s="19"/>
      <c r="N11" s="19"/>
      <c r="O11" s="19"/>
      <c r="P11" s="19" t="s">
        <v>7</v>
      </c>
      <c r="Q11" s="19"/>
      <c r="R11" s="19"/>
      <c r="T11" s="41"/>
      <c r="X11" s="40" t="s">
        <v>864</v>
      </c>
      <c r="Y11" s="40">
        <v>2</v>
      </c>
    </row>
    <row r="12" spans="1:29" ht="16.5" customHeight="1">
      <c r="A12" s="36">
        <v>2</v>
      </c>
      <c r="B12" s="19"/>
      <c r="C12" s="19"/>
      <c r="D12" s="19"/>
      <c r="E12" s="19"/>
      <c r="F12" s="19"/>
      <c r="G12" s="19"/>
      <c r="H12" s="19"/>
      <c r="I12" s="19" t="s">
        <v>313</v>
      </c>
      <c r="J12" s="19" t="s">
        <v>769</v>
      </c>
      <c r="K12" s="19"/>
      <c r="L12" s="19"/>
      <c r="M12" s="19"/>
      <c r="N12" s="19"/>
      <c r="O12" s="19"/>
      <c r="P12" s="19" t="s">
        <v>93</v>
      </c>
      <c r="Q12" s="19"/>
      <c r="R12" s="19"/>
      <c r="T12" s="41"/>
    </row>
    <row r="13" spans="1:29" ht="16.5" customHeight="1">
      <c r="A13" s="36">
        <v>3</v>
      </c>
      <c r="B13" s="19"/>
      <c r="C13" s="19"/>
      <c r="D13" s="19"/>
      <c r="E13" s="19"/>
      <c r="F13" s="19"/>
      <c r="G13" s="19"/>
      <c r="H13" s="19"/>
      <c r="I13" s="19" t="s">
        <v>855</v>
      </c>
      <c r="J13" s="19" t="s">
        <v>843</v>
      </c>
      <c r="K13" s="19"/>
      <c r="L13" s="19"/>
      <c r="M13" s="19"/>
      <c r="N13" s="19"/>
      <c r="O13" s="19"/>
      <c r="P13" s="19" t="s">
        <v>855</v>
      </c>
      <c r="Q13" s="19"/>
      <c r="R13" s="19"/>
      <c r="T13" s="41"/>
    </row>
    <row r="14" spans="1:29" ht="16.5" customHeight="1">
      <c r="A14" s="36" t="s">
        <v>20</v>
      </c>
      <c r="B14" s="19"/>
      <c r="C14" s="19"/>
      <c r="D14" s="19" t="s">
        <v>312</v>
      </c>
      <c r="E14" s="19" t="s">
        <v>13</v>
      </c>
      <c r="F14" s="19" t="s">
        <v>13</v>
      </c>
      <c r="G14" s="19" t="s">
        <v>13</v>
      </c>
      <c r="H14" s="19" t="s">
        <v>13</v>
      </c>
      <c r="I14" s="19" t="s">
        <v>13</v>
      </c>
      <c r="J14" s="19" t="s">
        <v>13</v>
      </c>
      <c r="K14" s="19" t="s">
        <v>516</v>
      </c>
      <c r="L14" s="19" t="s">
        <v>13</v>
      </c>
      <c r="M14" s="19" t="s">
        <v>13</v>
      </c>
      <c r="N14" s="19" t="s">
        <v>13</v>
      </c>
      <c r="O14" s="19" t="s">
        <v>13</v>
      </c>
      <c r="P14" s="19" t="s">
        <v>13</v>
      </c>
      <c r="Q14" s="19"/>
      <c r="R14" s="19"/>
      <c r="T14" s="41"/>
    </row>
    <row r="15" spans="1:29" ht="16.5" customHeight="1">
      <c r="A15" s="36" t="s">
        <v>0</v>
      </c>
      <c r="B15" s="19"/>
      <c r="C15" s="19"/>
      <c r="D15" s="19" t="s">
        <v>875</v>
      </c>
      <c r="E15" s="19" t="s">
        <v>13</v>
      </c>
      <c r="F15" s="19" t="s">
        <v>13</v>
      </c>
      <c r="G15" s="19" t="s">
        <v>13</v>
      </c>
      <c r="H15" s="19" t="s">
        <v>13</v>
      </c>
      <c r="I15" s="19" t="s">
        <v>9</v>
      </c>
      <c r="J15" s="19" t="s">
        <v>13</v>
      </c>
      <c r="K15" s="19" t="s">
        <v>356</v>
      </c>
      <c r="L15" s="19" t="s">
        <v>13</v>
      </c>
      <c r="M15" s="19" t="s">
        <v>13</v>
      </c>
      <c r="N15" s="19" t="s">
        <v>13</v>
      </c>
      <c r="O15" s="19" t="s">
        <v>13</v>
      </c>
      <c r="P15" s="19" t="s">
        <v>9</v>
      </c>
      <c r="Q15" s="19"/>
      <c r="R15" s="19"/>
      <c r="T15" s="41"/>
      <c r="V15" s="40" t="s">
        <v>696</v>
      </c>
      <c r="W15" s="40">
        <f>SUM(W2:W14)</f>
        <v>16</v>
      </c>
      <c r="Y15" s="40">
        <f>SUM(Y2:Y14)</f>
        <v>16</v>
      </c>
    </row>
    <row r="16" spans="1:29" ht="16.5" customHeight="1">
      <c r="A16" s="36" t="s">
        <v>1</v>
      </c>
      <c r="B16" s="19"/>
      <c r="C16" s="19"/>
      <c r="D16" s="19"/>
      <c r="E16" s="19"/>
      <c r="F16" s="19"/>
      <c r="G16" s="19"/>
      <c r="H16" s="19"/>
      <c r="I16" s="19"/>
      <c r="J16" s="19"/>
      <c r="K16" s="19"/>
      <c r="L16" s="19"/>
      <c r="M16" s="19"/>
      <c r="N16" s="19"/>
      <c r="O16" s="19"/>
      <c r="P16" s="19"/>
      <c r="Q16" s="19"/>
      <c r="R16" s="19"/>
      <c r="T16" s="41"/>
    </row>
    <row r="17" spans="1:29" ht="16.5" customHeight="1">
      <c r="A17" s="36" t="s">
        <v>366</v>
      </c>
      <c r="B17" s="19"/>
      <c r="C17" s="19"/>
      <c r="D17" s="19"/>
      <c r="E17" s="19"/>
      <c r="F17" s="19"/>
      <c r="G17" s="19"/>
      <c r="H17" s="19"/>
      <c r="I17" s="19"/>
      <c r="J17" s="19"/>
      <c r="K17" s="19"/>
      <c r="L17" s="19"/>
      <c r="M17" s="19"/>
      <c r="N17" s="19"/>
      <c r="O17" s="19"/>
      <c r="P17" s="19"/>
      <c r="Q17" s="19"/>
      <c r="R17" s="19"/>
      <c r="T17" s="41"/>
    </row>
    <row r="18" spans="1:29" ht="11.25" customHeight="1">
      <c r="A18" s="42"/>
      <c r="B18" s="37"/>
      <c r="C18" s="37"/>
      <c r="D18" s="37"/>
      <c r="E18" s="37"/>
      <c r="F18" s="37"/>
      <c r="G18" s="37"/>
      <c r="H18" s="38"/>
      <c r="I18" s="38"/>
      <c r="J18" s="38"/>
      <c r="K18" s="38"/>
      <c r="L18" s="38"/>
      <c r="M18" s="38"/>
      <c r="N18" s="38"/>
      <c r="O18" s="38"/>
      <c r="P18" s="37"/>
      <c r="Q18" s="37"/>
      <c r="R18" s="39"/>
      <c r="T18" s="41"/>
      <c r="X18" s="40" t="s">
        <v>116</v>
      </c>
    </row>
    <row r="19" spans="1:29" ht="16.5" customHeight="1">
      <c r="A19" s="23" t="s">
        <v>354</v>
      </c>
      <c r="B19" s="30">
        <v>45067</v>
      </c>
      <c r="C19" s="25">
        <v>45068</v>
      </c>
      <c r="D19" s="25">
        <v>45069</v>
      </c>
      <c r="E19" s="25">
        <v>45070</v>
      </c>
      <c r="F19" s="25">
        <v>45071</v>
      </c>
      <c r="G19" s="25">
        <v>45072</v>
      </c>
      <c r="H19" s="30">
        <v>45073</v>
      </c>
      <c r="I19" s="30">
        <v>45074</v>
      </c>
      <c r="J19" s="25">
        <v>45075</v>
      </c>
      <c r="K19" s="25">
        <v>45076</v>
      </c>
      <c r="L19" s="25">
        <v>45077</v>
      </c>
      <c r="M19" s="26" t="s">
        <v>355</v>
      </c>
      <c r="N19" s="27">
        <v>45078</v>
      </c>
      <c r="O19" s="27">
        <v>45079</v>
      </c>
      <c r="P19" s="31">
        <v>45080</v>
      </c>
      <c r="Q19" s="31">
        <v>45081</v>
      </c>
      <c r="R19" s="27">
        <v>45082</v>
      </c>
      <c r="T19" s="41"/>
      <c r="V19" s="40" t="s">
        <v>63</v>
      </c>
      <c r="X19" s="40" t="s">
        <v>64</v>
      </c>
      <c r="Z19" s="40" t="s">
        <v>169</v>
      </c>
      <c r="AB19" s="40" t="s">
        <v>874</v>
      </c>
    </row>
    <row r="20" spans="1:29" ht="16.5" customHeight="1">
      <c r="A20" s="36">
        <v>1</v>
      </c>
      <c r="B20" s="19" t="s">
        <v>315</v>
      </c>
      <c r="C20" s="19"/>
      <c r="D20" s="19"/>
      <c r="E20" s="19"/>
      <c r="F20" s="19"/>
      <c r="G20" s="19"/>
      <c r="H20" s="19" t="s">
        <v>25</v>
      </c>
      <c r="I20" s="19" t="s">
        <v>312</v>
      </c>
      <c r="J20" s="19"/>
      <c r="K20" s="19"/>
      <c r="L20" s="19"/>
      <c r="M20" s="28">
        <v>1</v>
      </c>
      <c r="N20" s="19"/>
      <c r="O20" s="19"/>
      <c r="P20" s="19" t="s">
        <v>107</v>
      </c>
      <c r="Q20" s="19" t="s">
        <v>533</v>
      </c>
      <c r="R20" s="19"/>
      <c r="T20" s="41"/>
      <c r="V20" s="40" t="s">
        <v>25</v>
      </c>
      <c r="W20" s="40">
        <v>2</v>
      </c>
      <c r="X20" s="40" t="s">
        <v>45</v>
      </c>
      <c r="Y20" s="40">
        <v>1</v>
      </c>
      <c r="Z20" s="40" t="s">
        <v>153</v>
      </c>
      <c r="AA20" s="40">
        <v>7</v>
      </c>
      <c r="AB20" s="40" t="s">
        <v>37</v>
      </c>
      <c r="AC20" s="40">
        <v>3.9</v>
      </c>
    </row>
    <row r="21" spans="1:29" ht="16.5" customHeight="1">
      <c r="A21" s="36">
        <v>2</v>
      </c>
      <c r="B21" s="19" t="s">
        <v>153</v>
      </c>
      <c r="C21" s="19"/>
      <c r="D21" s="19"/>
      <c r="F21" s="19"/>
      <c r="G21" s="19"/>
      <c r="H21" s="19" t="s">
        <v>14</v>
      </c>
      <c r="I21" s="19" t="s">
        <v>774</v>
      </c>
      <c r="J21" s="19"/>
      <c r="K21" s="19"/>
      <c r="L21" s="61"/>
      <c r="M21" s="28">
        <v>2</v>
      </c>
      <c r="N21" s="19"/>
      <c r="O21" s="19"/>
      <c r="P21" s="19" t="s">
        <v>864</v>
      </c>
      <c r="Q21" s="19" t="s">
        <v>314</v>
      </c>
      <c r="R21" s="19"/>
      <c r="T21" s="41"/>
      <c r="V21" s="40" t="s">
        <v>2</v>
      </c>
      <c r="W21" s="40">
        <v>2</v>
      </c>
      <c r="X21" s="40" t="s">
        <v>14</v>
      </c>
      <c r="Y21" s="40">
        <v>2</v>
      </c>
      <c r="Z21" s="40" t="s">
        <v>26</v>
      </c>
      <c r="AA21" s="40">
        <v>3.4</v>
      </c>
      <c r="AB21" s="40" t="s">
        <v>863</v>
      </c>
      <c r="AC21" s="40">
        <v>1.6</v>
      </c>
    </row>
    <row r="22" spans="1:29" ht="16.5" customHeight="1">
      <c r="A22" s="36">
        <v>3</v>
      </c>
      <c r="B22" s="19" t="s">
        <v>843</v>
      </c>
      <c r="C22" s="19"/>
      <c r="D22" s="19"/>
      <c r="E22" s="19"/>
      <c r="F22" s="19"/>
      <c r="G22" s="19"/>
      <c r="H22" s="19" t="s">
        <v>855</v>
      </c>
      <c r="I22" s="19" t="s">
        <v>843</v>
      </c>
      <c r="J22" s="19"/>
      <c r="K22" s="19"/>
      <c r="L22" s="19"/>
      <c r="M22" s="28">
        <v>3</v>
      </c>
      <c r="N22" s="19"/>
      <c r="O22" s="19"/>
      <c r="P22" s="19" t="s">
        <v>855</v>
      </c>
      <c r="Q22" s="19" t="s">
        <v>843</v>
      </c>
      <c r="R22" s="19"/>
      <c r="T22" s="41"/>
      <c r="V22" s="40" t="s">
        <v>516</v>
      </c>
      <c r="W22" s="40">
        <v>2</v>
      </c>
      <c r="X22" s="40" t="s">
        <v>6</v>
      </c>
      <c r="Y22" s="40">
        <v>2</v>
      </c>
      <c r="Z22" s="40" t="s">
        <v>6</v>
      </c>
      <c r="AA22" s="40">
        <v>6</v>
      </c>
      <c r="AB22" s="40" t="s">
        <v>875</v>
      </c>
      <c r="AC22" s="40">
        <v>4.8</v>
      </c>
    </row>
    <row r="23" spans="1:29" ht="16.5" customHeight="1">
      <c r="A23" s="36" t="s">
        <v>20</v>
      </c>
      <c r="B23" s="19" t="s">
        <v>516</v>
      </c>
      <c r="C23" s="19" t="s">
        <v>6</v>
      </c>
      <c r="D23" s="19" t="s">
        <v>13</v>
      </c>
      <c r="E23" s="19" t="s">
        <v>13</v>
      </c>
      <c r="F23" s="19" t="s">
        <v>13</v>
      </c>
      <c r="G23" s="19" t="s">
        <v>13</v>
      </c>
      <c r="H23" s="19" t="s">
        <v>13</v>
      </c>
      <c r="I23" s="19" t="s">
        <v>13</v>
      </c>
      <c r="J23" s="19" t="s">
        <v>153</v>
      </c>
      <c r="K23" s="19" t="s">
        <v>13</v>
      </c>
      <c r="L23" s="19" t="s">
        <v>13</v>
      </c>
      <c r="M23" s="28" t="s">
        <v>20</v>
      </c>
      <c r="N23" s="19" t="s">
        <v>153</v>
      </c>
      <c r="O23" s="19" t="s">
        <v>13</v>
      </c>
      <c r="P23" s="19" t="s">
        <v>13</v>
      </c>
      <c r="Q23" s="19" t="s">
        <v>13</v>
      </c>
      <c r="R23" s="19" t="s">
        <v>25</v>
      </c>
      <c r="T23" s="41"/>
      <c r="V23" s="40" t="s">
        <v>7</v>
      </c>
      <c r="W23" s="40">
        <v>2</v>
      </c>
      <c r="X23" s="40" t="s">
        <v>23</v>
      </c>
      <c r="Y23" s="40">
        <v>2</v>
      </c>
      <c r="Z23" s="40" t="s">
        <v>23</v>
      </c>
      <c r="AA23" s="68" t="s">
        <v>995</v>
      </c>
      <c r="AB23" s="40" t="s">
        <v>356</v>
      </c>
      <c r="AC23" s="40" t="s">
        <v>996</v>
      </c>
    </row>
    <row r="24" spans="1:29" ht="16.5" customHeight="1">
      <c r="A24" s="36" t="s">
        <v>0</v>
      </c>
      <c r="B24" s="19" t="s">
        <v>9</v>
      </c>
      <c r="C24" s="19" t="s">
        <v>863</v>
      </c>
      <c r="D24" s="19" t="s">
        <v>13</v>
      </c>
      <c r="E24" s="19" t="s">
        <v>13</v>
      </c>
      <c r="F24" s="19" t="s">
        <v>13</v>
      </c>
      <c r="G24" s="19" t="s">
        <v>13</v>
      </c>
      <c r="H24" s="19" t="s">
        <v>9</v>
      </c>
      <c r="I24" s="19" t="s">
        <v>13</v>
      </c>
      <c r="J24" s="19" t="s">
        <v>356</v>
      </c>
      <c r="K24" s="19" t="s">
        <v>13</v>
      </c>
      <c r="L24" s="19" t="s">
        <v>13</v>
      </c>
      <c r="M24" s="28" t="s">
        <v>0</v>
      </c>
      <c r="N24" s="19" t="s">
        <v>356</v>
      </c>
      <c r="O24" s="19" t="s">
        <v>13</v>
      </c>
      <c r="P24" s="19" t="s">
        <v>9</v>
      </c>
      <c r="Q24" s="19" t="s">
        <v>13</v>
      </c>
      <c r="R24" s="19" t="s">
        <v>875</v>
      </c>
      <c r="T24" s="41"/>
      <c r="V24" s="40" t="s">
        <v>21</v>
      </c>
      <c r="W24" s="40">
        <v>2</v>
      </c>
      <c r="X24" s="40" t="s">
        <v>153</v>
      </c>
      <c r="Y24" s="40">
        <v>2</v>
      </c>
      <c r="Z24" s="40" t="s">
        <v>25</v>
      </c>
      <c r="AA24" s="40">
        <v>8</v>
      </c>
    </row>
    <row r="25" spans="1:29" ht="16.5" customHeight="1">
      <c r="A25" s="36" t="s">
        <v>1</v>
      </c>
      <c r="B25" s="19"/>
      <c r="C25" s="19"/>
      <c r="D25" s="19"/>
      <c r="E25" s="19"/>
      <c r="F25" s="19"/>
      <c r="G25" s="19"/>
      <c r="H25" s="19"/>
      <c r="I25" s="19"/>
      <c r="J25" s="19"/>
      <c r="K25" s="19"/>
      <c r="L25" s="19"/>
      <c r="M25" s="28" t="s">
        <v>1</v>
      </c>
      <c r="N25" s="19"/>
      <c r="O25" s="19"/>
      <c r="P25" s="19"/>
      <c r="Q25" s="19"/>
      <c r="R25" s="19"/>
      <c r="T25" s="41"/>
      <c r="V25" s="40" t="s">
        <v>26</v>
      </c>
      <c r="W25" s="40">
        <v>2</v>
      </c>
      <c r="X25" s="40" t="s">
        <v>327</v>
      </c>
      <c r="Y25" s="40">
        <v>1</v>
      </c>
      <c r="Z25" s="40" t="s">
        <v>327</v>
      </c>
      <c r="AA25" s="64">
        <v>2</v>
      </c>
    </row>
    <row r="26" spans="1:29" ht="16.5" customHeight="1">
      <c r="A26" s="36" t="s">
        <v>366</v>
      </c>
      <c r="B26" s="19"/>
      <c r="C26" s="19"/>
      <c r="D26" s="19"/>
      <c r="E26" s="19"/>
      <c r="F26" s="19"/>
      <c r="G26" s="19"/>
      <c r="H26" s="19"/>
      <c r="I26" s="19"/>
      <c r="J26" s="19"/>
      <c r="K26" s="19"/>
      <c r="L26" s="19"/>
      <c r="M26" s="28" t="s">
        <v>366</v>
      </c>
      <c r="N26" s="19"/>
      <c r="O26" s="19"/>
      <c r="P26" s="19"/>
      <c r="Q26" s="19"/>
      <c r="R26" s="19"/>
      <c r="T26" s="41"/>
      <c r="V26" s="40" t="s">
        <v>27</v>
      </c>
      <c r="W26" s="40">
        <v>2</v>
      </c>
      <c r="X26" s="40" t="s">
        <v>28</v>
      </c>
      <c r="Y26" s="40">
        <v>2</v>
      </c>
      <c r="Z26" s="40" t="s">
        <v>516</v>
      </c>
      <c r="AA26" s="40">
        <v>5</v>
      </c>
    </row>
    <row r="27" spans="1:29" ht="16.5" customHeight="1">
      <c r="A27" s="26" t="s">
        <v>355</v>
      </c>
      <c r="B27" s="27">
        <v>45083</v>
      </c>
      <c r="C27" s="27">
        <v>45084</v>
      </c>
      <c r="D27" s="27">
        <v>45085</v>
      </c>
      <c r="E27" s="27">
        <v>45086</v>
      </c>
      <c r="F27" s="31">
        <v>45087</v>
      </c>
      <c r="G27" s="31">
        <v>45088</v>
      </c>
      <c r="H27" s="27">
        <v>45089</v>
      </c>
      <c r="I27" s="27">
        <v>45090</v>
      </c>
      <c r="J27" s="27">
        <v>45091</v>
      </c>
      <c r="K27" s="27">
        <v>45092</v>
      </c>
      <c r="L27" s="27">
        <v>45093</v>
      </c>
      <c r="M27" s="31">
        <v>45094</v>
      </c>
      <c r="N27" s="31">
        <v>45095</v>
      </c>
      <c r="O27" s="27">
        <v>45096</v>
      </c>
      <c r="P27" s="27">
        <v>45097</v>
      </c>
      <c r="Q27" s="19"/>
      <c r="R27" s="19"/>
      <c r="T27" s="41"/>
      <c r="V27" s="40" t="s">
        <v>533</v>
      </c>
      <c r="W27" s="40">
        <v>2</v>
      </c>
      <c r="X27" s="40" t="s">
        <v>152</v>
      </c>
      <c r="Y27" s="40">
        <v>2</v>
      </c>
      <c r="Z27" s="40" t="s">
        <v>864</v>
      </c>
      <c r="AA27" s="40">
        <v>9</v>
      </c>
    </row>
    <row r="28" spans="1:29" ht="16.5" customHeight="1">
      <c r="A28" s="28">
        <v>1</v>
      </c>
      <c r="B28" s="19"/>
      <c r="C28" s="19"/>
      <c r="D28" s="19"/>
      <c r="E28" s="19"/>
      <c r="F28" s="19" t="s">
        <v>2</v>
      </c>
      <c r="G28" s="19" t="s">
        <v>516</v>
      </c>
      <c r="H28" s="19"/>
      <c r="I28" s="19"/>
      <c r="J28" s="19"/>
      <c r="K28" s="19"/>
      <c r="L28" s="19"/>
      <c r="M28" s="19" t="s">
        <v>315</v>
      </c>
      <c r="N28" s="19" t="s">
        <v>7</v>
      </c>
      <c r="O28" s="19"/>
      <c r="P28" s="19"/>
      <c r="Q28" s="19"/>
      <c r="R28" s="19"/>
      <c r="T28" s="41"/>
      <c r="X28" s="40" t="s">
        <v>864</v>
      </c>
      <c r="Y28" s="40">
        <v>2</v>
      </c>
    </row>
    <row r="29" spans="1:29" ht="16.5" customHeight="1">
      <c r="A29" s="28">
        <v>2</v>
      </c>
      <c r="B29" s="19"/>
      <c r="C29" s="19"/>
      <c r="D29" s="19"/>
      <c r="E29" s="19"/>
      <c r="F29" s="19" t="s">
        <v>6</v>
      </c>
      <c r="G29" s="19" t="s">
        <v>769</v>
      </c>
      <c r="H29" s="19"/>
      <c r="I29" s="19"/>
      <c r="J29" s="19"/>
      <c r="K29" s="19"/>
      <c r="L29" s="19"/>
      <c r="M29" s="19" t="s">
        <v>313</v>
      </c>
      <c r="N29" s="19" t="s">
        <v>153</v>
      </c>
      <c r="O29" s="19"/>
      <c r="P29" s="19"/>
      <c r="Q29" s="19"/>
      <c r="R29" s="19"/>
      <c r="T29" s="41"/>
    </row>
    <row r="30" spans="1:29" ht="16.5" customHeight="1">
      <c r="A30" s="28">
        <v>3</v>
      </c>
      <c r="B30" s="19"/>
      <c r="C30" s="19"/>
      <c r="D30" s="19"/>
      <c r="E30" s="19"/>
      <c r="F30" s="19" t="s">
        <v>855</v>
      </c>
      <c r="G30" s="19" t="s">
        <v>843</v>
      </c>
      <c r="H30" s="19"/>
      <c r="I30" s="19"/>
      <c r="J30" s="19"/>
      <c r="K30" s="19"/>
      <c r="L30" s="19"/>
      <c r="M30" s="19" t="s">
        <v>855</v>
      </c>
      <c r="N30" s="19" t="s">
        <v>843</v>
      </c>
      <c r="O30" s="19"/>
      <c r="P30" s="19"/>
      <c r="Q30" s="19"/>
      <c r="R30" s="19"/>
      <c r="T30" s="41"/>
    </row>
    <row r="31" spans="1:29" ht="16.5" customHeight="1">
      <c r="A31" s="28" t="s">
        <v>20</v>
      </c>
      <c r="B31" s="19" t="s">
        <v>25</v>
      </c>
      <c r="C31" s="19" t="s">
        <v>13</v>
      </c>
      <c r="D31" s="19" t="s">
        <v>13</v>
      </c>
      <c r="E31" s="19" t="s">
        <v>13</v>
      </c>
      <c r="F31" s="19" t="s">
        <v>13</v>
      </c>
      <c r="G31" s="19" t="s">
        <v>13</v>
      </c>
      <c r="H31" s="19" t="s">
        <v>864</v>
      </c>
      <c r="I31" s="19" t="s">
        <v>13</v>
      </c>
      <c r="J31" s="19" t="s">
        <v>13</v>
      </c>
      <c r="K31" s="19" t="s">
        <v>13</v>
      </c>
      <c r="L31" s="19" t="s">
        <v>13</v>
      </c>
      <c r="M31" s="19" t="s">
        <v>13</v>
      </c>
      <c r="N31" s="19" t="s">
        <v>13</v>
      </c>
      <c r="O31" s="19" t="s">
        <v>769</v>
      </c>
      <c r="P31" s="19" t="s">
        <v>13</v>
      </c>
      <c r="Q31" s="19"/>
      <c r="R31" s="19"/>
      <c r="T31" s="41"/>
    </row>
    <row r="32" spans="1:29" ht="16.5" customHeight="1">
      <c r="A32" s="28" t="s">
        <v>0</v>
      </c>
      <c r="B32" s="19" t="s">
        <v>875</v>
      </c>
      <c r="C32" s="19" t="s">
        <v>13</v>
      </c>
      <c r="D32" s="19" t="s">
        <v>13</v>
      </c>
      <c r="E32" s="19" t="s">
        <v>13</v>
      </c>
      <c r="F32" s="19" t="s">
        <v>9</v>
      </c>
      <c r="G32" s="19" t="s">
        <v>13</v>
      </c>
      <c r="H32" s="19" t="s">
        <v>37</v>
      </c>
      <c r="I32" s="19" t="s">
        <v>13</v>
      </c>
      <c r="J32" s="19" t="s">
        <v>13</v>
      </c>
      <c r="K32" s="19" t="s">
        <v>13</v>
      </c>
      <c r="L32" s="19" t="s">
        <v>13</v>
      </c>
      <c r="M32" s="19" t="s">
        <v>9</v>
      </c>
      <c r="N32" s="19" t="s">
        <v>13</v>
      </c>
      <c r="O32" s="19" t="s">
        <v>356</v>
      </c>
      <c r="P32" s="19" t="s">
        <v>13</v>
      </c>
      <c r="Q32" s="19"/>
      <c r="R32" s="19"/>
      <c r="T32" s="41"/>
      <c r="V32" s="40" t="s">
        <v>696</v>
      </c>
      <c r="W32" s="40">
        <f>SUM(W19:W31)</f>
        <v>16</v>
      </c>
      <c r="Y32" s="40">
        <f>SUM(Y19:Y31)</f>
        <v>16</v>
      </c>
    </row>
    <row r="33" spans="1:20" ht="16.5" customHeight="1">
      <c r="A33" s="28" t="s">
        <v>1</v>
      </c>
      <c r="B33" s="19"/>
      <c r="C33" s="19"/>
      <c r="D33" s="19"/>
      <c r="E33" s="19"/>
      <c r="F33" s="19"/>
      <c r="G33" s="19"/>
      <c r="H33" s="19"/>
      <c r="I33" s="19"/>
      <c r="J33" s="19"/>
      <c r="K33" s="19"/>
      <c r="L33" s="19"/>
      <c r="M33" s="19"/>
      <c r="N33" s="19"/>
      <c r="O33" s="19"/>
      <c r="P33" s="19"/>
      <c r="Q33" s="19"/>
      <c r="R33" s="19"/>
    </row>
    <row r="34" spans="1:20" ht="16.5" customHeight="1">
      <c r="A34" s="28" t="s">
        <v>366</v>
      </c>
      <c r="B34" s="19"/>
      <c r="C34" s="19"/>
      <c r="D34" s="19"/>
      <c r="E34" s="19"/>
      <c r="F34" s="19"/>
      <c r="G34" s="19"/>
      <c r="H34" s="19"/>
      <c r="I34" s="19"/>
      <c r="J34" s="19"/>
      <c r="K34" s="19"/>
      <c r="L34" s="19"/>
      <c r="M34" s="19"/>
      <c r="N34" s="19"/>
      <c r="O34" s="19"/>
      <c r="P34" s="19"/>
      <c r="Q34" s="19"/>
      <c r="R34" s="19"/>
    </row>
    <row r="35" spans="1:20" ht="12.75" customHeight="1">
      <c r="Q35" s="145" t="s">
        <v>82</v>
      </c>
      <c r="R35" s="145"/>
      <c r="T35" s="41"/>
    </row>
    <row r="36" spans="1:20">
      <c r="A36" s="40" t="s">
        <v>322</v>
      </c>
      <c r="B36" s="49"/>
      <c r="C36" s="49"/>
      <c r="D36" s="49"/>
      <c r="E36" s="49"/>
      <c r="F36" s="49"/>
      <c r="G36" s="49"/>
      <c r="H36" s="55"/>
      <c r="I36" s="49"/>
      <c r="J36" s="49"/>
      <c r="K36" s="49"/>
      <c r="L36" s="49"/>
      <c r="M36" s="49"/>
      <c r="N36" s="49"/>
      <c r="O36" s="49"/>
      <c r="T36" s="41"/>
    </row>
    <row r="37" spans="1:20">
      <c r="A37" s="43" t="s">
        <v>153</v>
      </c>
      <c r="B37" s="56" t="s">
        <v>994</v>
      </c>
      <c r="C37" s="55"/>
      <c r="D37" s="55"/>
      <c r="E37" s="55"/>
      <c r="F37" s="55"/>
      <c r="G37" s="55"/>
      <c r="H37" s="55"/>
      <c r="I37" s="55"/>
      <c r="J37" s="55"/>
      <c r="K37" s="55" t="s">
        <v>945</v>
      </c>
      <c r="L37" s="55"/>
      <c r="M37" s="55"/>
      <c r="N37" s="55"/>
      <c r="O37" s="55"/>
      <c r="P37" s="43"/>
      <c r="Q37" s="43"/>
      <c r="R37" s="43"/>
      <c r="T37" s="41"/>
    </row>
    <row r="38" spans="1:20">
      <c r="A38" s="43" t="s">
        <v>25</v>
      </c>
      <c r="B38" s="56" t="s">
        <v>986</v>
      </c>
      <c r="C38" s="55"/>
      <c r="D38" s="55"/>
      <c r="E38" s="55"/>
      <c r="F38" s="55"/>
      <c r="G38" s="55"/>
      <c r="H38" s="55"/>
      <c r="I38" s="55"/>
      <c r="J38" s="55"/>
      <c r="K38" s="55"/>
      <c r="L38" s="55"/>
      <c r="M38" s="55"/>
      <c r="N38" s="55"/>
      <c r="O38" s="55"/>
      <c r="P38" s="43"/>
      <c r="Q38" s="43"/>
      <c r="R38" s="43"/>
      <c r="T38" s="41"/>
    </row>
    <row r="39" spans="1:20">
      <c r="A39" s="43" t="s">
        <v>516</v>
      </c>
      <c r="B39" s="66" t="s">
        <v>993</v>
      </c>
      <c r="C39" s="55"/>
      <c r="D39" s="55"/>
      <c r="E39" s="55"/>
      <c r="F39" s="55"/>
      <c r="G39" s="55"/>
      <c r="H39" s="55"/>
      <c r="I39" s="55"/>
      <c r="J39" s="55"/>
      <c r="K39" s="55"/>
      <c r="L39" s="55"/>
      <c r="M39" s="55"/>
      <c r="N39" s="55"/>
      <c r="O39" s="55"/>
      <c r="P39" s="43"/>
      <c r="Q39" s="43"/>
      <c r="R39" s="43"/>
      <c r="T39" s="41"/>
    </row>
    <row r="40" spans="1:20">
      <c r="A40" s="43" t="s">
        <v>93</v>
      </c>
      <c r="B40" s="59" t="s">
        <v>987</v>
      </c>
      <c r="C40" s="55"/>
      <c r="D40" s="55"/>
      <c r="E40" s="55"/>
      <c r="F40" s="55"/>
      <c r="G40" s="55"/>
      <c r="H40" s="55"/>
      <c r="I40" s="55"/>
      <c r="J40" s="55"/>
      <c r="K40" s="55"/>
      <c r="L40" s="55"/>
      <c r="M40" s="55"/>
      <c r="N40" s="55"/>
      <c r="O40" s="55"/>
      <c r="P40" s="43"/>
      <c r="Q40" s="43"/>
      <c r="R40" s="43"/>
    </row>
    <row r="41" spans="1:20">
      <c r="A41" s="43" t="s">
        <v>313</v>
      </c>
      <c r="B41" s="59" t="s">
        <v>988</v>
      </c>
      <c r="C41" s="55"/>
      <c r="D41" s="55"/>
      <c r="E41" s="55"/>
      <c r="F41" s="55"/>
      <c r="G41" s="55"/>
      <c r="H41" s="55"/>
      <c r="I41" s="55"/>
      <c r="J41" s="55"/>
      <c r="K41" s="55"/>
      <c r="L41" s="55"/>
      <c r="M41" s="55"/>
      <c r="N41" s="55"/>
      <c r="O41" s="55"/>
      <c r="P41" s="43"/>
      <c r="Q41" s="43"/>
      <c r="R41" s="43"/>
    </row>
    <row r="42" spans="1:20">
      <c r="A42" s="43" t="s">
        <v>864</v>
      </c>
      <c r="B42" s="66" t="s">
        <v>989</v>
      </c>
      <c r="C42" s="55"/>
      <c r="D42" s="55"/>
      <c r="E42" s="55"/>
      <c r="F42" s="55"/>
      <c r="G42" s="55"/>
      <c r="H42" s="59"/>
      <c r="I42" s="55"/>
      <c r="J42" s="55"/>
      <c r="K42" s="55"/>
      <c r="L42" s="55"/>
      <c r="M42" s="55"/>
      <c r="N42" s="55"/>
      <c r="O42" s="55"/>
      <c r="P42" s="43"/>
      <c r="Q42" s="43"/>
      <c r="R42" s="43"/>
      <c r="T42" s="41"/>
    </row>
    <row r="43" spans="1:20">
      <c r="A43" s="67" t="s">
        <v>991</v>
      </c>
      <c r="B43" s="66" t="s">
        <v>990</v>
      </c>
      <c r="C43" s="55"/>
      <c r="D43" s="55"/>
      <c r="E43" s="55"/>
      <c r="F43" s="55"/>
      <c r="G43" s="55"/>
      <c r="H43" s="55"/>
      <c r="I43" s="55"/>
      <c r="J43" s="55"/>
      <c r="K43" s="55"/>
      <c r="L43" s="55"/>
      <c r="M43" s="55"/>
      <c r="N43" s="55"/>
      <c r="O43" s="55"/>
      <c r="P43" s="43"/>
      <c r="Q43" s="43"/>
      <c r="R43" s="43"/>
      <c r="T43" s="41"/>
    </row>
    <row r="44" spans="1:20">
      <c r="A44" s="43" t="s">
        <v>2</v>
      </c>
      <c r="B44" s="66" t="s">
        <v>992</v>
      </c>
      <c r="C44" s="55"/>
      <c r="D44" s="55"/>
      <c r="E44" s="55"/>
      <c r="F44" s="55"/>
      <c r="G44" s="55"/>
      <c r="H44" s="55"/>
      <c r="I44" s="55"/>
      <c r="J44" s="55"/>
      <c r="K44" s="55"/>
      <c r="L44" s="55"/>
      <c r="M44" s="55"/>
      <c r="N44" s="55"/>
      <c r="O44" s="55"/>
      <c r="P44" s="43"/>
      <c r="Q44" s="43"/>
      <c r="R44" s="43"/>
      <c r="T44" s="41"/>
    </row>
    <row r="45" spans="1:20">
      <c r="A45" s="43"/>
      <c r="B45" s="66"/>
      <c r="C45" s="43"/>
      <c r="D45" s="63"/>
      <c r="E45" s="43"/>
      <c r="F45" s="55"/>
      <c r="G45" s="63"/>
      <c r="H45" s="63"/>
      <c r="I45" s="63"/>
      <c r="J45" s="43"/>
      <c r="K45" s="43"/>
      <c r="L45" s="43"/>
      <c r="M45" s="43"/>
      <c r="N45" s="43"/>
      <c r="O45" s="43"/>
      <c r="P45" s="43"/>
      <c r="Q45" s="43"/>
      <c r="R45" s="43"/>
    </row>
    <row r="46" spans="1:20">
      <c r="A46" s="43"/>
      <c r="B46" s="55"/>
      <c r="C46" s="43"/>
      <c r="D46" s="43"/>
      <c r="E46" s="43"/>
      <c r="F46" s="43"/>
      <c r="G46" s="43"/>
      <c r="H46" s="43"/>
      <c r="I46" s="43"/>
      <c r="J46" s="43"/>
      <c r="K46" s="43"/>
      <c r="L46" s="43"/>
      <c r="M46" s="43"/>
      <c r="N46" s="43"/>
      <c r="O46" s="43"/>
      <c r="P46" s="43"/>
      <c r="Q46" s="43"/>
      <c r="R46" s="43"/>
      <c r="T46" s="41"/>
    </row>
    <row r="47" spans="1:20">
      <c r="A47" s="43"/>
      <c r="B47" s="43"/>
      <c r="C47" s="43"/>
      <c r="D47" s="43"/>
      <c r="E47" s="43"/>
      <c r="F47" s="43"/>
      <c r="G47" s="43"/>
      <c r="H47" s="43"/>
      <c r="I47" s="43"/>
      <c r="J47" s="43"/>
      <c r="K47" s="43"/>
      <c r="L47" s="43"/>
      <c r="M47" s="43"/>
      <c r="N47" s="43"/>
      <c r="O47" s="43"/>
      <c r="P47" s="43"/>
      <c r="Q47" s="43"/>
      <c r="R47" s="43"/>
      <c r="T47" s="41"/>
    </row>
    <row r="48" spans="1:20">
      <c r="A48" s="43"/>
      <c r="B48" s="43"/>
      <c r="C48" s="43"/>
      <c r="D48" s="43"/>
      <c r="E48" s="43"/>
      <c r="F48" s="43"/>
      <c r="G48" s="43"/>
      <c r="H48" s="43"/>
      <c r="I48" s="43"/>
      <c r="J48" s="43"/>
      <c r="K48" s="43"/>
      <c r="L48" s="43"/>
      <c r="M48" s="43"/>
      <c r="N48" s="43"/>
      <c r="O48" s="43"/>
      <c r="P48" s="43"/>
      <c r="Q48" s="43"/>
      <c r="R48" s="43"/>
      <c r="T48" s="41"/>
    </row>
    <row r="49" spans="1:18">
      <c r="A49" s="43"/>
      <c r="B49" s="43"/>
      <c r="C49" s="43"/>
      <c r="D49" s="43"/>
      <c r="E49" s="43"/>
      <c r="F49" s="43"/>
      <c r="G49" s="43"/>
      <c r="H49" s="43"/>
      <c r="I49" s="43"/>
      <c r="J49" s="43"/>
      <c r="K49" s="43"/>
      <c r="L49" s="43"/>
      <c r="M49" s="43"/>
      <c r="N49" s="43"/>
      <c r="O49" s="43"/>
      <c r="P49" s="43"/>
      <c r="Q49" s="43"/>
      <c r="R49" s="43"/>
    </row>
    <row r="50" spans="1:18">
      <c r="A50" s="43"/>
      <c r="B50" s="43"/>
      <c r="C50" s="43"/>
      <c r="D50" s="43"/>
      <c r="E50" s="43"/>
      <c r="F50" s="43"/>
      <c r="G50" s="43"/>
      <c r="H50" s="43"/>
      <c r="I50" s="43"/>
      <c r="J50" s="43"/>
      <c r="K50" s="43"/>
      <c r="L50" s="43"/>
      <c r="M50" s="43"/>
      <c r="N50" s="43"/>
      <c r="O50" s="43"/>
      <c r="P50" s="43"/>
      <c r="Q50" s="43"/>
      <c r="R50" s="43"/>
    </row>
    <row r="51" spans="1:18">
      <c r="A51" s="43"/>
      <c r="B51" s="43"/>
      <c r="C51" s="43"/>
      <c r="D51" s="43"/>
      <c r="E51" s="43"/>
      <c r="F51" s="43"/>
      <c r="G51" s="43"/>
      <c r="H51" s="43"/>
      <c r="I51" s="43"/>
      <c r="J51" s="43"/>
      <c r="K51" s="43"/>
      <c r="L51" s="43"/>
      <c r="M51" s="43"/>
      <c r="N51" s="43"/>
      <c r="O51" s="43"/>
      <c r="P51" s="43"/>
      <c r="Q51" s="43"/>
      <c r="R51" s="43"/>
    </row>
  </sheetData>
  <mergeCells count="2">
    <mergeCell ref="A1:R1"/>
    <mergeCell ref="Q35:R35"/>
  </mergeCells>
  <phoneticPr fontId="2"/>
  <pageMargins left="0.70866141732283472" right="0.70866141732283472" top="0" bottom="0" header="0.31496062992125984" footer="0.31496062992125984"/>
  <pageSetup paperSize="9" orientation="landscape" r:id="rId1"/>
  <drawing r:id="rId2"/>
  <legacyDrawing r:id="rId3"/>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AC386-FCF5-4633-AAF8-0F0DC330FC62}">
  <dimension ref="A1:AC51"/>
  <sheetViews>
    <sheetView topLeftCell="A4" zoomScaleNormal="100" workbookViewId="0">
      <selection activeCell="J19" sqref="J19"/>
    </sheetView>
  </sheetViews>
  <sheetFormatPr defaultColWidth="9" defaultRowHeight="18.75"/>
  <cols>
    <col min="1" max="18" width="6.625" style="40" customWidth="1"/>
    <col min="19" max="19" width="3.625" style="40" customWidth="1"/>
    <col min="20" max="20" width="6.625" style="40" customWidth="1"/>
    <col min="21" max="21" width="3.625" style="40" customWidth="1"/>
    <col min="22" max="37" width="6.625" style="40" customWidth="1"/>
    <col min="38" max="38" width="3.625" style="40" customWidth="1"/>
    <col min="39" max="16384" width="9" style="40"/>
  </cols>
  <sheetData>
    <row r="1" spans="1:29">
      <c r="A1" s="147" t="s">
        <v>975</v>
      </c>
      <c r="B1" s="147"/>
      <c r="C1" s="147"/>
      <c r="D1" s="147"/>
      <c r="E1" s="147"/>
      <c r="F1" s="147"/>
      <c r="G1" s="147"/>
      <c r="H1" s="147"/>
      <c r="I1" s="147"/>
      <c r="J1" s="147"/>
      <c r="K1" s="147"/>
      <c r="L1" s="147"/>
      <c r="M1" s="147"/>
      <c r="N1" s="147"/>
      <c r="O1" s="147"/>
      <c r="P1" s="147"/>
      <c r="Q1" s="147"/>
      <c r="R1" s="147"/>
      <c r="X1" s="40" t="s">
        <v>495</v>
      </c>
    </row>
    <row r="2" spans="1:29" ht="16.5" customHeight="1">
      <c r="A2" s="26" t="s">
        <v>279</v>
      </c>
      <c r="B2" s="27">
        <v>44978</v>
      </c>
      <c r="C2" s="27">
        <v>44979</v>
      </c>
      <c r="D2" s="27">
        <v>44980</v>
      </c>
      <c r="E2" s="27">
        <v>44981</v>
      </c>
      <c r="F2" s="31">
        <v>44982</v>
      </c>
      <c r="G2" s="31">
        <v>44983</v>
      </c>
      <c r="H2" s="27">
        <v>44984</v>
      </c>
      <c r="I2" s="27">
        <v>44985</v>
      </c>
      <c r="J2" s="27"/>
      <c r="K2" s="27"/>
      <c r="L2" s="27"/>
      <c r="M2" s="23" t="s">
        <v>324</v>
      </c>
      <c r="N2" s="25">
        <v>44986</v>
      </c>
      <c r="O2" s="25">
        <v>44987</v>
      </c>
      <c r="P2" s="25">
        <v>44988</v>
      </c>
      <c r="Q2" s="30">
        <v>44989</v>
      </c>
      <c r="R2" s="30">
        <v>44990</v>
      </c>
      <c r="V2" s="40" t="s">
        <v>63</v>
      </c>
      <c r="X2" s="40" t="s">
        <v>64</v>
      </c>
      <c r="Z2" s="40" t="s">
        <v>169</v>
      </c>
      <c r="AB2" s="40" t="s">
        <v>874</v>
      </c>
    </row>
    <row r="3" spans="1:29" ht="16.5" customHeight="1">
      <c r="A3" s="28">
        <v>1</v>
      </c>
      <c r="B3" s="19"/>
      <c r="C3" s="19"/>
      <c r="D3" s="19"/>
      <c r="E3" s="19"/>
      <c r="F3" s="19" t="s">
        <v>533</v>
      </c>
      <c r="G3" s="19" t="s">
        <v>25</v>
      </c>
      <c r="H3" s="19"/>
      <c r="I3" s="19"/>
      <c r="J3" s="19"/>
      <c r="K3" s="19"/>
      <c r="L3" s="19"/>
      <c r="M3" s="36">
        <v>1</v>
      </c>
      <c r="N3" s="19"/>
      <c r="O3" s="19"/>
      <c r="P3" s="19"/>
      <c r="Q3" s="19" t="s">
        <v>312</v>
      </c>
      <c r="R3" s="19" t="s">
        <v>516</v>
      </c>
      <c r="V3" s="40" t="s">
        <v>25</v>
      </c>
      <c r="W3" s="40">
        <v>1</v>
      </c>
      <c r="X3" s="40" t="s">
        <v>45</v>
      </c>
      <c r="Y3" s="40">
        <v>3</v>
      </c>
      <c r="Z3" s="40" t="s">
        <v>153</v>
      </c>
      <c r="AA3" s="40">
        <v>8</v>
      </c>
      <c r="AB3" s="40" t="s">
        <v>37</v>
      </c>
      <c r="AC3" s="40">
        <v>10</v>
      </c>
    </row>
    <row r="4" spans="1:29" ht="16.5" customHeight="1">
      <c r="A4" s="28">
        <v>2</v>
      </c>
      <c r="B4" s="19"/>
      <c r="C4" s="19"/>
      <c r="D4" s="19"/>
      <c r="E4" s="19"/>
      <c r="F4" s="19" t="s">
        <v>153</v>
      </c>
      <c r="G4" s="61" t="s">
        <v>14</v>
      </c>
      <c r="I4" s="19"/>
      <c r="J4" s="19"/>
      <c r="K4" s="19"/>
      <c r="L4" s="19"/>
      <c r="M4" s="36">
        <v>2</v>
      </c>
      <c r="N4" s="19"/>
      <c r="O4" s="19"/>
      <c r="Q4" s="19" t="s">
        <v>313</v>
      </c>
      <c r="R4" s="19" t="s">
        <v>864</v>
      </c>
      <c r="T4" s="41"/>
      <c r="U4" s="41"/>
      <c r="V4" s="40" t="s">
        <v>2</v>
      </c>
      <c r="W4" s="40">
        <v>2</v>
      </c>
      <c r="X4" s="40" t="s">
        <v>14</v>
      </c>
      <c r="Y4" s="40">
        <v>1</v>
      </c>
      <c r="Z4" s="40" t="s">
        <v>26</v>
      </c>
      <c r="AA4" s="40">
        <v>5</v>
      </c>
      <c r="AB4" s="40" t="s">
        <v>863</v>
      </c>
      <c r="AC4" s="40">
        <v>6</v>
      </c>
    </row>
    <row r="5" spans="1:29" ht="16.5" customHeight="1">
      <c r="A5" s="28">
        <v>3</v>
      </c>
      <c r="B5" s="19"/>
      <c r="C5" s="19"/>
      <c r="D5" s="19"/>
      <c r="E5" s="19"/>
      <c r="F5" s="19" t="s">
        <v>843</v>
      </c>
      <c r="G5" s="19" t="s">
        <v>855</v>
      </c>
      <c r="H5" s="19"/>
      <c r="I5" s="19"/>
      <c r="J5" s="19"/>
      <c r="K5" s="19"/>
      <c r="L5" s="19"/>
      <c r="M5" s="36">
        <v>3</v>
      </c>
      <c r="N5" s="19"/>
      <c r="O5" s="19"/>
      <c r="P5" s="19"/>
      <c r="Q5" s="19" t="s">
        <v>843</v>
      </c>
      <c r="R5" s="19" t="s">
        <v>855</v>
      </c>
      <c r="T5" s="41"/>
      <c r="U5" s="41"/>
      <c r="V5" s="40" t="s">
        <v>516</v>
      </c>
      <c r="W5" s="40">
        <v>1</v>
      </c>
      <c r="X5" s="40" t="s">
        <v>6</v>
      </c>
      <c r="Y5" s="40">
        <v>2</v>
      </c>
      <c r="Z5" s="40" t="s">
        <v>6</v>
      </c>
      <c r="AA5" s="40">
        <v>6</v>
      </c>
      <c r="AB5" s="40" t="s">
        <v>864</v>
      </c>
    </row>
    <row r="6" spans="1:29" ht="16.5" customHeight="1">
      <c r="A6" s="28" t="s">
        <v>20</v>
      </c>
      <c r="B6" s="19" t="s">
        <v>769</v>
      </c>
      <c r="C6" s="19" t="s">
        <v>13</v>
      </c>
      <c r="D6" s="19" t="s">
        <v>13</v>
      </c>
      <c r="E6" s="19" t="s">
        <v>13</v>
      </c>
      <c r="F6" s="19" t="s">
        <v>13</v>
      </c>
      <c r="G6" s="19" t="s">
        <v>13</v>
      </c>
      <c r="H6" s="19" t="s">
        <v>774</v>
      </c>
      <c r="I6" s="19" t="s">
        <v>13</v>
      </c>
      <c r="J6" s="19"/>
      <c r="K6" s="19"/>
      <c r="L6" s="19"/>
      <c r="M6" s="36" t="s">
        <v>20</v>
      </c>
      <c r="N6" s="19" t="s">
        <v>774</v>
      </c>
      <c r="O6" s="19" t="s">
        <v>13</v>
      </c>
      <c r="P6" s="19" t="s">
        <v>13</v>
      </c>
      <c r="Q6" s="19" t="s">
        <v>13</v>
      </c>
      <c r="R6" s="19" t="s">
        <v>13</v>
      </c>
      <c r="T6" s="41"/>
      <c r="U6" s="41"/>
      <c r="V6" s="40" t="s">
        <v>7</v>
      </c>
      <c r="W6" s="40">
        <v>3</v>
      </c>
      <c r="X6" s="40" t="s">
        <v>23</v>
      </c>
      <c r="Y6" s="40">
        <v>1</v>
      </c>
      <c r="Z6" s="40" t="s">
        <v>23</v>
      </c>
      <c r="AA6" s="65" t="s">
        <v>973</v>
      </c>
      <c r="AB6" s="40" t="s">
        <v>875</v>
      </c>
      <c r="AC6" s="40" t="s">
        <v>974</v>
      </c>
    </row>
    <row r="7" spans="1:29" ht="16.5" customHeight="1">
      <c r="A7" s="28" t="s">
        <v>0</v>
      </c>
      <c r="B7" s="19" t="s">
        <v>37</v>
      </c>
      <c r="C7" s="19" t="s">
        <v>13</v>
      </c>
      <c r="D7" s="19" t="s">
        <v>13</v>
      </c>
      <c r="E7" s="19" t="s">
        <v>13</v>
      </c>
      <c r="F7" s="19" t="s">
        <v>9</v>
      </c>
      <c r="G7" s="19" t="s">
        <v>13</v>
      </c>
      <c r="H7" s="19" t="s">
        <v>356</v>
      </c>
      <c r="I7" s="19" t="s">
        <v>13</v>
      </c>
      <c r="J7" s="19"/>
      <c r="K7" s="19"/>
      <c r="L7" s="19"/>
      <c r="M7" s="36" t="s">
        <v>0</v>
      </c>
      <c r="N7" s="19" t="s">
        <v>356</v>
      </c>
      <c r="O7" s="19" t="s">
        <v>13</v>
      </c>
      <c r="P7" s="19" t="s">
        <v>13</v>
      </c>
      <c r="Q7" s="19" t="s">
        <v>9</v>
      </c>
      <c r="R7" s="19" t="s">
        <v>13</v>
      </c>
      <c r="T7" s="41"/>
      <c r="U7" s="41"/>
      <c r="V7" s="40" t="s">
        <v>21</v>
      </c>
      <c r="W7" s="40">
        <v>3</v>
      </c>
      <c r="X7" s="40" t="s">
        <v>153</v>
      </c>
      <c r="Y7" s="40">
        <v>1</v>
      </c>
      <c r="Z7" s="40" t="s">
        <v>25</v>
      </c>
      <c r="AA7" s="40">
        <v>7</v>
      </c>
      <c r="AB7" s="40" t="s">
        <v>356</v>
      </c>
      <c r="AC7" s="40" t="s">
        <v>917</v>
      </c>
    </row>
    <row r="8" spans="1:29" ht="16.5" customHeight="1">
      <c r="A8" s="28" t="s">
        <v>1</v>
      </c>
      <c r="B8" s="19"/>
      <c r="C8" s="19"/>
      <c r="D8" s="19"/>
      <c r="E8" s="19"/>
      <c r="F8" s="19"/>
      <c r="G8" s="19"/>
      <c r="H8" s="19"/>
      <c r="I8" s="19"/>
      <c r="J8" s="19"/>
      <c r="K8" s="19"/>
      <c r="L8" s="19"/>
      <c r="M8" s="36" t="s">
        <v>1</v>
      </c>
      <c r="N8" s="19"/>
      <c r="O8" s="19"/>
      <c r="P8" s="19"/>
      <c r="Q8" s="19"/>
      <c r="R8" s="19"/>
      <c r="T8" s="41"/>
      <c r="V8" s="40" t="s">
        <v>26</v>
      </c>
      <c r="W8" s="40">
        <v>2</v>
      </c>
      <c r="X8" s="40" t="s">
        <v>327</v>
      </c>
      <c r="Y8" s="40">
        <v>2</v>
      </c>
      <c r="Z8" s="40" t="s">
        <v>327</v>
      </c>
      <c r="AA8" s="64" t="s">
        <v>972</v>
      </c>
    </row>
    <row r="9" spans="1:29" ht="16.5" customHeight="1">
      <c r="A9" s="28" t="s">
        <v>366</v>
      </c>
      <c r="B9" s="19"/>
      <c r="C9" s="19"/>
      <c r="D9" s="19"/>
      <c r="E9" s="19"/>
      <c r="F9" s="19"/>
      <c r="G9" s="19"/>
      <c r="H9" s="19"/>
      <c r="I9" s="19"/>
      <c r="J9" s="19"/>
      <c r="K9" s="19"/>
      <c r="L9" s="19"/>
      <c r="M9" s="36" t="s">
        <v>366</v>
      </c>
      <c r="N9" s="19"/>
      <c r="O9" s="19"/>
      <c r="P9" s="19"/>
      <c r="Q9" s="19"/>
      <c r="R9" s="19"/>
      <c r="T9" s="41"/>
      <c r="V9" s="40" t="s">
        <v>27</v>
      </c>
      <c r="W9" s="40">
        <v>2</v>
      </c>
      <c r="X9" s="40" t="s">
        <v>28</v>
      </c>
      <c r="Y9" s="40">
        <v>2</v>
      </c>
      <c r="Z9" s="40" t="s">
        <v>516</v>
      </c>
      <c r="AA9" s="40">
        <v>4</v>
      </c>
    </row>
    <row r="10" spans="1:29" ht="16.5" customHeight="1">
      <c r="A10" s="23" t="s">
        <v>324</v>
      </c>
      <c r="B10" s="25">
        <v>44991</v>
      </c>
      <c r="C10" s="25">
        <v>44992</v>
      </c>
      <c r="D10" s="25">
        <v>44993</v>
      </c>
      <c r="E10" s="25">
        <v>44994</v>
      </c>
      <c r="F10" s="25">
        <v>44995</v>
      </c>
      <c r="G10" s="30">
        <v>44996</v>
      </c>
      <c r="H10" s="30">
        <v>44997</v>
      </c>
      <c r="I10" s="25">
        <v>44998</v>
      </c>
      <c r="J10" s="25">
        <v>44999</v>
      </c>
      <c r="K10" s="25">
        <v>45000</v>
      </c>
      <c r="L10" s="25">
        <v>45001</v>
      </c>
      <c r="M10" s="25">
        <v>45002</v>
      </c>
      <c r="N10" s="30">
        <v>45003</v>
      </c>
      <c r="O10" s="30">
        <v>45004</v>
      </c>
      <c r="P10" s="25">
        <v>45005</v>
      </c>
      <c r="Q10" s="19"/>
      <c r="R10" s="19"/>
      <c r="T10" s="41"/>
      <c r="V10" s="40" t="s">
        <v>533</v>
      </c>
      <c r="W10" s="40">
        <v>2</v>
      </c>
      <c r="X10" s="40" t="s">
        <v>152</v>
      </c>
      <c r="Y10" s="40">
        <v>2</v>
      </c>
      <c r="Z10" s="40" t="s">
        <v>864</v>
      </c>
      <c r="AA10" s="40">
        <v>9</v>
      </c>
    </row>
    <row r="11" spans="1:29" ht="16.5" customHeight="1">
      <c r="A11" s="36">
        <v>1</v>
      </c>
      <c r="B11" s="19"/>
      <c r="C11" s="19"/>
      <c r="D11" s="19"/>
      <c r="E11" s="19"/>
      <c r="F11" s="19"/>
      <c r="G11" s="19" t="s">
        <v>2</v>
      </c>
      <c r="H11" s="19" t="s">
        <v>107</v>
      </c>
      <c r="I11" s="19"/>
      <c r="J11" s="19"/>
      <c r="K11" s="19"/>
      <c r="L11" s="19"/>
      <c r="N11" s="19" t="s">
        <v>7</v>
      </c>
      <c r="O11" s="19" t="s">
        <v>315</v>
      </c>
      <c r="P11" s="19"/>
      <c r="Q11" s="19"/>
      <c r="R11" s="19"/>
      <c r="T11" s="41"/>
      <c r="V11" s="40" t="s">
        <v>314</v>
      </c>
      <c r="X11" s="40" t="s">
        <v>864</v>
      </c>
      <c r="Y11" s="40">
        <v>1</v>
      </c>
    </row>
    <row r="12" spans="1:29" ht="16.5" customHeight="1">
      <c r="A12" s="36">
        <v>2</v>
      </c>
      <c r="B12" s="19"/>
      <c r="C12" s="19"/>
      <c r="D12" s="19"/>
      <c r="E12" s="19"/>
      <c r="F12" s="19"/>
      <c r="G12" s="19" t="s">
        <v>314</v>
      </c>
      <c r="H12" s="19" t="s">
        <v>6</v>
      </c>
      <c r="I12" s="19"/>
      <c r="J12" s="19"/>
      <c r="K12" s="19"/>
      <c r="L12" s="19"/>
      <c r="M12" s="19"/>
      <c r="N12" s="19" t="s">
        <v>93</v>
      </c>
      <c r="O12" s="19" t="s">
        <v>769</v>
      </c>
      <c r="P12" s="19"/>
      <c r="Q12" s="19"/>
      <c r="R12" s="19"/>
      <c r="T12" s="41"/>
      <c r="X12" s="40" t="s">
        <v>25</v>
      </c>
      <c r="Y12" s="40">
        <v>1</v>
      </c>
    </row>
    <row r="13" spans="1:29" ht="16.5" customHeight="1">
      <c r="A13" s="36">
        <v>3</v>
      </c>
      <c r="B13" s="19"/>
      <c r="C13" s="19"/>
      <c r="D13" s="19"/>
      <c r="E13" s="19"/>
      <c r="F13" s="19"/>
      <c r="G13" s="19" t="s">
        <v>843</v>
      </c>
      <c r="H13" s="19" t="s">
        <v>855</v>
      </c>
      <c r="I13" s="19"/>
      <c r="J13" s="19"/>
      <c r="K13" s="19"/>
      <c r="L13" s="19"/>
      <c r="M13" s="19"/>
      <c r="N13" s="19" t="s">
        <v>843</v>
      </c>
      <c r="O13" s="19" t="s">
        <v>855</v>
      </c>
      <c r="P13" s="19"/>
      <c r="Q13" s="19"/>
      <c r="R13" s="19"/>
      <c r="T13" s="41"/>
    </row>
    <row r="14" spans="1:29" ht="16.5" customHeight="1">
      <c r="A14" s="36" t="s">
        <v>20</v>
      </c>
      <c r="B14" s="19" t="s">
        <v>312</v>
      </c>
      <c r="C14" s="19" t="s">
        <v>13</v>
      </c>
      <c r="D14" s="19" t="s">
        <v>13</v>
      </c>
      <c r="E14" s="19" t="s">
        <v>13</v>
      </c>
      <c r="F14" s="19" t="s">
        <v>13</v>
      </c>
      <c r="G14" s="19" t="s">
        <v>13</v>
      </c>
      <c r="H14" s="19" t="s">
        <v>13</v>
      </c>
      <c r="I14" s="19" t="s">
        <v>516</v>
      </c>
      <c r="J14" s="19" t="s">
        <v>13</v>
      </c>
      <c r="K14" s="19" t="s">
        <v>13</v>
      </c>
      <c r="L14" s="19" t="s">
        <v>13</v>
      </c>
      <c r="M14" s="19" t="s">
        <v>13</v>
      </c>
      <c r="N14" s="19" t="s">
        <v>13</v>
      </c>
      <c r="O14" s="19" t="s">
        <v>13</v>
      </c>
      <c r="P14" s="19" t="s">
        <v>6</v>
      </c>
      <c r="Q14" s="19"/>
      <c r="R14" s="19"/>
      <c r="T14" s="41"/>
    </row>
    <row r="15" spans="1:29" ht="16.5" customHeight="1">
      <c r="A15" s="36" t="s">
        <v>0</v>
      </c>
      <c r="B15" s="19" t="s">
        <v>875</v>
      </c>
      <c r="C15" s="19" t="s">
        <v>13</v>
      </c>
      <c r="D15" s="19" t="s">
        <v>13</v>
      </c>
      <c r="E15" s="19" t="s">
        <v>13</v>
      </c>
      <c r="F15" s="19" t="s">
        <v>13</v>
      </c>
      <c r="G15" s="19" t="s">
        <v>9</v>
      </c>
      <c r="H15" s="19" t="s">
        <v>13</v>
      </c>
      <c r="I15" s="19" t="s">
        <v>356</v>
      </c>
      <c r="J15" s="19" t="s">
        <v>13</v>
      </c>
      <c r="K15" s="19" t="s">
        <v>13</v>
      </c>
      <c r="L15" s="19" t="s">
        <v>13</v>
      </c>
      <c r="M15" s="19" t="s">
        <v>13</v>
      </c>
      <c r="N15" s="19" t="s">
        <v>9</v>
      </c>
      <c r="O15" s="19" t="s">
        <v>13</v>
      </c>
      <c r="P15" s="19" t="s">
        <v>356</v>
      </c>
      <c r="Q15" s="19"/>
      <c r="R15" s="19"/>
      <c r="T15" s="41"/>
      <c r="V15" s="40" t="s">
        <v>696</v>
      </c>
      <c r="W15" s="40">
        <f>SUM(W2:W14)</f>
        <v>16</v>
      </c>
      <c r="Y15" s="40">
        <f>SUM(Y2:Y14)</f>
        <v>16</v>
      </c>
    </row>
    <row r="16" spans="1:29" ht="16.5" customHeight="1">
      <c r="A16" s="36" t="s">
        <v>1</v>
      </c>
      <c r="B16" s="19"/>
      <c r="C16" s="19"/>
      <c r="D16" s="19"/>
      <c r="E16" s="19"/>
      <c r="F16" s="19"/>
      <c r="G16" s="19"/>
      <c r="H16" s="19"/>
      <c r="I16" s="19"/>
      <c r="J16" s="19"/>
      <c r="K16" s="19"/>
      <c r="L16" s="19"/>
      <c r="M16" s="19"/>
      <c r="N16" s="19"/>
      <c r="O16" s="19"/>
      <c r="P16" s="19"/>
      <c r="Q16" s="19"/>
      <c r="R16" s="19"/>
      <c r="T16" s="41"/>
    </row>
    <row r="17" spans="1:29" ht="16.5" customHeight="1">
      <c r="A17" s="36" t="s">
        <v>366</v>
      </c>
      <c r="B17" s="19"/>
      <c r="C17" s="19"/>
      <c r="D17" s="19"/>
      <c r="E17" s="19"/>
      <c r="F17" s="19"/>
      <c r="G17" s="19"/>
      <c r="H17" s="19"/>
      <c r="I17" s="19"/>
      <c r="J17" s="19"/>
      <c r="K17" s="19"/>
      <c r="L17" s="19"/>
      <c r="M17" s="19"/>
      <c r="N17" s="19"/>
      <c r="O17" s="19"/>
      <c r="P17" s="19"/>
      <c r="Q17" s="19"/>
      <c r="R17" s="19"/>
      <c r="T17" s="41"/>
    </row>
    <row r="18" spans="1:29" ht="11.25" customHeight="1">
      <c r="A18" s="42"/>
      <c r="B18" s="37"/>
      <c r="C18" s="37"/>
      <c r="D18" s="37"/>
      <c r="E18" s="37"/>
      <c r="F18" s="37"/>
      <c r="G18" s="37"/>
      <c r="H18" s="38"/>
      <c r="I18" s="38"/>
      <c r="J18" s="38"/>
      <c r="K18" s="38"/>
      <c r="L18" s="38"/>
      <c r="M18" s="38"/>
      <c r="N18" s="38"/>
      <c r="O18" s="38"/>
      <c r="P18" s="37"/>
      <c r="Q18" s="37"/>
      <c r="R18" s="39"/>
      <c r="T18" s="41"/>
      <c r="X18" s="40" t="s">
        <v>779</v>
      </c>
    </row>
    <row r="19" spans="1:29" ht="16.5" customHeight="1">
      <c r="A19" s="23" t="s">
        <v>324</v>
      </c>
      <c r="B19" s="25">
        <v>45006</v>
      </c>
      <c r="C19" s="25">
        <v>45007</v>
      </c>
      <c r="D19" s="25">
        <v>45008</v>
      </c>
      <c r="E19" s="25">
        <v>45009</v>
      </c>
      <c r="F19" s="30">
        <v>45010</v>
      </c>
      <c r="G19" s="30">
        <v>45011</v>
      </c>
      <c r="H19" s="25">
        <v>45012</v>
      </c>
      <c r="I19" s="25">
        <v>45013</v>
      </c>
      <c r="J19" s="25">
        <v>45014</v>
      </c>
      <c r="K19" s="25">
        <v>45015</v>
      </c>
      <c r="L19" s="25">
        <v>45016</v>
      </c>
      <c r="M19" s="26" t="s">
        <v>325</v>
      </c>
      <c r="N19" s="31">
        <v>45017</v>
      </c>
      <c r="O19" s="31">
        <v>45018</v>
      </c>
      <c r="P19" s="27">
        <v>45019</v>
      </c>
      <c r="Q19" s="27">
        <v>45020</v>
      </c>
      <c r="R19" s="27">
        <v>45021</v>
      </c>
      <c r="T19" s="41"/>
      <c r="V19" s="40" t="s">
        <v>63</v>
      </c>
      <c r="X19" s="40" t="s">
        <v>64</v>
      </c>
      <c r="Z19" s="40" t="s">
        <v>169</v>
      </c>
      <c r="AB19" s="40" t="s">
        <v>874</v>
      </c>
    </row>
    <row r="20" spans="1:29" ht="16.5" customHeight="1">
      <c r="A20" s="36">
        <v>1</v>
      </c>
      <c r="B20" s="19"/>
      <c r="C20" s="19"/>
      <c r="D20" s="19"/>
      <c r="E20" s="19"/>
      <c r="F20" s="19" t="s">
        <v>25</v>
      </c>
      <c r="G20" s="19" t="s">
        <v>312</v>
      </c>
      <c r="H20" s="19"/>
      <c r="I20" s="19"/>
      <c r="J20" s="19"/>
      <c r="K20" s="19"/>
      <c r="L20" s="19"/>
      <c r="M20" s="28">
        <v>1</v>
      </c>
      <c r="N20" s="19" t="s">
        <v>516</v>
      </c>
      <c r="O20" s="19" t="s">
        <v>533</v>
      </c>
      <c r="P20" s="19"/>
      <c r="Q20" s="19"/>
      <c r="R20" s="19"/>
      <c r="T20" s="41"/>
      <c r="V20" s="40" t="s">
        <v>25</v>
      </c>
      <c r="W20" s="40">
        <v>2</v>
      </c>
      <c r="X20" s="40" t="s">
        <v>45</v>
      </c>
      <c r="Y20" s="40">
        <v>2</v>
      </c>
      <c r="Z20" s="40" t="s">
        <v>153</v>
      </c>
      <c r="AA20" s="40">
        <v>6</v>
      </c>
      <c r="AB20" s="40" t="s">
        <v>37</v>
      </c>
      <c r="AC20" s="40">
        <v>1.9</v>
      </c>
    </row>
    <row r="21" spans="1:29" ht="16.5" customHeight="1">
      <c r="A21" s="36">
        <v>2</v>
      </c>
      <c r="B21" s="19"/>
      <c r="C21" s="19"/>
      <c r="D21" s="19"/>
      <c r="F21" s="19" t="s">
        <v>14</v>
      </c>
      <c r="G21" s="19" t="s">
        <v>774</v>
      </c>
      <c r="H21" s="19"/>
      <c r="I21" s="19"/>
      <c r="J21" s="19"/>
      <c r="K21" s="19"/>
      <c r="L21" s="61"/>
      <c r="M21" s="28">
        <v>2</v>
      </c>
      <c r="N21" s="19" t="s">
        <v>864</v>
      </c>
      <c r="O21" s="19" t="s">
        <v>314</v>
      </c>
      <c r="P21" s="19"/>
      <c r="Q21" s="19"/>
      <c r="R21" s="19"/>
      <c r="T21" s="41"/>
      <c r="V21" s="40" t="s">
        <v>2</v>
      </c>
      <c r="W21" s="40">
        <v>2</v>
      </c>
      <c r="X21" s="40" t="s">
        <v>14</v>
      </c>
      <c r="Y21" s="40">
        <v>2</v>
      </c>
      <c r="Z21" s="40" t="s">
        <v>26</v>
      </c>
      <c r="AA21" s="40">
        <v>3</v>
      </c>
      <c r="AB21" s="40" t="s">
        <v>863</v>
      </c>
      <c r="AC21" s="40">
        <v>5</v>
      </c>
    </row>
    <row r="22" spans="1:29" ht="16.5" customHeight="1">
      <c r="A22" s="36">
        <v>3</v>
      </c>
      <c r="B22" s="19"/>
      <c r="C22" s="19"/>
      <c r="D22" s="19"/>
      <c r="E22" s="19"/>
      <c r="F22" s="19" t="s">
        <v>843</v>
      </c>
      <c r="G22" s="19" t="s">
        <v>855</v>
      </c>
      <c r="H22" s="19"/>
      <c r="I22" s="19"/>
      <c r="J22" s="19"/>
      <c r="K22" s="19"/>
      <c r="L22" s="19"/>
      <c r="M22" s="28">
        <v>3</v>
      </c>
      <c r="N22" s="19" t="s">
        <v>855</v>
      </c>
      <c r="O22" s="19" t="s">
        <v>843</v>
      </c>
      <c r="P22" s="19"/>
      <c r="Q22" s="19"/>
      <c r="R22" s="19"/>
      <c r="T22" s="41"/>
      <c r="V22" s="40" t="s">
        <v>516</v>
      </c>
      <c r="W22" s="40">
        <v>2</v>
      </c>
      <c r="X22" s="40" t="s">
        <v>6</v>
      </c>
      <c r="Y22" s="40">
        <v>1</v>
      </c>
      <c r="Z22" s="40" t="s">
        <v>6</v>
      </c>
      <c r="AA22" s="40">
        <v>5</v>
      </c>
      <c r="AB22" s="40" t="s">
        <v>875</v>
      </c>
      <c r="AC22" s="40">
        <v>3.7</v>
      </c>
    </row>
    <row r="23" spans="1:29" ht="16.5" customHeight="1">
      <c r="A23" s="36" t="s">
        <v>20</v>
      </c>
      <c r="B23" s="19" t="s">
        <v>6</v>
      </c>
      <c r="C23" s="19" t="s">
        <v>13</v>
      </c>
      <c r="D23" s="19" t="s">
        <v>13</v>
      </c>
      <c r="E23" s="19" t="s">
        <v>13</v>
      </c>
      <c r="F23" s="19" t="s">
        <v>13</v>
      </c>
      <c r="G23" s="19" t="s">
        <v>13</v>
      </c>
      <c r="H23" s="19" t="s">
        <v>153</v>
      </c>
      <c r="I23" s="19" t="s">
        <v>13</v>
      </c>
      <c r="J23" s="19" t="s">
        <v>13</v>
      </c>
      <c r="K23" s="19" t="s">
        <v>13</v>
      </c>
      <c r="L23" s="19" t="s">
        <v>13</v>
      </c>
      <c r="M23" s="28" t="s">
        <v>20</v>
      </c>
      <c r="N23" s="19" t="s">
        <v>153</v>
      </c>
      <c r="O23" s="19" t="s">
        <v>13</v>
      </c>
      <c r="P23" s="19" t="s">
        <v>25</v>
      </c>
      <c r="Q23" s="19" t="s">
        <v>13</v>
      </c>
      <c r="R23" s="19" t="s">
        <v>13</v>
      </c>
      <c r="T23" s="41"/>
      <c r="V23" s="40" t="s">
        <v>7</v>
      </c>
      <c r="W23" s="40">
        <v>2</v>
      </c>
      <c r="X23" s="40" t="s">
        <v>23</v>
      </c>
      <c r="Y23" s="40">
        <v>1</v>
      </c>
      <c r="Z23" s="40" t="s">
        <v>23</v>
      </c>
      <c r="AA23" s="65" t="s">
        <v>930</v>
      </c>
      <c r="AB23" s="40" t="s">
        <v>356</v>
      </c>
      <c r="AC23" s="40" t="s">
        <v>982</v>
      </c>
    </row>
    <row r="24" spans="1:29" ht="16.5" customHeight="1">
      <c r="A24" s="36" t="s">
        <v>0</v>
      </c>
      <c r="B24" s="19" t="s">
        <v>356</v>
      </c>
      <c r="C24" s="19" t="s">
        <v>13</v>
      </c>
      <c r="D24" s="19" t="s">
        <v>13</v>
      </c>
      <c r="E24" s="19" t="s">
        <v>13</v>
      </c>
      <c r="F24" s="19" t="s">
        <v>9</v>
      </c>
      <c r="G24" s="19" t="s">
        <v>13</v>
      </c>
      <c r="H24" s="19" t="s">
        <v>356</v>
      </c>
      <c r="I24" s="19" t="s">
        <v>13</v>
      </c>
      <c r="J24" s="19" t="s">
        <v>13</v>
      </c>
      <c r="K24" s="19" t="s">
        <v>13</v>
      </c>
      <c r="L24" s="19" t="s">
        <v>13</v>
      </c>
      <c r="M24" s="28" t="s">
        <v>0</v>
      </c>
      <c r="N24" s="19" t="s">
        <v>9</v>
      </c>
      <c r="O24" s="19" t="s">
        <v>13</v>
      </c>
      <c r="P24" s="19" t="s">
        <v>875</v>
      </c>
      <c r="Q24" s="19" t="s">
        <v>13</v>
      </c>
      <c r="R24" s="19" t="s">
        <v>13</v>
      </c>
      <c r="T24" s="41"/>
      <c r="V24" s="40" t="s">
        <v>21</v>
      </c>
      <c r="W24" s="40">
        <v>2</v>
      </c>
      <c r="X24" s="40" t="s">
        <v>153</v>
      </c>
      <c r="Y24" s="40">
        <v>2</v>
      </c>
      <c r="Z24" s="40" t="s">
        <v>25</v>
      </c>
      <c r="AA24" s="40">
        <v>7</v>
      </c>
    </row>
    <row r="25" spans="1:29" ht="16.5" customHeight="1">
      <c r="A25" s="36" t="s">
        <v>1</v>
      </c>
      <c r="B25" s="19"/>
      <c r="C25" s="19"/>
      <c r="D25" s="19"/>
      <c r="E25" s="19"/>
      <c r="F25" s="19"/>
      <c r="G25" s="19"/>
      <c r="H25" s="19"/>
      <c r="I25" s="19"/>
      <c r="J25" s="19"/>
      <c r="K25" s="19"/>
      <c r="L25" s="19"/>
      <c r="M25" s="28" t="s">
        <v>1</v>
      </c>
      <c r="N25" s="19"/>
      <c r="O25" s="19"/>
      <c r="P25" s="19"/>
      <c r="Q25" s="19"/>
      <c r="R25" s="19"/>
      <c r="T25" s="41"/>
      <c r="V25" s="40" t="s">
        <v>26</v>
      </c>
      <c r="W25" s="40">
        <v>2</v>
      </c>
      <c r="X25" s="40" t="s">
        <v>327</v>
      </c>
      <c r="Y25" s="40">
        <v>2</v>
      </c>
      <c r="Z25" s="40" t="s">
        <v>327</v>
      </c>
      <c r="AA25" s="64">
        <v>2</v>
      </c>
    </row>
    <row r="26" spans="1:29" ht="16.5" customHeight="1">
      <c r="A26" s="36" t="s">
        <v>366</v>
      </c>
      <c r="B26" s="19"/>
      <c r="C26" s="19"/>
      <c r="D26" s="19"/>
      <c r="E26" s="19"/>
      <c r="F26" s="19"/>
      <c r="G26" s="19"/>
      <c r="H26" s="19"/>
      <c r="I26" s="19"/>
      <c r="J26" s="19"/>
      <c r="K26" s="19"/>
      <c r="L26" s="19"/>
      <c r="M26" s="28" t="s">
        <v>366</v>
      </c>
      <c r="N26" s="19"/>
      <c r="O26" s="19"/>
      <c r="P26" s="19"/>
      <c r="Q26" s="19"/>
      <c r="R26" s="19"/>
      <c r="T26" s="41"/>
      <c r="V26" s="40" t="s">
        <v>27</v>
      </c>
      <c r="W26" s="40">
        <v>2</v>
      </c>
      <c r="X26" s="40" t="s">
        <v>28</v>
      </c>
      <c r="Y26" s="40">
        <v>2</v>
      </c>
      <c r="Z26" s="40" t="s">
        <v>516</v>
      </c>
      <c r="AA26" s="40">
        <v>4</v>
      </c>
    </row>
    <row r="27" spans="1:29" ht="16.5" customHeight="1">
      <c r="A27" s="26" t="s">
        <v>325</v>
      </c>
      <c r="B27" s="27">
        <v>45022</v>
      </c>
      <c r="C27" s="27">
        <v>45023</v>
      </c>
      <c r="D27" s="31">
        <v>45024</v>
      </c>
      <c r="E27" s="31">
        <v>45025</v>
      </c>
      <c r="F27" s="27">
        <v>45026</v>
      </c>
      <c r="G27" s="27">
        <v>45027</v>
      </c>
      <c r="H27" s="27">
        <v>45028</v>
      </c>
      <c r="I27" s="27">
        <v>45029</v>
      </c>
      <c r="J27" s="27">
        <v>45030</v>
      </c>
      <c r="K27" s="31">
        <v>45031</v>
      </c>
      <c r="L27" s="31">
        <v>45032</v>
      </c>
      <c r="M27" s="27">
        <v>45033</v>
      </c>
      <c r="N27" s="27">
        <v>45034</v>
      </c>
      <c r="O27" s="27">
        <v>45035</v>
      </c>
      <c r="P27" s="27">
        <v>45036</v>
      </c>
      <c r="Q27" s="19"/>
      <c r="R27" s="19"/>
      <c r="T27" s="41"/>
      <c r="V27" s="40" t="s">
        <v>533</v>
      </c>
      <c r="W27" s="40">
        <v>2</v>
      </c>
      <c r="X27" s="40" t="s">
        <v>152</v>
      </c>
      <c r="Y27" s="40">
        <v>2</v>
      </c>
      <c r="Z27" s="40" t="s">
        <v>864</v>
      </c>
      <c r="AA27" s="40">
        <v>8</v>
      </c>
    </row>
    <row r="28" spans="1:29" ht="16.5" customHeight="1">
      <c r="A28" s="28">
        <v>1</v>
      </c>
      <c r="B28" s="19"/>
      <c r="C28" s="19"/>
      <c r="D28" s="19" t="s">
        <v>107</v>
      </c>
      <c r="E28" s="19" t="s">
        <v>2</v>
      </c>
      <c r="F28" s="19"/>
      <c r="G28" s="19"/>
      <c r="H28" s="19"/>
      <c r="I28" s="19"/>
      <c r="J28" s="19"/>
      <c r="K28" s="19" t="s">
        <v>315</v>
      </c>
      <c r="L28" s="19" t="s">
        <v>7</v>
      </c>
      <c r="M28" s="19"/>
      <c r="N28" s="19"/>
      <c r="O28" s="19"/>
      <c r="P28" s="19"/>
      <c r="Q28" s="19"/>
      <c r="R28" s="19"/>
      <c r="T28" s="41"/>
      <c r="X28" s="40" t="s">
        <v>864</v>
      </c>
      <c r="Y28" s="40">
        <v>2</v>
      </c>
    </row>
    <row r="29" spans="1:29" ht="16.5" customHeight="1">
      <c r="A29" s="28">
        <v>2</v>
      </c>
      <c r="B29" s="19"/>
      <c r="C29" s="19"/>
      <c r="D29" s="19" t="s">
        <v>93</v>
      </c>
      <c r="E29" s="19" t="s">
        <v>313</v>
      </c>
      <c r="F29" s="19"/>
      <c r="G29" s="19"/>
      <c r="H29" s="19"/>
      <c r="I29" s="19"/>
      <c r="J29" s="19"/>
      <c r="K29" s="19" t="s">
        <v>774</v>
      </c>
      <c r="L29" s="19" t="s">
        <v>153</v>
      </c>
      <c r="M29" s="19"/>
      <c r="N29" s="19"/>
      <c r="O29" s="19"/>
      <c r="P29" s="19"/>
      <c r="Q29" s="19"/>
      <c r="R29" s="19"/>
      <c r="T29" s="41"/>
    </row>
    <row r="30" spans="1:29" ht="16.5" customHeight="1">
      <c r="A30" s="28">
        <v>3</v>
      </c>
      <c r="B30" s="19"/>
      <c r="C30" s="19"/>
      <c r="D30" s="19" t="s">
        <v>855</v>
      </c>
      <c r="E30" s="19" t="s">
        <v>843</v>
      </c>
      <c r="F30" s="19"/>
      <c r="G30" s="19"/>
      <c r="H30" s="19"/>
      <c r="I30" s="19"/>
      <c r="J30" s="19"/>
      <c r="K30" s="19" t="s">
        <v>855</v>
      </c>
      <c r="L30" s="19" t="s">
        <v>843</v>
      </c>
      <c r="M30" s="19"/>
      <c r="N30" s="19"/>
      <c r="O30" s="19"/>
      <c r="P30" s="19"/>
      <c r="Q30" s="19"/>
      <c r="R30" s="19"/>
      <c r="T30" s="41"/>
    </row>
    <row r="31" spans="1:29" ht="16.5" customHeight="1">
      <c r="A31" s="28" t="s">
        <v>20</v>
      </c>
      <c r="B31" s="19" t="s">
        <v>25</v>
      </c>
      <c r="C31" s="19" t="s">
        <v>13</v>
      </c>
      <c r="D31" s="19" t="s">
        <v>13</v>
      </c>
      <c r="E31" s="19" t="s">
        <v>13</v>
      </c>
      <c r="F31" s="19" t="s">
        <v>864</v>
      </c>
      <c r="G31" s="19" t="s">
        <v>13</v>
      </c>
      <c r="H31" s="19" t="s">
        <v>13</v>
      </c>
      <c r="I31" s="19" t="s">
        <v>13</v>
      </c>
      <c r="J31" s="19" t="s">
        <v>13</v>
      </c>
      <c r="K31" s="19" t="s">
        <v>13</v>
      </c>
      <c r="L31" s="19" t="s">
        <v>13</v>
      </c>
      <c r="M31" s="19" t="s">
        <v>769</v>
      </c>
      <c r="N31" s="19" t="s">
        <v>13</v>
      </c>
      <c r="O31" s="19" t="s">
        <v>13</v>
      </c>
      <c r="P31" s="19" t="s">
        <v>13</v>
      </c>
      <c r="Q31" s="19"/>
      <c r="R31" s="19"/>
      <c r="T31" s="41"/>
    </row>
    <row r="32" spans="1:29" ht="16.5" customHeight="1">
      <c r="A32" s="28" t="s">
        <v>0</v>
      </c>
      <c r="B32" s="19" t="s">
        <v>875</v>
      </c>
      <c r="C32" s="19" t="s">
        <v>13</v>
      </c>
      <c r="D32" s="19" t="s">
        <v>9</v>
      </c>
      <c r="E32" s="19" t="s">
        <v>13</v>
      </c>
      <c r="F32" s="19" t="s">
        <v>356</v>
      </c>
      <c r="G32" s="19" t="s">
        <v>13</v>
      </c>
      <c r="H32" s="19" t="s">
        <v>13</v>
      </c>
      <c r="I32" s="19" t="s">
        <v>13</v>
      </c>
      <c r="J32" s="19" t="s">
        <v>13</v>
      </c>
      <c r="K32" s="19" t="s">
        <v>9</v>
      </c>
      <c r="L32" s="19" t="s">
        <v>13</v>
      </c>
      <c r="M32" s="19" t="s">
        <v>863</v>
      </c>
      <c r="N32" s="19" t="s">
        <v>13</v>
      </c>
      <c r="O32" s="19" t="s">
        <v>13</v>
      </c>
      <c r="P32" s="19" t="s">
        <v>13</v>
      </c>
      <c r="Q32" s="19"/>
      <c r="R32" s="19"/>
      <c r="T32" s="41"/>
      <c r="V32" s="40" t="s">
        <v>696</v>
      </c>
      <c r="W32" s="40">
        <f>SUM(W19:W31)</f>
        <v>16</v>
      </c>
      <c r="Y32" s="40">
        <f>SUM(Y19:Y31)</f>
        <v>16</v>
      </c>
    </row>
    <row r="33" spans="1:20" ht="16.5" customHeight="1">
      <c r="A33" s="28" t="s">
        <v>1</v>
      </c>
      <c r="B33" s="19"/>
      <c r="C33" s="19"/>
      <c r="D33" s="19"/>
      <c r="E33" s="19"/>
      <c r="F33" s="19"/>
      <c r="G33" s="19"/>
      <c r="H33" s="19"/>
      <c r="I33" s="19"/>
      <c r="J33" s="19"/>
      <c r="K33" s="19"/>
      <c r="L33" s="19"/>
      <c r="M33" s="19"/>
      <c r="N33" s="19"/>
      <c r="O33" s="19"/>
      <c r="P33" s="19"/>
      <c r="Q33" s="19"/>
      <c r="R33" s="19"/>
    </row>
    <row r="34" spans="1:20" ht="16.5" customHeight="1">
      <c r="A34" s="28" t="s">
        <v>366</v>
      </c>
      <c r="B34" s="19"/>
      <c r="C34" s="19"/>
      <c r="D34" s="19"/>
      <c r="E34" s="19"/>
      <c r="F34" s="19"/>
      <c r="G34" s="19"/>
      <c r="H34" s="19"/>
      <c r="I34" s="19"/>
      <c r="J34" s="19"/>
      <c r="K34" s="19"/>
      <c r="L34" s="19"/>
      <c r="M34" s="19"/>
      <c r="N34" s="19"/>
      <c r="O34" s="19"/>
      <c r="P34" s="19"/>
      <c r="Q34" s="19"/>
      <c r="R34" s="19"/>
    </row>
    <row r="35" spans="1:20" ht="12.75" customHeight="1">
      <c r="Q35" s="145" t="s">
        <v>82</v>
      </c>
      <c r="R35" s="145"/>
      <c r="T35" s="41"/>
    </row>
    <row r="36" spans="1:20">
      <c r="A36" s="40" t="s">
        <v>322</v>
      </c>
      <c r="B36" s="49"/>
      <c r="C36" s="49"/>
      <c r="D36" s="49"/>
      <c r="E36" s="49"/>
      <c r="F36" s="49"/>
      <c r="G36" s="49"/>
      <c r="H36" s="55"/>
      <c r="I36" s="49"/>
      <c r="J36" s="49"/>
      <c r="K36" s="49"/>
      <c r="L36" s="49"/>
      <c r="M36" s="49"/>
      <c r="N36" s="49"/>
      <c r="O36" s="49"/>
      <c r="T36" s="41"/>
    </row>
    <row r="37" spans="1:20">
      <c r="A37" s="43" t="s">
        <v>313</v>
      </c>
      <c r="B37" s="56" t="s">
        <v>976</v>
      </c>
      <c r="C37" s="55"/>
      <c r="D37" s="55"/>
      <c r="E37" s="55"/>
      <c r="F37" s="55"/>
      <c r="G37" s="55"/>
      <c r="H37" s="55"/>
      <c r="I37" s="55"/>
      <c r="J37" s="55"/>
      <c r="K37" s="55" t="s">
        <v>945</v>
      </c>
      <c r="L37" s="55"/>
      <c r="M37" s="55"/>
      <c r="N37" s="55"/>
      <c r="O37" s="55"/>
      <c r="P37" s="43"/>
      <c r="Q37" s="43"/>
      <c r="R37" s="43"/>
      <c r="T37" s="41"/>
    </row>
    <row r="38" spans="1:20">
      <c r="A38" s="43" t="s">
        <v>516</v>
      </c>
      <c r="B38" s="56" t="s">
        <v>980</v>
      </c>
      <c r="C38" s="55"/>
      <c r="D38" s="55"/>
      <c r="E38" s="55"/>
      <c r="F38" s="55"/>
      <c r="G38" s="55"/>
      <c r="H38" s="55"/>
      <c r="I38" s="55"/>
      <c r="J38" s="55"/>
      <c r="K38" s="55"/>
      <c r="L38" s="55"/>
      <c r="M38" s="55"/>
      <c r="N38" s="55"/>
      <c r="O38" s="55"/>
      <c r="P38" s="43"/>
      <c r="Q38" s="43"/>
      <c r="R38" s="43"/>
      <c r="T38" s="41"/>
    </row>
    <row r="39" spans="1:20">
      <c r="A39" s="43" t="s">
        <v>312</v>
      </c>
      <c r="B39" s="66" t="s">
        <v>977</v>
      </c>
      <c r="C39" s="55"/>
      <c r="D39" s="55"/>
      <c r="E39" s="55"/>
      <c r="F39" s="55"/>
      <c r="G39" s="55"/>
      <c r="H39" s="55"/>
      <c r="I39" s="55"/>
      <c r="J39" s="55"/>
      <c r="K39" s="55"/>
      <c r="L39" s="55"/>
      <c r="M39" s="55"/>
      <c r="N39" s="55"/>
      <c r="O39" s="55"/>
      <c r="P39" s="43"/>
      <c r="Q39" s="43"/>
      <c r="R39" s="43"/>
      <c r="T39" s="41"/>
    </row>
    <row r="40" spans="1:20">
      <c r="A40" s="43" t="s">
        <v>25</v>
      </c>
      <c r="B40" s="59" t="s">
        <v>979</v>
      </c>
      <c r="C40" s="55"/>
      <c r="D40" s="55"/>
      <c r="E40" s="55"/>
      <c r="F40" s="55"/>
      <c r="G40" s="55"/>
      <c r="H40" s="55"/>
      <c r="I40" s="55"/>
      <c r="J40" s="55"/>
      <c r="K40" s="55"/>
      <c r="L40" s="55"/>
      <c r="M40" s="55"/>
      <c r="N40" s="55"/>
      <c r="O40" s="55"/>
      <c r="P40" s="43"/>
      <c r="Q40" s="43"/>
      <c r="R40" s="43"/>
    </row>
    <row r="41" spans="1:20">
      <c r="A41" s="43" t="s">
        <v>153</v>
      </c>
      <c r="B41" s="59" t="s">
        <v>978</v>
      </c>
      <c r="C41" s="55"/>
      <c r="D41" s="55"/>
      <c r="E41" s="55"/>
      <c r="F41" s="55"/>
      <c r="G41" s="55"/>
      <c r="H41" s="55"/>
      <c r="I41" s="55"/>
      <c r="J41" s="55"/>
      <c r="K41" s="55"/>
      <c r="L41" s="55"/>
      <c r="M41" s="55"/>
      <c r="N41" s="55"/>
      <c r="O41" s="55"/>
      <c r="P41" s="43"/>
      <c r="Q41" s="43"/>
      <c r="R41" s="43"/>
    </row>
    <row r="42" spans="1:20">
      <c r="A42" s="43" t="s">
        <v>14</v>
      </c>
      <c r="B42" s="66" t="s">
        <v>977</v>
      </c>
      <c r="C42" s="55"/>
      <c r="D42" s="55"/>
      <c r="E42" s="55"/>
      <c r="F42" s="55"/>
      <c r="G42" s="55"/>
      <c r="H42" s="59"/>
      <c r="I42" s="55"/>
      <c r="J42" s="55"/>
      <c r="K42" s="55"/>
      <c r="L42" s="55"/>
      <c r="M42" s="55"/>
      <c r="N42" s="55"/>
      <c r="O42" s="55"/>
      <c r="P42" s="43"/>
      <c r="Q42" s="43"/>
      <c r="R42" s="43"/>
      <c r="T42" s="41"/>
    </row>
    <row r="43" spans="1:20">
      <c r="A43" s="43" t="s">
        <v>107</v>
      </c>
      <c r="B43" s="66" t="s">
        <v>981</v>
      </c>
      <c r="C43" s="55"/>
      <c r="D43" s="55"/>
      <c r="E43" s="55"/>
      <c r="F43" s="55"/>
      <c r="G43" s="55"/>
      <c r="H43" s="55"/>
      <c r="I43" s="55"/>
      <c r="J43" s="55"/>
      <c r="K43" s="55"/>
      <c r="L43" s="55"/>
      <c r="M43" s="55"/>
      <c r="N43" s="55"/>
      <c r="O43" s="55"/>
      <c r="P43" s="43"/>
      <c r="Q43" s="43"/>
      <c r="R43" s="43"/>
      <c r="T43" s="41"/>
    </row>
    <row r="44" spans="1:20">
      <c r="A44" s="43" t="s">
        <v>774</v>
      </c>
      <c r="B44" s="66" t="s">
        <v>983</v>
      </c>
      <c r="C44" s="55"/>
      <c r="D44" s="55"/>
      <c r="E44" s="55"/>
      <c r="F44" s="55"/>
      <c r="G44" s="55"/>
      <c r="H44" s="55"/>
      <c r="I44" s="55"/>
      <c r="J44" s="55"/>
      <c r="K44" s="55"/>
      <c r="L44" s="55"/>
      <c r="M44" s="55"/>
      <c r="N44" s="55"/>
      <c r="O44" s="55"/>
      <c r="P44" s="43"/>
      <c r="Q44" s="43"/>
      <c r="R44" s="43"/>
      <c r="T44" s="41"/>
    </row>
    <row r="45" spans="1:20">
      <c r="A45" s="43" t="s">
        <v>863</v>
      </c>
      <c r="B45" s="66" t="s">
        <v>984</v>
      </c>
      <c r="C45" s="43"/>
      <c r="D45" s="63"/>
      <c r="E45" s="43"/>
      <c r="F45" s="55"/>
      <c r="G45" s="63"/>
      <c r="H45" s="63"/>
      <c r="I45" s="63"/>
      <c r="J45" s="43"/>
      <c r="K45" s="43"/>
      <c r="L45" s="43"/>
      <c r="M45" s="43"/>
      <c r="N45" s="43"/>
      <c r="O45" s="43"/>
      <c r="P45" s="43"/>
      <c r="Q45" s="43"/>
      <c r="R45" s="43"/>
    </row>
    <row r="46" spans="1:20">
      <c r="A46" s="43"/>
      <c r="B46" s="55"/>
      <c r="C46" s="43"/>
      <c r="D46" s="43"/>
      <c r="E46" s="43"/>
      <c r="F46" s="43"/>
      <c r="G46" s="43"/>
      <c r="H46" s="43"/>
      <c r="I46" s="43"/>
      <c r="J46" s="43"/>
      <c r="K46" s="43"/>
      <c r="L46" s="43"/>
      <c r="M46" s="43"/>
      <c r="N46" s="43"/>
      <c r="O46" s="43"/>
      <c r="P46" s="43"/>
      <c r="Q46" s="43"/>
      <c r="R46" s="43"/>
      <c r="T46" s="41"/>
    </row>
    <row r="47" spans="1:20">
      <c r="A47" s="43"/>
      <c r="B47" s="43"/>
      <c r="C47" s="43"/>
      <c r="D47" s="43"/>
      <c r="E47" s="43"/>
      <c r="F47" s="43"/>
      <c r="G47" s="43"/>
      <c r="H47" s="43"/>
      <c r="I47" s="43"/>
      <c r="J47" s="43"/>
      <c r="K47" s="43"/>
      <c r="L47" s="43"/>
      <c r="M47" s="43"/>
      <c r="N47" s="43"/>
      <c r="O47" s="43"/>
      <c r="P47" s="43"/>
      <c r="Q47" s="43"/>
      <c r="R47" s="43"/>
      <c r="T47" s="41"/>
    </row>
    <row r="48" spans="1:20">
      <c r="A48" s="43"/>
      <c r="B48" s="43"/>
      <c r="C48" s="43"/>
      <c r="D48" s="43"/>
      <c r="E48" s="43"/>
      <c r="F48" s="43"/>
      <c r="G48" s="43"/>
      <c r="H48" s="43"/>
      <c r="I48" s="43"/>
      <c r="J48" s="43"/>
      <c r="K48" s="43"/>
      <c r="L48" s="43"/>
      <c r="M48" s="43"/>
      <c r="N48" s="43"/>
      <c r="O48" s="43"/>
      <c r="P48" s="43"/>
      <c r="Q48" s="43"/>
      <c r="R48" s="43"/>
      <c r="T48" s="41"/>
    </row>
    <row r="49" spans="1:18">
      <c r="A49" s="43"/>
      <c r="B49" s="43"/>
      <c r="C49" s="43"/>
      <c r="D49" s="43"/>
      <c r="E49" s="43"/>
      <c r="F49" s="43"/>
      <c r="G49" s="43"/>
      <c r="H49" s="43"/>
      <c r="I49" s="43"/>
      <c r="J49" s="43"/>
      <c r="K49" s="43"/>
      <c r="L49" s="43"/>
      <c r="M49" s="43"/>
      <c r="N49" s="43"/>
      <c r="O49" s="43"/>
      <c r="P49" s="43"/>
      <c r="Q49" s="43"/>
      <c r="R49" s="43"/>
    </row>
    <row r="50" spans="1:18">
      <c r="A50" s="43"/>
      <c r="B50" s="43"/>
      <c r="C50" s="43"/>
      <c r="D50" s="43"/>
      <c r="E50" s="43"/>
      <c r="F50" s="43"/>
      <c r="G50" s="43"/>
      <c r="H50" s="43"/>
      <c r="I50" s="43"/>
      <c r="J50" s="43"/>
      <c r="K50" s="43"/>
      <c r="L50" s="43"/>
      <c r="M50" s="43"/>
      <c r="N50" s="43"/>
      <c r="O50" s="43"/>
      <c r="P50" s="43"/>
      <c r="Q50" s="43"/>
      <c r="R50" s="43"/>
    </row>
    <row r="51" spans="1:18">
      <c r="A51" s="43"/>
      <c r="B51" s="43"/>
      <c r="C51" s="43"/>
      <c r="D51" s="43"/>
      <c r="E51" s="43"/>
      <c r="F51" s="43"/>
      <c r="G51" s="43"/>
      <c r="H51" s="43"/>
      <c r="I51" s="43"/>
      <c r="J51" s="43"/>
      <c r="K51" s="43"/>
      <c r="L51" s="43"/>
      <c r="M51" s="43"/>
      <c r="N51" s="43"/>
      <c r="O51" s="43"/>
      <c r="P51" s="43"/>
      <c r="Q51" s="43"/>
      <c r="R51" s="43"/>
    </row>
  </sheetData>
  <mergeCells count="2">
    <mergeCell ref="A1:R1"/>
    <mergeCell ref="Q35:R35"/>
  </mergeCells>
  <phoneticPr fontId="2"/>
  <pageMargins left="0.70866141732283472" right="0.70866141732283472" top="0" bottom="0" header="0.31496062992125984" footer="0.31496062992125984"/>
  <pageSetup paperSize="9" orientation="landscape" r:id="rId1"/>
  <drawing r:id="rId2"/>
  <legacyDrawing r:id="rId3"/>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B1C60-B8DC-4749-9A8E-0693FF7D0827}">
  <dimension ref="A1:AC51"/>
  <sheetViews>
    <sheetView zoomScaleNormal="100" workbookViewId="0">
      <selection activeCell="P28" sqref="P28:R30"/>
    </sheetView>
  </sheetViews>
  <sheetFormatPr defaultColWidth="9" defaultRowHeight="18.75"/>
  <cols>
    <col min="1" max="18" width="6.625" style="40" customWidth="1"/>
    <col min="19" max="19" width="3.625" style="40" customWidth="1"/>
    <col min="20" max="20" width="6.625" style="40" customWidth="1"/>
    <col min="21" max="21" width="3.625" style="40" customWidth="1"/>
    <col min="22" max="37" width="6.625" style="40" customWidth="1"/>
    <col min="38" max="38" width="3.625" style="40" customWidth="1"/>
    <col min="39" max="16384" width="9" style="40"/>
  </cols>
  <sheetData>
    <row r="1" spans="1:29">
      <c r="A1" s="147" t="s">
        <v>964</v>
      </c>
      <c r="B1" s="147"/>
      <c r="C1" s="147"/>
      <c r="D1" s="147"/>
      <c r="E1" s="147"/>
      <c r="F1" s="147"/>
      <c r="G1" s="147"/>
      <c r="H1" s="147"/>
      <c r="I1" s="147"/>
      <c r="J1" s="147"/>
      <c r="K1" s="147"/>
      <c r="L1" s="147"/>
      <c r="M1" s="147"/>
      <c r="N1" s="147"/>
      <c r="O1" s="147"/>
      <c r="P1" s="147"/>
      <c r="Q1" s="147"/>
      <c r="R1" s="147"/>
      <c r="X1" s="40" t="s">
        <v>669</v>
      </c>
    </row>
    <row r="2" spans="1:29" ht="16.5" customHeight="1">
      <c r="A2" s="26" t="s">
        <v>244</v>
      </c>
      <c r="B2" s="27">
        <v>44916</v>
      </c>
      <c r="C2" s="27">
        <v>44917</v>
      </c>
      <c r="D2" s="27">
        <v>44918</v>
      </c>
      <c r="E2" s="31">
        <v>44919</v>
      </c>
      <c r="F2" s="31">
        <v>44920</v>
      </c>
      <c r="G2" s="27">
        <v>44921</v>
      </c>
      <c r="H2" s="27">
        <v>44922</v>
      </c>
      <c r="I2" s="27">
        <v>44923</v>
      </c>
      <c r="J2" s="27">
        <v>44924</v>
      </c>
      <c r="K2" s="27">
        <v>44925</v>
      </c>
      <c r="L2" s="31">
        <v>44926</v>
      </c>
      <c r="M2" s="23" t="s">
        <v>278</v>
      </c>
      <c r="N2" s="30">
        <v>44927</v>
      </c>
      <c r="O2" s="25">
        <v>44928</v>
      </c>
      <c r="P2" s="25">
        <v>44929</v>
      </c>
      <c r="Q2" s="25">
        <v>44930</v>
      </c>
      <c r="R2" s="25">
        <v>44931</v>
      </c>
      <c r="V2" s="40" t="s">
        <v>63</v>
      </c>
      <c r="X2" s="40" t="s">
        <v>64</v>
      </c>
      <c r="Z2" s="40" t="s">
        <v>169</v>
      </c>
      <c r="AB2" s="40" t="s">
        <v>874</v>
      </c>
    </row>
    <row r="3" spans="1:29" ht="16.5" customHeight="1">
      <c r="A3" s="28">
        <v>1</v>
      </c>
      <c r="B3" s="19"/>
      <c r="C3" s="19"/>
      <c r="D3" s="19"/>
      <c r="E3" s="19" t="s">
        <v>7</v>
      </c>
      <c r="F3" s="19" t="s">
        <v>533</v>
      </c>
      <c r="G3" s="19"/>
      <c r="H3" s="19"/>
      <c r="I3" s="19"/>
      <c r="J3" s="19"/>
      <c r="K3" s="19"/>
      <c r="L3" s="19"/>
      <c r="M3" s="36">
        <v>1</v>
      </c>
      <c r="N3" s="19"/>
      <c r="O3" s="19"/>
      <c r="P3" s="19"/>
      <c r="Q3" s="19"/>
      <c r="R3" s="19"/>
      <c r="V3" s="40" t="s">
        <v>25</v>
      </c>
      <c r="W3" s="40">
        <v>2</v>
      </c>
      <c r="X3" s="40" t="s">
        <v>45</v>
      </c>
      <c r="Y3" s="40">
        <v>2</v>
      </c>
      <c r="Z3" s="40" t="s">
        <v>153</v>
      </c>
      <c r="AA3" s="40">
        <v>1.8</v>
      </c>
      <c r="AB3" s="40" t="s">
        <v>37</v>
      </c>
      <c r="AC3" s="40">
        <v>3</v>
      </c>
    </row>
    <row r="4" spans="1:29" ht="16.5" customHeight="1">
      <c r="A4" s="28">
        <v>2</v>
      </c>
      <c r="B4" s="19"/>
      <c r="C4" s="19"/>
      <c r="D4" s="19"/>
      <c r="E4" s="19" t="s">
        <v>25</v>
      </c>
      <c r="F4" s="19" t="s">
        <v>93</v>
      </c>
      <c r="G4" s="61"/>
      <c r="I4" s="19"/>
      <c r="J4" s="19"/>
      <c r="K4" s="19"/>
      <c r="L4" s="19"/>
      <c r="M4" s="36">
        <v>2</v>
      </c>
      <c r="N4" s="19"/>
      <c r="O4" s="19"/>
      <c r="Q4" s="19"/>
      <c r="R4" s="19"/>
      <c r="T4" s="41"/>
      <c r="U4" s="41"/>
      <c r="V4" s="40" t="s">
        <v>2</v>
      </c>
      <c r="W4" s="40">
        <v>2</v>
      </c>
      <c r="X4" s="40" t="s">
        <v>14</v>
      </c>
      <c r="Y4" s="40">
        <v>3</v>
      </c>
      <c r="Z4" s="40" t="s">
        <v>26</v>
      </c>
      <c r="AA4" s="40">
        <v>5</v>
      </c>
      <c r="AB4" s="40" t="s">
        <v>863</v>
      </c>
      <c r="AC4" s="40">
        <v>6</v>
      </c>
    </row>
    <row r="5" spans="1:29" ht="16.5" customHeight="1">
      <c r="A5" s="28">
        <v>3</v>
      </c>
      <c r="B5" s="19"/>
      <c r="C5" s="19"/>
      <c r="D5" s="19"/>
      <c r="E5" s="19" t="s">
        <v>843</v>
      </c>
      <c r="F5" s="19" t="s">
        <v>855</v>
      </c>
      <c r="G5" s="19"/>
      <c r="H5" s="19"/>
      <c r="I5" s="19"/>
      <c r="J5" s="19"/>
      <c r="K5" s="19"/>
      <c r="L5" s="19"/>
      <c r="M5" s="36">
        <v>3</v>
      </c>
      <c r="N5" s="19"/>
      <c r="O5" s="19"/>
      <c r="P5" s="19"/>
      <c r="Q5" s="19"/>
      <c r="R5" s="19"/>
      <c r="T5" s="41"/>
      <c r="U5" s="41"/>
      <c r="V5" s="40" t="s">
        <v>516</v>
      </c>
      <c r="W5" s="40">
        <v>3</v>
      </c>
      <c r="X5" s="40" t="s">
        <v>6</v>
      </c>
      <c r="Y5" s="40">
        <v>2</v>
      </c>
      <c r="Z5" s="40" t="s">
        <v>6</v>
      </c>
      <c r="AA5" s="40">
        <v>6</v>
      </c>
      <c r="AB5" s="40" t="s">
        <v>864</v>
      </c>
      <c r="AC5" s="40">
        <v>1</v>
      </c>
    </row>
    <row r="6" spans="1:29" ht="16.5" customHeight="1">
      <c r="A6" s="28" t="s">
        <v>20</v>
      </c>
      <c r="B6" s="19" t="s">
        <v>769</v>
      </c>
      <c r="C6" s="19" t="s">
        <v>13</v>
      </c>
      <c r="D6" s="19" t="s">
        <v>13</v>
      </c>
      <c r="E6" s="19" t="s">
        <v>13</v>
      </c>
      <c r="F6" s="19" t="s">
        <v>13</v>
      </c>
      <c r="G6" s="19" t="s">
        <v>774</v>
      </c>
      <c r="H6" s="19" t="s">
        <v>13</v>
      </c>
      <c r="I6" s="19" t="s">
        <v>13</v>
      </c>
      <c r="J6" s="19"/>
      <c r="K6" s="19"/>
      <c r="L6" s="19"/>
      <c r="M6" s="36" t="s">
        <v>20</v>
      </c>
      <c r="N6" s="19"/>
      <c r="O6" s="19"/>
      <c r="P6" s="19"/>
      <c r="Q6" s="19" t="s">
        <v>774</v>
      </c>
      <c r="R6" s="19" t="s">
        <v>13</v>
      </c>
      <c r="T6" s="41"/>
      <c r="U6" s="41"/>
      <c r="V6" s="40" t="s">
        <v>7</v>
      </c>
      <c r="W6" s="40">
        <v>2</v>
      </c>
      <c r="X6" s="40" t="s">
        <v>23</v>
      </c>
      <c r="Y6" s="40">
        <v>2</v>
      </c>
      <c r="Z6" s="40" t="s">
        <v>23</v>
      </c>
      <c r="AA6" s="65" t="s">
        <v>963</v>
      </c>
      <c r="AB6" s="40" t="s">
        <v>875</v>
      </c>
      <c r="AC6" s="40">
        <v>5.8</v>
      </c>
    </row>
    <row r="7" spans="1:29" ht="16.5" customHeight="1">
      <c r="A7" s="28" t="s">
        <v>0</v>
      </c>
      <c r="B7" s="19" t="s">
        <v>356</v>
      </c>
      <c r="C7" s="19" t="s">
        <v>13</v>
      </c>
      <c r="D7" s="19" t="s">
        <v>13</v>
      </c>
      <c r="E7" s="19" t="s">
        <v>9</v>
      </c>
      <c r="F7" s="19" t="s">
        <v>13</v>
      </c>
      <c r="G7" s="19" t="s">
        <v>875</v>
      </c>
      <c r="H7" s="19" t="s">
        <v>13</v>
      </c>
      <c r="I7" s="19" t="s">
        <v>13</v>
      </c>
      <c r="J7" s="19"/>
      <c r="K7" s="19"/>
      <c r="L7" s="19"/>
      <c r="M7" s="36" t="s">
        <v>0</v>
      </c>
      <c r="N7" s="19"/>
      <c r="O7" s="19"/>
      <c r="P7" s="19"/>
      <c r="Q7" s="19" t="s">
        <v>356</v>
      </c>
      <c r="R7" s="19" t="s">
        <v>13</v>
      </c>
      <c r="T7" s="41"/>
      <c r="U7" s="41"/>
      <c r="V7" s="40" t="s">
        <v>21</v>
      </c>
      <c r="W7" s="40">
        <v>2</v>
      </c>
      <c r="X7" s="40" t="s">
        <v>153</v>
      </c>
      <c r="Y7" s="40">
        <v>1</v>
      </c>
      <c r="Z7" s="40" t="s">
        <v>25</v>
      </c>
      <c r="AA7" s="40">
        <v>7</v>
      </c>
      <c r="AB7" s="40" t="s">
        <v>356</v>
      </c>
      <c r="AC7" s="40" t="s">
        <v>956</v>
      </c>
    </row>
    <row r="8" spans="1:29" ht="16.5" customHeight="1">
      <c r="A8" s="28" t="s">
        <v>1</v>
      </c>
      <c r="B8" s="19"/>
      <c r="C8" s="19"/>
      <c r="D8" s="19"/>
      <c r="E8" s="19"/>
      <c r="F8" s="19"/>
      <c r="G8" s="19"/>
      <c r="H8" s="19"/>
      <c r="I8" s="19"/>
      <c r="J8" s="19"/>
      <c r="K8" s="19"/>
      <c r="L8" s="19"/>
      <c r="M8" s="36" t="s">
        <v>1</v>
      </c>
      <c r="N8" s="19"/>
      <c r="O8" s="19"/>
      <c r="P8" s="19"/>
      <c r="Q8" s="19"/>
      <c r="R8" s="19"/>
      <c r="T8" s="41"/>
      <c r="V8" s="40" t="s">
        <v>26</v>
      </c>
      <c r="W8" s="40">
        <v>2</v>
      </c>
      <c r="X8" s="40" t="s">
        <v>327</v>
      </c>
      <c r="Y8" s="40">
        <v>2</v>
      </c>
      <c r="Z8" s="40" t="s">
        <v>327</v>
      </c>
      <c r="AA8" s="64" t="s">
        <v>324</v>
      </c>
    </row>
    <row r="9" spans="1:29" ht="16.5" customHeight="1">
      <c r="A9" s="28" t="s">
        <v>366</v>
      </c>
      <c r="B9" s="19"/>
      <c r="C9" s="19"/>
      <c r="D9" s="19"/>
      <c r="E9" s="19"/>
      <c r="F9" s="19"/>
      <c r="G9" s="19"/>
      <c r="H9" s="19"/>
      <c r="I9" s="19"/>
      <c r="J9" s="19"/>
      <c r="K9" s="19"/>
      <c r="L9" s="19"/>
      <c r="M9" s="36" t="s">
        <v>366</v>
      </c>
      <c r="N9" s="19"/>
      <c r="O9" s="19"/>
      <c r="P9" s="19"/>
      <c r="Q9" s="19"/>
      <c r="R9" s="19"/>
      <c r="T9" s="41"/>
      <c r="V9" s="40" t="s">
        <v>27</v>
      </c>
      <c r="W9" s="40">
        <v>2</v>
      </c>
      <c r="X9" s="40" t="s">
        <v>28</v>
      </c>
      <c r="Y9" s="40">
        <v>2</v>
      </c>
      <c r="Z9" s="40" t="s">
        <v>516</v>
      </c>
      <c r="AA9" s="40">
        <v>4</v>
      </c>
    </row>
    <row r="10" spans="1:29" ht="16.5" customHeight="1">
      <c r="A10" s="23" t="s">
        <v>278</v>
      </c>
      <c r="B10" s="25">
        <v>44932</v>
      </c>
      <c r="C10" s="30">
        <v>44933</v>
      </c>
      <c r="D10" s="30">
        <v>44934</v>
      </c>
      <c r="E10" s="25">
        <v>44935</v>
      </c>
      <c r="F10" s="25">
        <v>44936</v>
      </c>
      <c r="G10" s="25">
        <v>44937</v>
      </c>
      <c r="H10" s="25">
        <v>44938</v>
      </c>
      <c r="I10" s="25">
        <v>44939</v>
      </c>
      <c r="J10" s="30">
        <v>44940</v>
      </c>
      <c r="K10" s="30">
        <v>44941</v>
      </c>
      <c r="L10" s="25">
        <v>44942</v>
      </c>
      <c r="M10" s="25">
        <v>44943</v>
      </c>
      <c r="N10" s="25">
        <v>44944</v>
      </c>
      <c r="O10" s="25">
        <v>44945</v>
      </c>
      <c r="P10" s="25">
        <v>44946</v>
      </c>
      <c r="Q10" s="19"/>
      <c r="R10" s="19"/>
      <c r="T10" s="41"/>
      <c r="V10" s="40" t="s">
        <v>533</v>
      </c>
      <c r="W10" s="40">
        <v>2</v>
      </c>
      <c r="X10" s="40" t="s">
        <v>152</v>
      </c>
      <c r="Y10" s="40">
        <v>2</v>
      </c>
      <c r="Z10" s="40" t="s">
        <v>864</v>
      </c>
      <c r="AA10" s="40">
        <v>9</v>
      </c>
    </row>
    <row r="11" spans="1:29" ht="16.5" customHeight="1">
      <c r="A11" s="36">
        <v>1</v>
      </c>
      <c r="B11" s="19"/>
      <c r="C11" s="19" t="s">
        <v>315</v>
      </c>
      <c r="D11" s="19" t="s">
        <v>312</v>
      </c>
      <c r="E11" s="19"/>
      <c r="F11" s="19"/>
      <c r="G11" s="19"/>
      <c r="H11" s="19"/>
      <c r="I11" s="19"/>
      <c r="J11" s="19" t="s">
        <v>2</v>
      </c>
      <c r="K11" s="19" t="s">
        <v>107</v>
      </c>
      <c r="L11" s="19"/>
      <c r="N11" s="19"/>
      <c r="O11" s="19"/>
      <c r="P11" s="19"/>
      <c r="Q11" s="19"/>
      <c r="R11" s="19"/>
      <c r="T11" s="41"/>
      <c r="V11" s="40" t="s">
        <v>314</v>
      </c>
      <c r="W11" s="40">
        <v>1</v>
      </c>
      <c r="X11" s="40" t="s">
        <v>864</v>
      </c>
      <c r="Y11" s="40">
        <v>2</v>
      </c>
    </row>
    <row r="12" spans="1:29" ht="16.5" customHeight="1">
      <c r="A12" s="36">
        <v>2</v>
      </c>
      <c r="B12" s="19"/>
      <c r="C12" s="19" t="s">
        <v>153</v>
      </c>
      <c r="D12" s="19" t="s">
        <v>314</v>
      </c>
      <c r="E12" s="19"/>
      <c r="F12" s="19"/>
      <c r="G12" s="19"/>
      <c r="H12" s="19"/>
      <c r="I12" s="19"/>
      <c r="J12" s="19" t="s">
        <v>313</v>
      </c>
      <c r="K12" s="19" t="s">
        <v>6</v>
      </c>
      <c r="L12" s="19"/>
      <c r="M12" s="19"/>
      <c r="N12" s="19"/>
      <c r="O12" s="19"/>
      <c r="P12" s="19"/>
      <c r="Q12" s="19"/>
      <c r="R12" s="19"/>
      <c r="T12" s="41"/>
    </row>
    <row r="13" spans="1:29" ht="16.5" customHeight="1">
      <c r="A13" s="36">
        <v>3</v>
      </c>
      <c r="B13" s="19"/>
      <c r="C13" s="19" t="s">
        <v>843</v>
      </c>
      <c r="D13" s="19" t="s">
        <v>855</v>
      </c>
      <c r="E13" s="19"/>
      <c r="F13" s="19"/>
      <c r="G13" s="19"/>
      <c r="H13" s="19"/>
      <c r="I13" s="19"/>
      <c r="J13" s="19" t="s">
        <v>843</v>
      </c>
      <c r="K13" s="19" t="s">
        <v>855</v>
      </c>
      <c r="L13" s="19"/>
      <c r="M13" s="19"/>
      <c r="N13" s="19"/>
      <c r="O13" s="19"/>
      <c r="P13" s="19"/>
      <c r="Q13" s="19"/>
      <c r="R13" s="19"/>
      <c r="T13" s="41"/>
    </row>
    <row r="14" spans="1:29" ht="16.5" customHeight="1">
      <c r="A14" s="36" t="s">
        <v>20</v>
      </c>
      <c r="B14" s="19" t="s">
        <v>774</v>
      </c>
      <c r="C14" s="19" t="s">
        <v>13</v>
      </c>
      <c r="D14" s="19" t="s">
        <v>13</v>
      </c>
      <c r="E14" s="19" t="s">
        <v>516</v>
      </c>
      <c r="F14" s="19" t="s">
        <v>13</v>
      </c>
      <c r="G14" s="19" t="s">
        <v>13</v>
      </c>
      <c r="H14" s="19" t="s">
        <v>13</v>
      </c>
      <c r="I14" s="19" t="s">
        <v>13</v>
      </c>
      <c r="J14" s="19" t="s">
        <v>13</v>
      </c>
      <c r="K14" s="19" t="s">
        <v>13</v>
      </c>
      <c r="L14" s="19" t="s">
        <v>312</v>
      </c>
      <c r="M14" s="19" t="s">
        <v>13</v>
      </c>
      <c r="N14" s="19" t="s">
        <v>13</v>
      </c>
      <c r="O14" s="19" t="s">
        <v>13</v>
      </c>
      <c r="P14" s="19" t="s">
        <v>13</v>
      </c>
      <c r="Q14" s="19"/>
      <c r="R14" s="19"/>
      <c r="T14" s="41"/>
    </row>
    <row r="15" spans="1:29" ht="16.5" customHeight="1">
      <c r="A15" s="36" t="s">
        <v>0</v>
      </c>
      <c r="B15" s="19" t="s">
        <v>356</v>
      </c>
      <c r="C15" s="19" t="s">
        <v>9</v>
      </c>
      <c r="D15" s="19" t="s">
        <v>13</v>
      </c>
      <c r="E15" s="19" t="s">
        <v>875</v>
      </c>
      <c r="F15" s="19" t="s">
        <v>13</v>
      </c>
      <c r="G15" s="19" t="s">
        <v>13</v>
      </c>
      <c r="H15" s="19" t="s">
        <v>13</v>
      </c>
      <c r="I15" s="19" t="s">
        <v>13</v>
      </c>
      <c r="J15" s="19" t="s">
        <v>9</v>
      </c>
      <c r="K15" s="19" t="s">
        <v>13</v>
      </c>
      <c r="L15" s="19" t="s">
        <v>356</v>
      </c>
      <c r="M15" s="19" t="s">
        <v>13</v>
      </c>
      <c r="N15" s="19" t="s">
        <v>13</v>
      </c>
      <c r="O15" s="19" t="s">
        <v>13</v>
      </c>
      <c r="P15" s="19" t="s">
        <v>13</v>
      </c>
      <c r="Q15" s="19"/>
      <c r="R15" s="19"/>
      <c r="T15" s="41"/>
      <c r="V15" s="40" t="s">
        <v>567</v>
      </c>
      <c r="W15" s="40">
        <f>SUM(W2:W14)</f>
        <v>18</v>
      </c>
      <c r="Y15" s="40">
        <f>SUM(Y2:Y14)</f>
        <v>18</v>
      </c>
    </row>
    <row r="16" spans="1:29" ht="16.5" customHeight="1">
      <c r="A16" s="36" t="s">
        <v>1</v>
      </c>
      <c r="B16" s="19"/>
      <c r="C16" s="19"/>
      <c r="D16" s="19"/>
      <c r="E16" s="19"/>
      <c r="F16" s="19"/>
      <c r="G16" s="19"/>
      <c r="H16" s="19"/>
      <c r="I16" s="19"/>
      <c r="J16" s="19"/>
      <c r="K16" s="19"/>
      <c r="L16" s="19"/>
      <c r="M16" s="19"/>
      <c r="N16" s="19"/>
      <c r="O16" s="19"/>
      <c r="P16" s="19"/>
      <c r="Q16" s="19"/>
      <c r="R16" s="19"/>
      <c r="T16" s="41"/>
    </row>
    <row r="17" spans="1:29" ht="16.5" customHeight="1">
      <c r="A17" s="36" t="s">
        <v>366</v>
      </c>
      <c r="B17" s="19"/>
      <c r="C17" s="19"/>
      <c r="D17" s="19"/>
      <c r="E17" s="19"/>
      <c r="F17" s="19"/>
      <c r="G17" s="19"/>
      <c r="H17" s="19"/>
      <c r="I17" s="19"/>
      <c r="J17" s="19"/>
      <c r="K17" s="19"/>
      <c r="L17" s="19"/>
      <c r="M17" s="19"/>
      <c r="N17" s="19"/>
      <c r="O17" s="19"/>
      <c r="P17" s="19"/>
      <c r="Q17" s="19"/>
      <c r="R17" s="19"/>
      <c r="T17" s="41"/>
    </row>
    <row r="18" spans="1:29" ht="11.25" customHeight="1">
      <c r="A18" s="42"/>
      <c r="B18" s="37"/>
      <c r="C18" s="37"/>
      <c r="D18" s="37"/>
      <c r="E18" s="37"/>
      <c r="F18" s="37"/>
      <c r="G18" s="37"/>
      <c r="H18" s="38"/>
      <c r="I18" s="38"/>
      <c r="J18" s="38"/>
      <c r="K18" s="38"/>
      <c r="L18" s="38"/>
      <c r="M18" s="38"/>
      <c r="N18" s="38"/>
      <c r="O18" s="38"/>
      <c r="P18" s="37"/>
      <c r="Q18" s="37"/>
      <c r="R18" s="39"/>
      <c r="T18" s="41"/>
      <c r="X18" s="40" t="s">
        <v>495</v>
      </c>
    </row>
    <row r="19" spans="1:29" ht="16.5" customHeight="1">
      <c r="A19" s="23" t="s">
        <v>278</v>
      </c>
      <c r="B19" s="30">
        <v>44947</v>
      </c>
      <c r="C19" s="30">
        <v>44948</v>
      </c>
      <c r="D19" s="25">
        <v>44949</v>
      </c>
      <c r="E19" s="25">
        <v>44950</v>
      </c>
      <c r="F19" s="25">
        <v>44951</v>
      </c>
      <c r="G19" s="25">
        <v>44952</v>
      </c>
      <c r="H19" s="25">
        <v>44953</v>
      </c>
      <c r="I19" s="30">
        <v>44954</v>
      </c>
      <c r="J19" s="30">
        <v>44955</v>
      </c>
      <c r="K19" s="25">
        <v>44956</v>
      </c>
      <c r="L19" s="25">
        <v>44957</v>
      </c>
      <c r="M19" s="26" t="s">
        <v>279</v>
      </c>
      <c r="N19" s="27">
        <v>44958</v>
      </c>
      <c r="O19" s="27">
        <v>44959</v>
      </c>
      <c r="P19" s="27">
        <v>44960</v>
      </c>
      <c r="Q19" s="31">
        <v>44961</v>
      </c>
      <c r="R19" s="31">
        <v>44962</v>
      </c>
      <c r="T19" s="41"/>
      <c r="V19" s="40" t="s">
        <v>63</v>
      </c>
      <c r="X19" s="40" t="s">
        <v>64</v>
      </c>
      <c r="Z19" s="40" t="s">
        <v>169</v>
      </c>
      <c r="AB19" s="40" t="s">
        <v>874</v>
      </c>
    </row>
    <row r="20" spans="1:29" ht="16.5" customHeight="1">
      <c r="A20" s="36">
        <v>1</v>
      </c>
      <c r="B20" s="19" t="s">
        <v>7</v>
      </c>
      <c r="C20" s="19" t="s">
        <v>25</v>
      </c>
      <c r="D20" s="19"/>
      <c r="E20" s="19"/>
      <c r="F20" s="19"/>
      <c r="G20" s="19"/>
      <c r="H20" s="19"/>
      <c r="I20" s="19" t="s">
        <v>516</v>
      </c>
      <c r="J20" s="19" t="s">
        <v>315</v>
      </c>
      <c r="K20" s="19"/>
      <c r="L20" s="19"/>
      <c r="M20" s="28">
        <v>1</v>
      </c>
      <c r="N20" s="19"/>
      <c r="O20" s="19"/>
      <c r="P20" s="19"/>
      <c r="Q20" s="19" t="s">
        <v>533</v>
      </c>
      <c r="R20" s="19" t="s">
        <v>312</v>
      </c>
      <c r="T20" s="41"/>
      <c r="V20" s="40" t="s">
        <v>25</v>
      </c>
      <c r="W20" s="40">
        <v>1</v>
      </c>
      <c r="X20" s="40" t="s">
        <v>45</v>
      </c>
      <c r="Y20" s="40">
        <v>3</v>
      </c>
      <c r="Z20" s="40" t="s">
        <v>153</v>
      </c>
      <c r="AA20" s="40">
        <v>8</v>
      </c>
      <c r="AB20" s="40" t="s">
        <v>37</v>
      </c>
      <c r="AC20" s="40">
        <v>10</v>
      </c>
    </row>
    <row r="21" spans="1:29" ht="16.5" customHeight="1">
      <c r="A21" s="36">
        <v>2</v>
      </c>
      <c r="B21" s="19" t="s">
        <v>93</v>
      </c>
      <c r="C21" s="19" t="s">
        <v>774</v>
      </c>
      <c r="D21" s="19"/>
      <c r="F21" s="19"/>
      <c r="G21" s="19"/>
      <c r="H21" s="19"/>
      <c r="I21" s="19" t="s">
        <v>769</v>
      </c>
      <c r="J21" s="19" t="s">
        <v>14</v>
      </c>
      <c r="K21" s="19"/>
      <c r="L21" s="61"/>
      <c r="M21" s="28">
        <v>2</v>
      </c>
      <c r="N21" s="19"/>
      <c r="O21" s="19"/>
      <c r="P21" s="19"/>
      <c r="Q21" s="19" t="s">
        <v>314</v>
      </c>
      <c r="R21" s="19" t="s">
        <v>864</v>
      </c>
      <c r="T21" s="41"/>
      <c r="V21" s="40" t="s">
        <v>2</v>
      </c>
      <c r="W21" s="40">
        <v>2</v>
      </c>
      <c r="X21" s="40" t="s">
        <v>14</v>
      </c>
      <c r="Y21" s="40">
        <v>1</v>
      </c>
      <c r="Z21" s="40" t="s">
        <v>26</v>
      </c>
      <c r="AA21" s="40">
        <v>5</v>
      </c>
      <c r="AB21" s="40" t="s">
        <v>863</v>
      </c>
      <c r="AC21" s="40">
        <v>6</v>
      </c>
    </row>
    <row r="22" spans="1:29" ht="16.5" customHeight="1">
      <c r="A22" s="36">
        <v>3</v>
      </c>
      <c r="B22" s="19" t="s">
        <v>843</v>
      </c>
      <c r="C22" s="19" t="s">
        <v>855</v>
      </c>
      <c r="D22" s="19"/>
      <c r="E22" s="19"/>
      <c r="F22" s="19"/>
      <c r="G22" s="19"/>
      <c r="H22" s="19"/>
      <c r="I22" s="19" t="s">
        <v>843</v>
      </c>
      <c r="J22" s="19" t="s">
        <v>855</v>
      </c>
      <c r="K22" s="19"/>
      <c r="L22" s="19"/>
      <c r="M22" s="28">
        <v>3</v>
      </c>
      <c r="N22" s="19"/>
      <c r="O22" s="19"/>
      <c r="P22" s="19"/>
      <c r="Q22" s="19" t="s">
        <v>843</v>
      </c>
      <c r="R22" s="19" t="s">
        <v>855</v>
      </c>
      <c r="T22" s="41"/>
      <c r="V22" s="40" t="s">
        <v>516</v>
      </c>
      <c r="W22" s="40">
        <v>1</v>
      </c>
      <c r="X22" s="40" t="s">
        <v>6</v>
      </c>
      <c r="Y22" s="40">
        <v>2</v>
      </c>
      <c r="Z22" s="40" t="s">
        <v>6</v>
      </c>
      <c r="AA22" s="40">
        <v>6</v>
      </c>
      <c r="AB22" s="40" t="s">
        <v>864</v>
      </c>
    </row>
    <row r="23" spans="1:29" ht="16.5" customHeight="1">
      <c r="A23" s="36" t="s">
        <v>20</v>
      </c>
      <c r="B23" s="19" t="s">
        <v>312</v>
      </c>
      <c r="C23" s="19" t="s">
        <v>13</v>
      </c>
      <c r="D23" s="19" t="s">
        <v>6</v>
      </c>
      <c r="E23" s="19" t="s">
        <v>13</v>
      </c>
      <c r="F23" s="19" t="s">
        <v>13</v>
      </c>
      <c r="G23" s="19" t="s">
        <v>13</v>
      </c>
      <c r="H23" s="19" t="s">
        <v>13</v>
      </c>
      <c r="I23" s="19" t="s">
        <v>13</v>
      </c>
      <c r="J23" s="19" t="s">
        <v>13</v>
      </c>
      <c r="K23" s="19" t="s">
        <v>25</v>
      </c>
      <c r="L23" s="19" t="s">
        <v>13</v>
      </c>
      <c r="M23" s="28" t="s">
        <v>20</v>
      </c>
      <c r="N23" s="19" t="s">
        <v>25</v>
      </c>
      <c r="O23" s="19" t="s">
        <v>13</v>
      </c>
      <c r="P23" s="19" t="s">
        <v>13</v>
      </c>
      <c r="Q23" s="19" t="s">
        <v>13</v>
      </c>
      <c r="R23" s="19" t="s">
        <v>13</v>
      </c>
      <c r="T23" s="41"/>
      <c r="V23" s="40" t="s">
        <v>7</v>
      </c>
      <c r="W23" s="40">
        <v>3</v>
      </c>
      <c r="X23" s="40" t="s">
        <v>23</v>
      </c>
      <c r="Y23" s="40">
        <v>1</v>
      </c>
      <c r="Z23" s="40" t="s">
        <v>23</v>
      </c>
      <c r="AA23" s="65" t="s">
        <v>973</v>
      </c>
      <c r="AB23" s="40" t="s">
        <v>875</v>
      </c>
      <c r="AC23" s="40" t="s">
        <v>974</v>
      </c>
    </row>
    <row r="24" spans="1:29" ht="16.5" customHeight="1">
      <c r="A24" s="36" t="s">
        <v>0</v>
      </c>
      <c r="B24" s="19" t="s">
        <v>9</v>
      </c>
      <c r="C24" s="19" t="s">
        <v>13</v>
      </c>
      <c r="D24" s="19" t="s">
        <v>863</v>
      </c>
      <c r="E24" s="19" t="s">
        <v>13</v>
      </c>
      <c r="F24" s="19" t="s">
        <v>13</v>
      </c>
      <c r="G24" s="19" t="s">
        <v>13</v>
      </c>
      <c r="H24" s="19" t="s">
        <v>13</v>
      </c>
      <c r="I24" s="19" t="s">
        <v>9</v>
      </c>
      <c r="J24" s="19" t="s">
        <v>13</v>
      </c>
      <c r="K24" s="19" t="s">
        <v>356</v>
      </c>
      <c r="L24" s="19" t="s">
        <v>13</v>
      </c>
      <c r="M24" s="28" t="s">
        <v>0</v>
      </c>
      <c r="N24" s="19" t="s">
        <v>356</v>
      </c>
      <c r="O24" s="19" t="s">
        <v>13</v>
      </c>
      <c r="P24" s="19" t="s">
        <v>13</v>
      </c>
      <c r="Q24" s="19" t="s">
        <v>9</v>
      </c>
      <c r="R24" s="19" t="s">
        <v>13</v>
      </c>
      <c r="T24" s="41"/>
      <c r="V24" s="40" t="s">
        <v>21</v>
      </c>
      <c r="W24" s="40">
        <v>3</v>
      </c>
      <c r="X24" s="40" t="s">
        <v>153</v>
      </c>
      <c r="Y24" s="40">
        <v>1</v>
      </c>
      <c r="Z24" s="40" t="s">
        <v>25</v>
      </c>
      <c r="AA24" s="40">
        <v>7</v>
      </c>
      <c r="AB24" s="40" t="s">
        <v>356</v>
      </c>
      <c r="AC24" s="40" t="s">
        <v>917</v>
      </c>
    </row>
    <row r="25" spans="1:29" ht="16.5" customHeight="1">
      <c r="A25" s="36" t="s">
        <v>1</v>
      </c>
      <c r="B25" s="19"/>
      <c r="C25" s="19"/>
      <c r="D25" s="19"/>
      <c r="E25" s="19"/>
      <c r="F25" s="19"/>
      <c r="G25" s="19"/>
      <c r="H25" s="19"/>
      <c r="I25" s="19"/>
      <c r="J25" s="19"/>
      <c r="K25" s="19"/>
      <c r="L25" s="19"/>
      <c r="M25" s="28" t="s">
        <v>1</v>
      </c>
      <c r="N25" s="19"/>
      <c r="O25" s="19"/>
      <c r="P25" s="19"/>
      <c r="Q25" s="19"/>
      <c r="R25" s="19"/>
      <c r="T25" s="41"/>
      <c r="V25" s="40" t="s">
        <v>26</v>
      </c>
      <c r="W25" s="40">
        <v>2</v>
      </c>
      <c r="X25" s="40" t="s">
        <v>327</v>
      </c>
      <c r="Y25" s="40">
        <v>2</v>
      </c>
      <c r="Z25" s="40" t="s">
        <v>327</v>
      </c>
      <c r="AA25" s="64" t="s">
        <v>972</v>
      </c>
    </row>
    <row r="26" spans="1:29" ht="16.5" customHeight="1">
      <c r="A26" s="36" t="s">
        <v>366</v>
      </c>
      <c r="B26" s="19"/>
      <c r="C26" s="19"/>
      <c r="D26" s="19"/>
      <c r="E26" s="19"/>
      <c r="F26" s="19"/>
      <c r="G26" s="19"/>
      <c r="H26" s="19"/>
      <c r="I26" s="19"/>
      <c r="J26" s="19"/>
      <c r="K26" s="19"/>
      <c r="L26" s="19"/>
      <c r="M26" s="28" t="s">
        <v>366</v>
      </c>
      <c r="N26" s="19"/>
      <c r="O26" s="19"/>
      <c r="P26" s="19"/>
      <c r="Q26" s="19"/>
      <c r="R26" s="19"/>
      <c r="T26" s="41"/>
      <c r="V26" s="40" t="s">
        <v>27</v>
      </c>
      <c r="W26" s="40">
        <v>2</v>
      </c>
      <c r="X26" s="40" t="s">
        <v>28</v>
      </c>
      <c r="Y26" s="40">
        <v>2</v>
      </c>
      <c r="Z26" s="40" t="s">
        <v>516</v>
      </c>
      <c r="AA26" s="40">
        <v>4</v>
      </c>
    </row>
    <row r="27" spans="1:29" ht="16.5" customHeight="1">
      <c r="A27" s="26" t="s">
        <v>279</v>
      </c>
      <c r="B27" s="27">
        <v>44963</v>
      </c>
      <c r="C27" s="27">
        <v>44964</v>
      </c>
      <c r="D27" s="27">
        <v>44965</v>
      </c>
      <c r="E27" s="27">
        <v>44966</v>
      </c>
      <c r="F27" s="27">
        <v>44967</v>
      </c>
      <c r="G27" s="31">
        <v>44968</v>
      </c>
      <c r="H27" s="31">
        <v>44969</v>
      </c>
      <c r="I27" s="27">
        <v>44970</v>
      </c>
      <c r="J27" s="27">
        <v>44971</v>
      </c>
      <c r="K27" s="27">
        <v>44972</v>
      </c>
      <c r="L27" s="27">
        <v>44973</v>
      </c>
      <c r="M27" s="27">
        <v>44974</v>
      </c>
      <c r="N27" s="31">
        <v>44975</v>
      </c>
      <c r="O27" s="31">
        <v>44976</v>
      </c>
      <c r="P27" s="27">
        <v>44977</v>
      </c>
      <c r="Q27" s="19"/>
      <c r="R27" s="19"/>
      <c r="T27" s="41"/>
      <c r="V27" s="40" t="s">
        <v>533</v>
      </c>
      <c r="W27" s="40">
        <v>2</v>
      </c>
      <c r="X27" s="40" t="s">
        <v>152</v>
      </c>
      <c r="Y27" s="40">
        <v>2</v>
      </c>
      <c r="Z27" s="40" t="s">
        <v>864</v>
      </c>
      <c r="AA27" s="40">
        <v>9</v>
      </c>
    </row>
    <row r="28" spans="1:29" ht="16.5" customHeight="1">
      <c r="A28" s="28">
        <v>1</v>
      </c>
      <c r="B28" s="19"/>
      <c r="C28" s="19"/>
      <c r="D28" s="19"/>
      <c r="E28" s="19"/>
      <c r="F28" s="19"/>
      <c r="G28" s="19" t="s">
        <v>107</v>
      </c>
      <c r="H28" s="19" t="s">
        <v>2</v>
      </c>
      <c r="I28" s="19"/>
      <c r="J28" s="19"/>
      <c r="K28" s="19"/>
      <c r="L28" s="19"/>
      <c r="M28" s="19"/>
      <c r="N28" s="19" t="s">
        <v>315</v>
      </c>
      <c r="O28" s="19" t="s">
        <v>7</v>
      </c>
      <c r="P28" s="19"/>
      <c r="Q28" s="19"/>
      <c r="R28" s="19"/>
      <c r="T28" s="41"/>
      <c r="V28" s="40" t="s">
        <v>314</v>
      </c>
      <c r="X28" s="40" t="s">
        <v>864</v>
      </c>
      <c r="Y28" s="40">
        <v>1</v>
      </c>
    </row>
    <row r="29" spans="1:29" ht="16.5" customHeight="1">
      <c r="A29" s="28">
        <v>2</v>
      </c>
      <c r="B29" s="19"/>
      <c r="C29" s="19"/>
      <c r="D29" s="19"/>
      <c r="E29" s="19"/>
      <c r="F29" s="19"/>
      <c r="G29" s="19" t="s">
        <v>6</v>
      </c>
      <c r="H29" s="19" t="s">
        <v>313</v>
      </c>
      <c r="I29" s="19"/>
      <c r="J29" s="19"/>
      <c r="K29" s="19"/>
      <c r="L29" s="19"/>
      <c r="M29" s="19"/>
      <c r="N29" s="19" t="s">
        <v>774</v>
      </c>
      <c r="O29" s="19" t="s">
        <v>93</v>
      </c>
      <c r="P29" s="19"/>
      <c r="Q29" s="19"/>
      <c r="R29" s="19"/>
      <c r="T29" s="41"/>
      <c r="X29" s="40" t="s">
        <v>25</v>
      </c>
      <c r="Y29" s="40">
        <v>1</v>
      </c>
    </row>
    <row r="30" spans="1:29" ht="16.5" customHeight="1">
      <c r="A30" s="28">
        <v>3</v>
      </c>
      <c r="B30" s="19"/>
      <c r="C30" s="19"/>
      <c r="D30" s="19"/>
      <c r="E30" s="19"/>
      <c r="F30" s="19"/>
      <c r="G30" s="19" t="s">
        <v>843</v>
      </c>
      <c r="H30" s="19" t="s">
        <v>855</v>
      </c>
      <c r="I30" s="19"/>
      <c r="J30" s="19"/>
      <c r="K30" s="19"/>
      <c r="L30" s="19"/>
      <c r="M30" s="19"/>
      <c r="N30" s="19" t="s">
        <v>843</v>
      </c>
      <c r="O30" s="19" t="s">
        <v>855</v>
      </c>
      <c r="P30" s="19"/>
      <c r="Q30" s="19"/>
      <c r="R30" s="19"/>
      <c r="T30" s="41"/>
    </row>
    <row r="31" spans="1:29" ht="16.5" customHeight="1">
      <c r="A31" s="28" t="s">
        <v>20</v>
      </c>
      <c r="B31" s="19" t="s">
        <v>153</v>
      </c>
      <c r="C31" s="19" t="s">
        <v>13</v>
      </c>
      <c r="D31" s="19" t="s">
        <v>13</v>
      </c>
      <c r="E31" s="19" t="s">
        <v>13</v>
      </c>
      <c r="F31" s="19" t="s">
        <v>13</v>
      </c>
      <c r="G31" s="19" t="s">
        <v>13</v>
      </c>
      <c r="H31" s="19" t="s">
        <v>13</v>
      </c>
      <c r="I31" s="19" t="s">
        <v>864</v>
      </c>
      <c r="J31" s="19" t="s">
        <v>13</v>
      </c>
      <c r="K31" s="19" t="s">
        <v>13</v>
      </c>
      <c r="L31" s="19" t="s">
        <v>13</v>
      </c>
      <c r="M31" s="19" t="s">
        <v>13</v>
      </c>
      <c r="N31" s="19" t="s">
        <v>13</v>
      </c>
      <c r="O31" s="19" t="s">
        <v>13</v>
      </c>
      <c r="P31" s="19" t="s">
        <v>769</v>
      </c>
      <c r="Q31" s="19"/>
      <c r="R31" s="19"/>
      <c r="T31" s="41"/>
    </row>
    <row r="32" spans="1:29" ht="16.5" customHeight="1">
      <c r="A32" s="28" t="s">
        <v>0</v>
      </c>
      <c r="B32" s="19" t="s">
        <v>875</v>
      </c>
      <c r="C32" s="19" t="s">
        <v>13</v>
      </c>
      <c r="D32" s="19" t="s">
        <v>13</v>
      </c>
      <c r="E32" s="19" t="s">
        <v>13</v>
      </c>
      <c r="F32" s="19" t="s">
        <v>13</v>
      </c>
      <c r="G32" s="19" t="s">
        <v>9</v>
      </c>
      <c r="H32" s="19" t="s">
        <v>13</v>
      </c>
      <c r="I32" s="19" t="s">
        <v>356</v>
      </c>
      <c r="J32" s="19" t="s">
        <v>13</v>
      </c>
      <c r="K32" s="19" t="s">
        <v>13</v>
      </c>
      <c r="L32" s="19" t="s">
        <v>13</v>
      </c>
      <c r="M32" s="19" t="s">
        <v>13</v>
      </c>
      <c r="N32" s="19" t="s">
        <v>9</v>
      </c>
      <c r="O32" s="19" t="s">
        <v>13</v>
      </c>
      <c r="P32" s="19" t="s">
        <v>37</v>
      </c>
      <c r="Q32" s="19"/>
      <c r="R32" s="19"/>
      <c r="T32" s="41"/>
      <c r="V32" s="40" t="s">
        <v>696</v>
      </c>
      <c r="W32" s="40">
        <f>SUM(W19:W31)</f>
        <v>16</v>
      </c>
      <c r="Y32" s="40">
        <f>SUM(Y19:Y31)</f>
        <v>16</v>
      </c>
    </row>
    <row r="33" spans="1:20" ht="16.5" customHeight="1">
      <c r="A33" s="28" t="s">
        <v>1</v>
      </c>
      <c r="B33" s="19"/>
      <c r="C33" s="19"/>
      <c r="D33" s="19"/>
      <c r="E33" s="19"/>
      <c r="F33" s="19"/>
      <c r="G33" s="19"/>
      <c r="H33" s="19"/>
      <c r="I33" s="19"/>
      <c r="J33" s="19"/>
      <c r="K33" s="19"/>
      <c r="L33" s="19"/>
      <c r="M33" s="19"/>
      <c r="N33" s="19"/>
      <c r="O33" s="19"/>
      <c r="P33" s="19"/>
      <c r="Q33" s="19"/>
      <c r="R33" s="19"/>
    </row>
    <row r="34" spans="1:20" ht="16.5" customHeight="1">
      <c r="A34" s="28" t="s">
        <v>366</v>
      </c>
      <c r="B34" s="19"/>
      <c r="C34" s="19"/>
      <c r="D34" s="19"/>
      <c r="E34" s="19"/>
      <c r="F34" s="19"/>
      <c r="G34" s="19"/>
      <c r="H34" s="19"/>
      <c r="I34" s="19"/>
      <c r="J34" s="19"/>
      <c r="K34" s="19"/>
      <c r="L34" s="19"/>
      <c r="M34" s="19"/>
      <c r="N34" s="19"/>
      <c r="O34" s="19"/>
      <c r="P34" s="19"/>
      <c r="Q34" s="19"/>
      <c r="R34" s="19"/>
    </row>
    <row r="35" spans="1:20" ht="12.75" customHeight="1">
      <c r="Q35" s="145" t="s">
        <v>82</v>
      </c>
      <c r="R35" s="145"/>
      <c r="T35" s="41"/>
    </row>
    <row r="36" spans="1:20">
      <c r="A36" s="40" t="s">
        <v>322</v>
      </c>
      <c r="B36" s="49"/>
      <c r="C36" s="49"/>
      <c r="D36" s="49"/>
      <c r="E36" s="49"/>
      <c r="F36" s="49"/>
      <c r="G36" s="49"/>
      <c r="H36" s="55"/>
      <c r="I36" s="49"/>
      <c r="J36" s="49"/>
      <c r="K36" s="49"/>
      <c r="L36" s="49"/>
      <c r="M36" s="49"/>
      <c r="N36" s="49"/>
      <c r="O36" s="49"/>
      <c r="T36" s="41"/>
    </row>
    <row r="37" spans="1:20">
      <c r="A37" s="43" t="s">
        <v>313</v>
      </c>
      <c r="B37" s="56" t="s">
        <v>965</v>
      </c>
      <c r="C37" s="55"/>
      <c r="D37" s="55"/>
      <c r="E37" s="55"/>
      <c r="F37" s="55"/>
      <c r="G37" s="55"/>
      <c r="H37" s="55"/>
      <c r="I37" s="55"/>
      <c r="J37" s="55"/>
      <c r="K37" s="55" t="s">
        <v>945</v>
      </c>
      <c r="L37" s="55"/>
      <c r="M37" s="55"/>
      <c r="N37" s="55"/>
      <c r="O37" s="55"/>
      <c r="P37" s="43"/>
      <c r="Q37" s="43"/>
      <c r="R37" s="43"/>
      <c r="T37" s="41"/>
    </row>
    <row r="38" spans="1:20">
      <c r="A38" s="43" t="s">
        <v>315</v>
      </c>
      <c r="B38" s="56" t="s">
        <v>966</v>
      </c>
      <c r="C38" s="55"/>
      <c r="D38" s="55"/>
      <c r="E38" s="55"/>
      <c r="F38" s="55"/>
      <c r="G38" s="55"/>
      <c r="H38" s="55"/>
      <c r="I38" s="55"/>
      <c r="J38" s="55"/>
      <c r="K38" s="55" t="s">
        <v>970</v>
      </c>
      <c r="L38" s="55"/>
      <c r="M38" s="55"/>
      <c r="N38" s="55"/>
      <c r="O38" s="55"/>
      <c r="P38" s="43"/>
      <c r="Q38" s="43"/>
      <c r="R38" s="43"/>
      <c r="T38" s="41"/>
    </row>
    <row r="39" spans="1:20">
      <c r="A39" s="43" t="s">
        <v>312</v>
      </c>
      <c r="B39" s="59" t="s">
        <v>966</v>
      </c>
      <c r="C39" s="55"/>
      <c r="D39" s="55"/>
      <c r="E39" s="55"/>
      <c r="F39" s="55"/>
      <c r="G39" s="55"/>
      <c r="H39" s="55"/>
      <c r="I39" s="55"/>
      <c r="J39" s="55"/>
      <c r="K39" s="55"/>
      <c r="L39" s="55"/>
      <c r="M39" s="55"/>
      <c r="N39" s="55"/>
      <c r="O39" s="55"/>
      <c r="P39" s="43"/>
      <c r="Q39" s="43"/>
      <c r="R39" s="43"/>
      <c r="T39" s="41"/>
    </row>
    <row r="40" spans="1:20">
      <c r="A40" s="43" t="s">
        <v>25</v>
      </c>
      <c r="B40" s="59" t="s">
        <v>967</v>
      </c>
      <c r="C40" s="55"/>
      <c r="D40" s="55"/>
      <c r="E40" s="55"/>
      <c r="F40" s="55"/>
      <c r="G40" s="55"/>
      <c r="H40" s="55"/>
      <c r="I40" s="55"/>
      <c r="J40" s="55"/>
      <c r="K40" s="55"/>
      <c r="L40" s="55"/>
      <c r="M40" s="55"/>
      <c r="N40" s="55"/>
      <c r="O40" s="55"/>
      <c r="P40" s="43"/>
      <c r="Q40" s="43"/>
      <c r="R40" s="43"/>
    </row>
    <row r="41" spans="1:20">
      <c r="A41" s="43" t="s">
        <v>153</v>
      </c>
      <c r="B41" s="59" t="s">
        <v>968</v>
      </c>
      <c r="C41" s="55"/>
      <c r="D41" s="55"/>
      <c r="E41" s="55"/>
      <c r="F41" s="55"/>
      <c r="G41" s="55"/>
      <c r="H41" s="55"/>
      <c r="I41" s="55"/>
      <c r="J41" s="55"/>
      <c r="K41" s="55"/>
      <c r="L41" s="55"/>
      <c r="M41" s="55"/>
      <c r="N41" s="55"/>
      <c r="O41" s="55"/>
      <c r="P41" s="43"/>
      <c r="Q41" s="43"/>
      <c r="R41" s="43"/>
    </row>
    <row r="42" spans="1:20">
      <c r="A42" s="43" t="s">
        <v>14</v>
      </c>
      <c r="B42" s="59" t="s">
        <v>969</v>
      </c>
      <c r="C42" s="55"/>
      <c r="D42" s="55"/>
      <c r="E42" s="55"/>
      <c r="F42" s="55"/>
      <c r="G42" s="55"/>
      <c r="H42" s="59"/>
      <c r="I42" s="55"/>
      <c r="J42" s="55"/>
      <c r="K42" s="55"/>
      <c r="L42" s="55"/>
      <c r="M42" s="55"/>
      <c r="N42" s="55"/>
      <c r="O42" s="55"/>
      <c r="P42" s="43"/>
      <c r="Q42" s="43"/>
      <c r="R42" s="43"/>
      <c r="T42" s="41"/>
    </row>
    <row r="43" spans="1:20">
      <c r="A43" s="43" t="s">
        <v>7</v>
      </c>
      <c r="B43" s="55">
        <v>44920</v>
      </c>
      <c r="C43" s="55"/>
      <c r="D43" s="55"/>
      <c r="E43" s="55"/>
      <c r="F43" s="55"/>
      <c r="G43" s="55"/>
      <c r="H43" s="55"/>
      <c r="I43" s="55"/>
      <c r="J43" s="55"/>
      <c r="K43" s="55"/>
      <c r="L43" s="55"/>
      <c r="M43" s="55"/>
      <c r="N43" s="55"/>
      <c r="O43" s="55"/>
      <c r="P43" s="43"/>
      <c r="Q43" s="43"/>
      <c r="R43" s="43"/>
      <c r="T43" s="41"/>
    </row>
    <row r="44" spans="1:20">
      <c r="A44" s="43" t="s">
        <v>314</v>
      </c>
      <c r="B44" s="59" t="s">
        <v>971</v>
      </c>
      <c r="C44" s="55"/>
      <c r="D44" s="55"/>
      <c r="E44" s="55"/>
      <c r="F44" s="55"/>
      <c r="G44" s="55"/>
      <c r="H44" s="55"/>
      <c r="I44" s="55"/>
      <c r="J44" s="55"/>
      <c r="K44" s="55"/>
      <c r="L44" s="55"/>
      <c r="M44" s="55"/>
      <c r="N44" s="55"/>
      <c r="O44" s="55"/>
      <c r="P44" s="43"/>
      <c r="Q44" s="43"/>
      <c r="R44" s="43"/>
      <c r="T44" s="41"/>
    </row>
    <row r="45" spans="1:20">
      <c r="A45" s="43"/>
      <c r="B45" s="62"/>
      <c r="C45" s="43"/>
      <c r="D45" s="63"/>
      <c r="E45" s="43"/>
      <c r="F45" s="55"/>
      <c r="G45" s="63"/>
      <c r="H45" s="63"/>
      <c r="I45" s="63"/>
      <c r="J45" s="43"/>
      <c r="K45" s="43"/>
      <c r="L45" s="43"/>
      <c r="M45" s="43"/>
      <c r="N45" s="43"/>
      <c r="O45" s="43"/>
      <c r="P45" s="43"/>
      <c r="Q45" s="43"/>
      <c r="R45" s="43"/>
    </row>
    <row r="46" spans="1:20">
      <c r="A46" s="43"/>
      <c r="B46" s="55"/>
      <c r="C46" s="43"/>
      <c r="D46" s="43"/>
      <c r="E46" s="43"/>
      <c r="F46" s="43"/>
      <c r="G46" s="43"/>
      <c r="H46" s="43"/>
      <c r="I46" s="43"/>
      <c r="J46" s="43"/>
      <c r="K46" s="43"/>
      <c r="L46" s="43"/>
      <c r="M46" s="43"/>
      <c r="N46" s="43"/>
      <c r="O46" s="43"/>
      <c r="P46" s="43"/>
      <c r="Q46" s="43"/>
      <c r="R46" s="43"/>
      <c r="T46" s="41"/>
    </row>
    <row r="47" spans="1:20">
      <c r="A47" s="43"/>
      <c r="B47" s="43"/>
      <c r="C47" s="43"/>
      <c r="D47" s="43"/>
      <c r="E47" s="43"/>
      <c r="F47" s="43"/>
      <c r="G47" s="43"/>
      <c r="H47" s="43"/>
      <c r="I47" s="43"/>
      <c r="J47" s="43"/>
      <c r="K47" s="43"/>
      <c r="L47" s="43"/>
      <c r="M47" s="43"/>
      <c r="N47" s="43"/>
      <c r="O47" s="43"/>
      <c r="P47" s="43"/>
      <c r="Q47" s="43"/>
      <c r="R47" s="43"/>
      <c r="T47" s="41"/>
    </row>
    <row r="48" spans="1:20">
      <c r="A48" s="43"/>
      <c r="B48" s="43"/>
      <c r="C48" s="43"/>
      <c r="D48" s="43"/>
      <c r="E48" s="43"/>
      <c r="F48" s="43"/>
      <c r="G48" s="43"/>
      <c r="H48" s="43"/>
      <c r="I48" s="43"/>
      <c r="J48" s="43"/>
      <c r="K48" s="43"/>
      <c r="L48" s="43"/>
      <c r="M48" s="43"/>
      <c r="N48" s="43"/>
      <c r="O48" s="43"/>
      <c r="P48" s="43"/>
      <c r="Q48" s="43"/>
      <c r="R48" s="43"/>
      <c r="T48" s="41"/>
    </row>
    <row r="49" spans="1:18">
      <c r="A49" s="43"/>
      <c r="B49" s="43"/>
      <c r="C49" s="43"/>
      <c r="D49" s="43"/>
      <c r="E49" s="43"/>
      <c r="F49" s="43"/>
      <c r="G49" s="43"/>
      <c r="H49" s="43"/>
      <c r="I49" s="43"/>
      <c r="J49" s="43"/>
      <c r="K49" s="43"/>
      <c r="L49" s="43"/>
      <c r="M49" s="43"/>
      <c r="N49" s="43"/>
      <c r="O49" s="43"/>
      <c r="P49" s="43"/>
      <c r="Q49" s="43"/>
      <c r="R49" s="43"/>
    </row>
    <row r="50" spans="1:18">
      <c r="A50" s="43"/>
      <c r="B50" s="43"/>
      <c r="C50" s="43"/>
      <c r="D50" s="43"/>
      <c r="E50" s="43"/>
      <c r="F50" s="43"/>
      <c r="G50" s="43"/>
      <c r="H50" s="43"/>
      <c r="I50" s="43"/>
      <c r="J50" s="43"/>
      <c r="K50" s="43"/>
      <c r="L50" s="43"/>
      <c r="M50" s="43"/>
      <c r="N50" s="43"/>
      <c r="O50" s="43"/>
      <c r="P50" s="43"/>
      <c r="Q50" s="43"/>
      <c r="R50" s="43"/>
    </row>
    <row r="51" spans="1:18">
      <c r="A51" s="43"/>
      <c r="B51" s="43"/>
      <c r="C51" s="43"/>
      <c r="D51" s="43"/>
      <c r="E51" s="43"/>
      <c r="F51" s="43"/>
      <c r="G51" s="43"/>
      <c r="H51" s="43"/>
      <c r="I51" s="43"/>
      <c r="J51" s="43"/>
      <c r="K51" s="43"/>
      <c r="L51" s="43"/>
      <c r="M51" s="43"/>
      <c r="N51" s="43"/>
      <c r="O51" s="43"/>
      <c r="P51" s="43"/>
      <c r="Q51" s="43"/>
      <c r="R51" s="43"/>
    </row>
  </sheetData>
  <mergeCells count="2">
    <mergeCell ref="A1:R1"/>
    <mergeCell ref="Q35:R35"/>
  </mergeCells>
  <phoneticPr fontId="2"/>
  <pageMargins left="0.70866141732283472" right="0.70866141732283472" top="0" bottom="0" header="0.31496062992125984" footer="0.31496062992125984"/>
  <pageSetup paperSize="9" orientation="landscape" r:id="rId1"/>
  <drawing r:id="rId2"/>
  <legacyDrawing r:id="rId3"/>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39B0A-A326-47A6-B406-677E4A599057}">
  <dimension ref="A1:AC51"/>
  <sheetViews>
    <sheetView topLeftCell="A12" zoomScaleNormal="100" workbookViewId="0">
      <selection activeCell="A13" sqref="A13"/>
    </sheetView>
  </sheetViews>
  <sheetFormatPr defaultColWidth="9" defaultRowHeight="18.75"/>
  <cols>
    <col min="1" max="18" width="6.625" style="40" customWidth="1"/>
    <col min="19" max="19" width="3.625" style="40" customWidth="1"/>
    <col min="20" max="20" width="6.625" style="40" customWidth="1"/>
    <col min="21" max="21" width="3.625" style="40" customWidth="1"/>
    <col min="22" max="37" width="6.625" style="40" customWidth="1"/>
    <col min="38" max="38" width="3.625" style="40" customWidth="1"/>
    <col min="39" max="16384" width="9" style="40"/>
  </cols>
  <sheetData>
    <row r="1" spans="1:29">
      <c r="A1" s="147" t="s">
        <v>953</v>
      </c>
      <c r="B1" s="147"/>
      <c r="C1" s="147"/>
      <c r="D1" s="147"/>
      <c r="E1" s="147"/>
      <c r="F1" s="147"/>
      <c r="G1" s="147"/>
      <c r="H1" s="147"/>
      <c r="I1" s="147"/>
      <c r="J1" s="147"/>
      <c r="K1" s="147"/>
      <c r="L1" s="147"/>
      <c r="M1" s="147"/>
      <c r="N1" s="147"/>
      <c r="O1" s="147"/>
      <c r="P1" s="147"/>
      <c r="Q1" s="147"/>
      <c r="R1" s="147"/>
      <c r="X1" s="40" t="s">
        <v>80</v>
      </c>
    </row>
    <row r="2" spans="1:29" ht="16.5" customHeight="1">
      <c r="A2" s="26" t="s">
        <v>218</v>
      </c>
      <c r="B2" s="27">
        <v>44855</v>
      </c>
      <c r="C2" s="31">
        <v>44856</v>
      </c>
      <c r="D2" s="31">
        <v>44857</v>
      </c>
      <c r="E2" s="27">
        <v>44858</v>
      </c>
      <c r="F2" s="27">
        <v>44859</v>
      </c>
      <c r="G2" s="27">
        <v>44860</v>
      </c>
      <c r="H2" s="27">
        <v>44861</v>
      </c>
      <c r="I2" s="27">
        <v>44862</v>
      </c>
      <c r="J2" s="31">
        <v>44863</v>
      </c>
      <c r="K2" s="31">
        <v>44864</v>
      </c>
      <c r="L2" s="27">
        <v>44865</v>
      </c>
      <c r="M2" s="23" t="s">
        <v>243</v>
      </c>
      <c r="N2" s="25">
        <v>44866</v>
      </c>
      <c r="O2" s="25">
        <v>44867</v>
      </c>
      <c r="P2" s="25">
        <v>44868</v>
      </c>
      <c r="Q2" s="25">
        <v>44869</v>
      </c>
      <c r="R2" s="30">
        <v>44870</v>
      </c>
      <c r="V2" s="40" t="s">
        <v>957</v>
      </c>
      <c r="X2" s="40" t="s">
        <v>958</v>
      </c>
      <c r="Z2" s="40" t="s">
        <v>169</v>
      </c>
      <c r="AB2" s="40" t="s">
        <v>874</v>
      </c>
    </row>
    <row r="3" spans="1:29" ht="16.5" customHeight="1">
      <c r="A3" s="28">
        <v>1</v>
      </c>
      <c r="B3" s="19"/>
      <c r="C3" s="19" t="s">
        <v>533</v>
      </c>
      <c r="D3" s="19" t="s">
        <v>516</v>
      </c>
      <c r="E3" s="19"/>
      <c r="F3" s="19"/>
      <c r="G3" s="19"/>
      <c r="H3" s="19"/>
      <c r="I3" s="19"/>
      <c r="J3" s="19" t="s">
        <v>315</v>
      </c>
      <c r="K3" s="19" t="s">
        <v>25</v>
      </c>
      <c r="L3" s="19"/>
      <c r="M3" s="36">
        <v>1</v>
      </c>
      <c r="N3" s="19"/>
      <c r="O3" s="19"/>
      <c r="P3" s="19"/>
      <c r="Q3" s="19"/>
      <c r="R3" s="19" t="s">
        <v>7</v>
      </c>
      <c r="V3" s="40" t="s">
        <v>25</v>
      </c>
      <c r="W3" s="40">
        <v>2</v>
      </c>
      <c r="X3" s="40" t="s">
        <v>45</v>
      </c>
      <c r="Y3" s="40">
        <v>2</v>
      </c>
      <c r="Z3" s="40" t="s">
        <v>153</v>
      </c>
      <c r="AA3" s="40" t="s">
        <v>959</v>
      </c>
      <c r="AB3" s="40" t="s">
        <v>37</v>
      </c>
      <c r="AC3" s="40">
        <v>3</v>
      </c>
    </row>
    <row r="4" spans="1:29" ht="16.5" customHeight="1">
      <c r="A4" s="28">
        <v>2</v>
      </c>
      <c r="B4" s="19"/>
      <c r="C4" s="19" t="s">
        <v>774</v>
      </c>
      <c r="D4" s="19" t="s">
        <v>314</v>
      </c>
      <c r="E4" s="19"/>
      <c r="F4" s="19"/>
      <c r="G4" s="61"/>
      <c r="I4" s="19"/>
      <c r="J4" s="19" t="s">
        <v>93</v>
      </c>
      <c r="K4" s="19" t="s">
        <v>14</v>
      </c>
      <c r="L4" s="19"/>
      <c r="M4" s="36">
        <v>2</v>
      </c>
      <c r="N4" s="19"/>
      <c r="O4" s="19"/>
      <c r="Q4" s="19"/>
      <c r="R4" s="19" t="s">
        <v>864</v>
      </c>
      <c r="T4" s="41"/>
      <c r="U4" s="41"/>
      <c r="V4" s="40" t="s">
        <v>2</v>
      </c>
      <c r="W4" s="40">
        <v>3</v>
      </c>
      <c r="X4" s="40" t="s">
        <v>14</v>
      </c>
      <c r="Y4" s="40">
        <v>2</v>
      </c>
      <c r="Z4" s="40" t="s">
        <v>26</v>
      </c>
      <c r="AA4" s="40">
        <v>8</v>
      </c>
      <c r="AB4" s="40" t="s">
        <v>863</v>
      </c>
      <c r="AC4" s="40">
        <v>5</v>
      </c>
    </row>
    <row r="5" spans="1:29" ht="16.5" customHeight="1">
      <c r="A5" s="28">
        <v>3</v>
      </c>
      <c r="B5" s="19"/>
      <c r="C5" s="19" t="s">
        <v>843</v>
      </c>
      <c r="D5" s="19" t="s">
        <v>855</v>
      </c>
      <c r="E5" s="19"/>
      <c r="F5" s="19"/>
      <c r="G5" s="19"/>
      <c r="H5" s="19"/>
      <c r="I5" s="19"/>
      <c r="J5" s="19" t="s">
        <v>843</v>
      </c>
      <c r="K5" s="19" t="s">
        <v>855</v>
      </c>
      <c r="L5" s="19"/>
      <c r="M5" s="36">
        <v>3</v>
      </c>
      <c r="N5" s="19"/>
      <c r="O5" s="19"/>
      <c r="P5" s="19"/>
      <c r="Q5" s="19"/>
      <c r="R5" s="19" t="s">
        <v>843</v>
      </c>
      <c r="T5" s="41"/>
      <c r="U5" s="41"/>
      <c r="V5" s="40" t="s">
        <v>516</v>
      </c>
      <c r="W5" s="40">
        <v>1</v>
      </c>
      <c r="X5" s="40" t="s">
        <v>6</v>
      </c>
      <c r="Y5" s="40">
        <v>2</v>
      </c>
      <c r="Z5" s="40" t="s">
        <v>6</v>
      </c>
      <c r="AA5" s="40">
        <v>6</v>
      </c>
      <c r="AC5" s="40" t="s">
        <v>960</v>
      </c>
    </row>
    <row r="6" spans="1:29" ht="16.5" customHeight="1">
      <c r="A6" s="28" t="s">
        <v>20</v>
      </c>
      <c r="B6" s="19" t="s">
        <v>153</v>
      </c>
      <c r="C6" s="19" t="s">
        <v>13</v>
      </c>
      <c r="D6" s="19" t="s">
        <v>13</v>
      </c>
      <c r="E6" s="19" t="s">
        <v>769</v>
      </c>
      <c r="F6" s="19" t="s">
        <v>13</v>
      </c>
      <c r="G6" s="19" t="s">
        <v>13</v>
      </c>
      <c r="H6" s="19" t="s">
        <v>13</v>
      </c>
      <c r="I6" s="19" t="s">
        <v>13</v>
      </c>
      <c r="J6" s="19" t="s">
        <v>13</v>
      </c>
      <c r="K6" s="19" t="s">
        <v>13</v>
      </c>
      <c r="L6" s="19" t="s">
        <v>774</v>
      </c>
      <c r="M6" s="36" t="s">
        <v>20</v>
      </c>
      <c r="N6" s="19" t="s">
        <v>774</v>
      </c>
      <c r="O6" s="19" t="s">
        <v>13</v>
      </c>
      <c r="P6" s="19" t="s">
        <v>13</v>
      </c>
      <c r="Q6" s="19" t="s">
        <v>13</v>
      </c>
      <c r="R6" s="19" t="s">
        <v>13</v>
      </c>
      <c r="T6" s="41"/>
      <c r="U6" s="41"/>
      <c r="V6" s="40" t="s">
        <v>7</v>
      </c>
      <c r="W6" s="40">
        <v>2</v>
      </c>
      <c r="X6" s="40" t="s">
        <v>23</v>
      </c>
      <c r="Y6" s="40">
        <v>2</v>
      </c>
      <c r="Z6" s="40" t="s">
        <v>23</v>
      </c>
      <c r="AA6" s="40">
        <v>3</v>
      </c>
      <c r="AB6" s="40" t="s">
        <v>875</v>
      </c>
      <c r="AC6" s="40">
        <v>7</v>
      </c>
    </row>
    <row r="7" spans="1:29" ht="16.5" customHeight="1">
      <c r="A7" s="28" t="s">
        <v>0</v>
      </c>
      <c r="B7" s="19" t="s">
        <v>864</v>
      </c>
      <c r="C7" s="19" t="s">
        <v>9</v>
      </c>
      <c r="D7" s="19" t="s">
        <v>13</v>
      </c>
      <c r="E7" s="19" t="s">
        <v>356</v>
      </c>
      <c r="F7" s="19" t="s">
        <v>13</v>
      </c>
      <c r="G7" s="19" t="s">
        <v>13</v>
      </c>
      <c r="H7" s="19" t="s">
        <v>13</v>
      </c>
      <c r="I7" s="19" t="s">
        <v>13</v>
      </c>
      <c r="J7" s="19" t="s">
        <v>9</v>
      </c>
      <c r="K7" s="19" t="s">
        <v>13</v>
      </c>
      <c r="L7" s="19" t="s">
        <v>37</v>
      </c>
      <c r="M7" s="36" t="s">
        <v>0</v>
      </c>
      <c r="N7" s="19" t="s">
        <v>37</v>
      </c>
      <c r="O7" s="19" t="s">
        <v>13</v>
      </c>
      <c r="P7" s="19" t="s">
        <v>13</v>
      </c>
      <c r="Q7" s="19" t="s">
        <v>13</v>
      </c>
      <c r="R7" s="19" t="s">
        <v>9</v>
      </c>
      <c r="T7" s="41"/>
      <c r="U7" s="41"/>
      <c r="V7" s="40" t="s">
        <v>21</v>
      </c>
      <c r="W7" s="40">
        <v>2</v>
      </c>
      <c r="X7" s="40" t="s">
        <v>153</v>
      </c>
      <c r="Y7" s="40">
        <v>2</v>
      </c>
      <c r="Z7" s="40" t="s">
        <v>25</v>
      </c>
      <c r="AA7" s="40" t="s">
        <v>961</v>
      </c>
      <c r="AB7" s="40" t="s">
        <v>356</v>
      </c>
      <c r="AC7" s="40" t="s">
        <v>962</v>
      </c>
    </row>
    <row r="8" spans="1:29" ht="16.5" customHeight="1">
      <c r="A8" s="28" t="s">
        <v>1</v>
      </c>
      <c r="B8" s="19"/>
      <c r="C8" s="19"/>
      <c r="D8" s="19"/>
      <c r="E8" s="19"/>
      <c r="F8" s="19"/>
      <c r="G8" s="19"/>
      <c r="H8" s="19"/>
      <c r="I8" s="19"/>
      <c r="J8" s="19"/>
      <c r="K8" s="19"/>
      <c r="L8" s="19"/>
      <c r="M8" s="36" t="s">
        <v>1</v>
      </c>
      <c r="N8" s="19"/>
      <c r="O8" s="19"/>
      <c r="P8" s="19"/>
      <c r="Q8" s="19"/>
      <c r="R8" s="19"/>
      <c r="T8" s="41"/>
      <c r="V8" s="40" t="s">
        <v>26</v>
      </c>
      <c r="W8" s="40">
        <v>2</v>
      </c>
      <c r="X8" s="40" t="s">
        <v>327</v>
      </c>
      <c r="Y8" s="40">
        <v>1</v>
      </c>
      <c r="Z8" s="40" t="s">
        <v>327</v>
      </c>
      <c r="AA8" s="40">
        <v>4</v>
      </c>
    </row>
    <row r="9" spans="1:29" ht="16.5" customHeight="1">
      <c r="A9" s="28" t="s">
        <v>366</v>
      </c>
      <c r="B9" s="19"/>
      <c r="C9" s="19"/>
      <c r="D9" s="19"/>
      <c r="E9" s="19"/>
      <c r="F9" s="19"/>
      <c r="G9" s="19"/>
      <c r="H9" s="19"/>
      <c r="I9" s="19"/>
      <c r="J9" s="19"/>
      <c r="K9" s="19"/>
      <c r="L9" s="19"/>
      <c r="M9" s="36" t="s">
        <v>366</v>
      </c>
      <c r="N9" s="19"/>
      <c r="O9" s="19"/>
      <c r="P9" s="19"/>
      <c r="Q9" s="19"/>
      <c r="R9" s="19"/>
      <c r="T9" s="41"/>
      <c r="V9" s="40" t="s">
        <v>27</v>
      </c>
      <c r="W9" s="40">
        <v>2</v>
      </c>
      <c r="X9" s="40" t="s">
        <v>28</v>
      </c>
      <c r="Y9" s="40">
        <v>2</v>
      </c>
      <c r="Z9" s="40" t="s">
        <v>516</v>
      </c>
      <c r="AA9" s="40">
        <v>5</v>
      </c>
    </row>
    <row r="10" spans="1:29" ht="16.5" customHeight="1">
      <c r="A10" s="23" t="s">
        <v>243</v>
      </c>
      <c r="B10" s="30">
        <v>44871</v>
      </c>
      <c r="C10" s="25">
        <v>44872</v>
      </c>
      <c r="D10" s="25">
        <v>44873</v>
      </c>
      <c r="E10" s="25">
        <v>44874</v>
      </c>
      <c r="F10" s="25">
        <v>44875</v>
      </c>
      <c r="G10" s="25">
        <v>44876</v>
      </c>
      <c r="H10" s="30">
        <v>44877</v>
      </c>
      <c r="I10" s="30">
        <v>44878</v>
      </c>
      <c r="J10" s="25">
        <v>44879</v>
      </c>
      <c r="K10" s="25">
        <v>44880</v>
      </c>
      <c r="L10" s="25">
        <v>44881</v>
      </c>
      <c r="M10" s="25">
        <v>44882</v>
      </c>
      <c r="N10" s="25">
        <v>44883</v>
      </c>
      <c r="O10" s="30">
        <v>44884</v>
      </c>
      <c r="P10" s="30">
        <v>44885</v>
      </c>
      <c r="Q10" s="19"/>
      <c r="R10" s="19"/>
      <c r="T10" s="41"/>
      <c r="V10" s="40" t="s">
        <v>533</v>
      </c>
      <c r="W10" s="40">
        <v>2</v>
      </c>
      <c r="X10" s="40" t="s">
        <v>152</v>
      </c>
      <c r="Y10" s="40">
        <v>1</v>
      </c>
    </row>
    <row r="11" spans="1:29" ht="16.5" customHeight="1">
      <c r="A11" s="36">
        <v>1</v>
      </c>
      <c r="B11" s="19" t="s">
        <v>312</v>
      </c>
      <c r="C11" s="19"/>
      <c r="D11" s="19"/>
      <c r="E11" s="19"/>
      <c r="F11" s="19"/>
      <c r="G11" s="19"/>
      <c r="H11" s="19" t="s">
        <v>314</v>
      </c>
      <c r="I11" s="19" t="s">
        <v>107</v>
      </c>
      <c r="J11" s="19"/>
      <c r="K11" s="19"/>
      <c r="L11" s="19"/>
      <c r="N11" s="19"/>
      <c r="O11" s="19" t="s">
        <v>2</v>
      </c>
      <c r="P11" s="19" t="s">
        <v>25</v>
      </c>
      <c r="Q11" s="19"/>
      <c r="R11" s="19"/>
      <c r="T11" s="41"/>
      <c r="V11" s="40" t="s">
        <v>314</v>
      </c>
      <c r="W11" s="40">
        <v>1</v>
      </c>
      <c r="X11" s="40" t="s">
        <v>516</v>
      </c>
      <c r="Y11" s="40">
        <v>1</v>
      </c>
    </row>
    <row r="12" spans="1:29" ht="16.5" customHeight="1">
      <c r="A12" s="36">
        <v>2</v>
      </c>
      <c r="B12" s="19" t="s">
        <v>313</v>
      </c>
      <c r="C12" s="19"/>
      <c r="D12" s="19"/>
      <c r="E12" s="19"/>
      <c r="F12" s="19"/>
      <c r="G12" s="19"/>
      <c r="H12" s="19" t="s">
        <v>6</v>
      </c>
      <c r="I12" s="19" t="s">
        <v>153</v>
      </c>
      <c r="J12" s="19"/>
      <c r="K12" s="19"/>
      <c r="L12" s="19"/>
      <c r="M12" s="19"/>
      <c r="N12" s="19"/>
      <c r="O12" s="19" t="s">
        <v>14</v>
      </c>
      <c r="P12" s="19" t="s">
        <v>769</v>
      </c>
      <c r="Q12" s="19"/>
      <c r="R12" s="19"/>
      <c r="T12" s="41"/>
      <c r="X12" s="40" t="s">
        <v>864</v>
      </c>
      <c r="Y12" s="40">
        <v>2</v>
      </c>
    </row>
    <row r="13" spans="1:29" ht="16.5" customHeight="1">
      <c r="A13" s="36">
        <v>3</v>
      </c>
      <c r="B13" s="19" t="s">
        <v>855</v>
      </c>
      <c r="C13" s="19"/>
      <c r="D13" s="19"/>
      <c r="E13" s="19"/>
      <c r="F13" s="19"/>
      <c r="G13" s="19"/>
      <c r="H13" s="19" t="s">
        <v>843</v>
      </c>
      <c r="I13" s="19" t="s">
        <v>855</v>
      </c>
      <c r="J13" s="19"/>
      <c r="K13" s="19"/>
      <c r="L13" s="19"/>
      <c r="M13" s="19"/>
      <c r="N13" s="19"/>
      <c r="O13" s="19" t="s">
        <v>843</v>
      </c>
      <c r="P13" s="19" t="s">
        <v>855</v>
      </c>
      <c r="Q13" s="19"/>
      <c r="R13" s="19"/>
      <c r="T13" s="41"/>
    </row>
    <row r="14" spans="1:29" ht="16.5" customHeight="1">
      <c r="A14" s="36" t="s">
        <v>20</v>
      </c>
      <c r="B14" s="19" t="s">
        <v>774</v>
      </c>
      <c r="C14" s="19" t="s">
        <v>516</v>
      </c>
      <c r="D14" s="19" t="s">
        <v>13</v>
      </c>
      <c r="E14" s="19" t="s">
        <v>13</v>
      </c>
      <c r="F14" s="19" t="s">
        <v>13</v>
      </c>
      <c r="G14" s="19" t="s">
        <v>13</v>
      </c>
      <c r="H14" s="19" t="s">
        <v>13</v>
      </c>
      <c r="I14" s="19" t="s">
        <v>13</v>
      </c>
      <c r="J14" s="19" t="s">
        <v>312</v>
      </c>
      <c r="K14" s="19" t="s">
        <v>13</v>
      </c>
      <c r="L14" s="19" t="s">
        <v>13</v>
      </c>
      <c r="M14" s="19" t="s">
        <v>13</v>
      </c>
      <c r="N14" s="19" t="s">
        <v>13</v>
      </c>
      <c r="O14" s="19" t="s">
        <v>13</v>
      </c>
      <c r="P14" s="19" t="s">
        <v>13</v>
      </c>
      <c r="Q14" s="19"/>
      <c r="R14" s="19"/>
      <c r="T14" s="41"/>
    </row>
    <row r="15" spans="1:29" ht="16.5" customHeight="1">
      <c r="A15" s="36" t="s">
        <v>0</v>
      </c>
      <c r="B15" s="19" t="s">
        <v>9</v>
      </c>
      <c r="C15" s="19" t="s">
        <v>356</v>
      </c>
      <c r="D15" s="19" t="s">
        <v>13</v>
      </c>
      <c r="E15" s="19" t="s">
        <v>13</v>
      </c>
      <c r="F15" s="19" t="s">
        <v>13</v>
      </c>
      <c r="G15" s="19" t="s">
        <v>13</v>
      </c>
      <c r="H15" s="19" t="s">
        <v>9</v>
      </c>
      <c r="I15" s="19" t="s">
        <v>13</v>
      </c>
      <c r="J15" s="19" t="s">
        <v>875</v>
      </c>
      <c r="K15" s="19" t="s">
        <v>13</v>
      </c>
      <c r="L15" s="19" t="s">
        <v>13</v>
      </c>
      <c r="M15" s="19" t="s">
        <v>13</v>
      </c>
      <c r="N15" s="19" t="s">
        <v>13</v>
      </c>
      <c r="O15" s="19" t="s">
        <v>9</v>
      </c>
      <c r="P15" s="19" t="s">
        <v>13</v>
      </c>
      <c r="Q15" s="19"/>
      <c r="R15" s="19"/>
      <c r="T15" s="41"/>
      <c r="V15" s="40" t="s">
        <v>780</v>
      </c>
      <c r="W15" s="40">
        <v>17</v>
      </c>
      <c r="Y15" s="40">
        <v>17</v>
      </c>
    </row>
    <row r="16" spans="1:29" ht="16.5" customHeight="1">
      <c r="A16" s="36" t="s">
        <v>1</v>
      </c>
      <c r="B16" s="19"/>
      <c r="C16" s="19"/>
      <c r="D16" s="19"/>
      <c r="E16" s="19"/>
      <c r="F16" s="19"/>
      <c r="G16" s="19"/>
      <c r="H16" s="19"/>
      <c r="I16" s="19"/>
      <c r="J16" s="19"/>
      <c r="K16" s="19"/>
      <c r="L16" s="19"/>
      <c r="M16" s="19"/>
      <c r="N16" s="19"/>
      <c r="O16" s="19"/>
      <c r="P16" s="19"/>
      <c r="Q16" s="19"/>
      <c r="R16" s="19"/>
      <c r="T16" s="41"/>
    </row>
    <row r="17" spans="1:29" ht="16.5" customHeight="1">
      <c r="A17" s="36" t="s">
        <v>366</v>
      </c>
      <c r="B17" s="19"/>
      <c r="C17" s="19"/>
      <c r="D17" s="19"/>
      <c r="E17" s="19"/>
      <c r="F17" s="19"/>
      <c r="G17" s="19"/>
      <c r="H17" s="19"/>
      <c r="I17" s="19"/>
      <c r="J17" s="19"/>
      <c r="K17" s="19"/>
      <c r="L17" s="19"/>
      <c r="M17" s="19"/>
      <c r="N17" s="19"/>
      <c r="O17" s="19"/>
      <c r="P17" s="19"/>
      <c r="Q17" s="19"/>
      <c r="R17" s="19"/>
      <c r="T17" s="41"/>
    </row>
    <row r="18" spans="1:29" ht="11.25" customHeight="1">
      <c r="A18" s="42"/>
      <c r="B18" s="37"/>
      <c r="C18" s="37"/>
      <c r="D18" s="37"/>
      <c r="E18" s="37"/>
      <c r="F18" s="37"/>
      <c r="G18" s="37"/>
      <c r="H18" s="38"/>
      <c r="I18" s="38"/>
      <c r="J18" s="38"/>
      <c r="K18" s="38"/>
      <c r="L18" s="38"/>
      <c r="M18" s="38"/>
      <c r="N18" s="38"/>
      <c r="O18" s="38"/>
      <c r="P18" s="37"/>
      <c r="Q18" s="37"/>
      <c r="R18" s="39"/>
      <c r="T18" s="41"/>
      <c r="X18" s="40" t="s">
        <v>669</v>
      </c>
    </row>
    <row r="19" spans="1:29" ht="16.5" customHeight="1">
      <c r="A19" s="23" t="s">
        <v>243</v>
      </c>
      <c r="B19" s="25">
        <v>44886</v>
      </c>
      <c r="C19" s="25">
        <v>44887</v>
      </c>
      <c r="D19" s="25">
        <v>44888</v>
      </c>
      <c r="E19" s="25">
        <v>44889</v>
      </c>
      <c r="F19" s="25">
        <v>44890</v>
      </c>
      <c r="G19" s="30">
        <v>44891</v>
      </c>
      <c r="H19" s="30">
        <v>44892</v>
      </c>
      <c r="I19" s="25">
        <v>44893</v>
      </c>
      <c r="J19" s="25">
        <v>44894</v>
      </c>
      <c r="K19" s="25">
        <v>44895</v>
      </c>
      <c r="L19" s="25"/>
      <c r="M19" s="26" t="s">
        <v>244</v>
      </c>
      <c r="N19" s="27">
        <v>44896</v>
      </c>
      <c r="O19" s="27">
        <v>44897</v>
      </c>
      <c r="P19" s="31">
        <v>44898</v>
      </c>
      <c r="Q19" s="31">
        <v>44899</v>
      </c>
      <c r="R19" s="27">
        <v>44900</v>
      </c>
      <c r="T19" s="41"/>
      <c r="V19" s="40" t="s">
        <v>63</v>
      </c>
      <c r="X19" s="40" t="s">
        <v>64</v>
      </c>
      <c r="Z19" s="40" t="s">
        <v>169</v>
      </c>
      <c r="AB19" s="40" t="s">
        <v>874</v>
      </c>
    </row>
    <row r="20" spans="1:29" ht="16.5" customHeight="1">
      <c r="A20" s="36">
        <v>1</v>
      </c>
      <c r="B20" s="19"/>
      <c r="C20" s="19"/>
      <c r="D20" s="19"/>
      <c r="E20" s="19"/>
      <c r="F20" s="19"/>
      <c r="G20" s="19" t="s">
        <v>516</v>
      </c>
      <c r="H20" s="19" t="s">
        <v>7</v>
      </c>
      <c r="I20" s="19"/>
      <c r="J20" s="19"/>
      <c r="K20" s="19"/>
      <c r="L20" s="19"/>
      <c r="M20" s="28">
        <v>1</v>
      </c>
      <c r="N20" s="19"/>
      <c r="O20" s="19"/>
      <c r="P20" s="19" t="s">
        <v>533</v>
      </c>
      <c r="Q20" s="19" t="s">
        <v>315</v>
      </c>
      <c r="R20" s="19"/>
      <c r="T20" s="41"/>
      <c r="V20" s="40" t="s">
        <v>25</v>
      </c>
      <c r="W20" s="40">
        <v>2</v>
      </c>
      <c r="X20" s="40" t="s">
        <v>45</v>
      </c>
      <c r="Y20" s="40">
        <v>2</v>
      </c>
      <c r="Z20" s="40" t="s">
        <v>153</v>
      </c>
      <c r="AA20" s="40">
        <v>1.8</v>
      </c>
      <c r="AB20" s="40" t="s">
        <v>37</v>
      </c>
      <c r="AC20" s="40">
        <v>3</v>
      </c>
    </row>
    <row r="21" spans="1:29" ht="16.5" customHeight="1">
      <c r="A21" s="36">
        <v>2</v>
      </c>
      <c r="B21" s="19"/>
      <c r="C21" s="19"/>
      <c r="D21" s="19"/>
      <c r="F21" s="19"/>
      <c r="G21" s="19" t="s">
        <v>313</v>
      </c>
      <c r="H21" s="19" t="s">
        <v>93</v>
      </c>
      <c r="I21" s="19"/>
      <c r="J21" s="19"/>
      <c r="K21" s="19"/>
      <c r="L21" s="61"/>
      <c r="M21" s="28">
        <v>2</v>
      </c>
      <c r="N21" s="19"/>
      <c r="O21" s="19"/>
      <c r="P21" s="19" t="s">
        <v>864</v>
      </c>
      <c r="Q21" s="19" t="s">
        <v>774</v>
      </c>
      <c r="R21" s="19"/>
      <c r="T21" s="41"/>
      <c r="V21" s="40" t="s">
        <v>2</v>
      </c>
      <c r="W21" s="40">
        <v>2</v>
      </c>
      <c r="X21" s="40" t="s">
        <v>14</v>
      </c>
      <c r="Y21" s="40">
        <v>3</v>
      </c>
      <c r="Z21" s="40" t="s">
        <v>26</v>
      </c>
      <c r="AA21" s="40">
        <v>5</v>
      </c>
      <c r="AB21" s="40" t="s">
        <v>863</v>
      </c>
      <c r="AC21" s="40">
        <v>6</v>
      </c>
    </row>
    <row r="22" spans="1:29" ht="16.5" customHeight="1">
      <c r="A22" s="36">
        <v>3</v>
      </c>
      <c r="B22" s="19"/>
      <c r="C22" s="19"/>
      <c r="D22" s="19"/>
      <c r="E22" s="19"/>
      <c r="F22" s="19"/>
      <c r="G22" s="19" t="s">
        <v>843</v>
      </c>
      <c r="H22" s="19" t="s">
        <v>855</v>
      </c>
      <c r="I22" s="19"/>
      <c r="J22" s="19"/>
      <c r="K22" s="19"/>
      <c r="L22" s="19"/>
      <c r="M22" s="28">
        <v>3</v>
      </c>
      <c r="N22" s="19"/>
      <c r="O22" s="19"/>
      <c r="P22" s="19" t="s">
        <v>843</v>
      </c>
      <c r="Q22" s="19" t="s">
        <v>855</v>
      </c>
      <c r="R22" s="19"/>
      <c r="T22" s="41"/>
      <c r="V22" s="40" t="s">
        <v>516</v>
      </c>
      <c r="W22" s="40">
        <v>3</v>
      </c>
      <c r="X22" s="40" t="s">
        <v>6</v>
      </c>
      <c r="Y22" s="40">
        <v>2</v>
      </c>
      <c r="Z22" s="40" t="s">
        <v>6</v>
      </c>
      <c r="AA22" s="40">
        <v>6</v>
      </c>
      <c r="AB22" s="40" t="s">
        <v>875</v>
      </c>
      <c r="AC22" s="40">
        <v>5.8</v>
      </c>
    </row>
    <row r="23" spans="1:29" ht="16.5" customHeight="1">
      <c r="A23" s="36" t="s">
        <v>20</v>
      </c>
      <c r="B23" s="19" t="s">
        <v>6</v>
      </c>
      <c r="C23" s="19" t="s">
        <v>13</v>
      </c>
      <c r="D23" s="19" t="s">
        <v>13</v>
      </c>
      <c r="E23" s="19" t="s">
        <v>13</v>
      </c>
      <c r="F23" s="19" t="s">
        <v>13</v>
      </c>
      <c r="G23" s="19" t="s">
        <v>13</v>
      </c>
      <c r="H23" s="19" t="s">
        <v>13</v>
      </c>
      <c r="I23" s="19" t="s">
        <v>25</v>
      </c>
      <c r="J23" s="19" t="s">
        <v>13</v>
      </c>
      <c r="K23" s="19" t="s">
        <v>13</v>
      </c>
      <c r="L23" s="19"/>
      <c r="M23" s="28" t="s">
        <v>20</v>
      </c>
      <c r="N23" s="19" t="s">
        <v>25</v>
      </c>
      <c r="O23" s="19" t="s">
        <v>13</v>
      </c>
      <c r="P23" s="19" t="s">
        <v>13</v>
      </c>
      <c r="Q23" s="19" t="s">
        <v>13</v>
      </c>
      <c r="R23" s="19" t="s">
        <v>153</v>
      </c>
      <c r="T23" s="41"/>
      <c r="V23" s="40" t="s">
        <v>7</v>
      </c>
      <c r="W23" s="40">
        <v>2</v>
      </c>
      <c r="X23" s="40" t="s">
        <v>23</v>
      </c>
      <c r="Y23" s="40">
        <v>2</v>
      </c>
      <c r="Z23" s="40" t="s">
        <v>23</v>
      </c>
      <c r="AA23" s="65" t="s">
        <v>963</v>
      </c>
      <c r="AB23" s="40" t="s">
        <v>356</v>
      </c>
      <c r="AC23" s="40" t="s">
        <v>956</v>
      </c>
    </row>
    <row r="24" spans="1:29" ht="16.5" customHeight="1">
      <c r="A24" s="36" t="s">
        <v>0</v>
      </c>
      <c r="B24" s="19" t="s">
        <v>356</v>
      </c>
      <c r="C24" s="19" t="s">
        <v>13</v>
      </c>
      <c r="D24" s="19" t="s">
        <v>13</v>
      </c>
      <c r="E24" s="19" t="s">
        <v>13</v>
      </c>
      <c r="F24" s="19" t="s">
        <v>13</v>
      </c>
      <c r="G24" s="19" t="s">
        <v>9</v>
      </c>
      <c r="H24" s="19" t="s">
        <v>13</v>
      </c>
      <c r="I24" s="19" t="s">
        <v>863</v>
      </c>
      <c r="J24" s="19" t="s">
        <v>13</v>
      </c>
      <c r="K24" s="19" t="s">
        <v>13</v>
      </c>
      <c r="L24" s="19"/>
      <c r="M24" s="28" t="s">
        <v>0</v>
      </c>
      <c r="N24" s="19" t="s">
        <v>863</v>
      </c>
      <c r="O24" s="19" t="s">
        <v>13</v>
      </c>
      <c r="P24" s="19" t="s">
        <v>9</v>
      </c>
      <c r="Q24" s="19" t="s">
        <v>13</v>
      </c>
      <c r="R24" s="19" t="s">
        <v>356</v>
      </c>
      <c r="T24" s="41"/>
      <c r="V24" s="40" t="s">
        <v>21</v>
      </c>
      <c r="W24" s="40">
        <v>2</v>
      </c>
      <c r="X24" s="40" t="s">
        <v>153</v>
      </c>
      <c r="Y24" s="40">
        <v>1</v>
      </c>
      <c r="Z24" s="40" t="s">
        <v>25</v>
      </c>
      <c r="AA24" s="40">
        <v>7</v>
      </c>
    </row>
    <row r="25" spans="1:29" ht="16.5" customHeight="1">
      <c r="A25" s="36" t="s">
        <v>1</v>
      </c>
      <c r="B25" s="19"/>
      <c r="C25" s="19"/>
      <c r="D25" s="19"/>
      <c r="E25" s="19"/>
      <c r="F25" s="19"/>
      <c r="G25" s="19"/>
      <c r="H25" s="19"/>
      <c r="I25" s="19"/>
      <c r="J25" s="19"/>
      <c r="K25" s="19"/>
      <c r="L25" s="19"/>
      <c r="M25" s="28" t="s">
        <v>1</v>
      </c>
      <c r="N25" s="19"/>
      <c r="O25" s="19"/>
      <c r="P25" s="19"/>
      <c r="Q25" s="19"/>
      <c r="R25" s="19"/>
      <c r="T25" s="41"/>
      <c r="V25" s="40" t="s">
        <v>26</v>
      </c>
      <c r="W25" s="40">
        <v>2</v>
      </c>
      <c r="X25" s="40" t="s">
        <v>327</v>
      </c>
      <c r="Y25" s="40">
        <v>2</v>
      </c>
      <c r="Z25" s="40" t="s">
        <v>327</v>
      </c>
      <c r="AA25" s="64" t="s">
        <v>324</v>
      </c>
    </row>
    <row r="26" spans="1:29" ht="16.5" customHeight="1">
      <c r="A26" s="36" t="s">
        <v>366</v>
      </c>
      <c r="B26" s="19"/>
      <c r="C26" s="19"/>
      <c r="D26" s="19"/>
      <c r="E26" s="19"/>
      <c r="F26" s="19"/>
      <c r="G26" s="19"/>
      <c r="H26" s="19"/>
      <c r="I26" s="19"/>
      <c r="J26" s="19"/>
      <c r="K26" s="19"/>
      <c r="L26" s="19"/>
      <c r="M26" s="28" t="s">
        <v>366</v>
      </c>
      <c r="N26" s="19"/>
      <c r="O26" s="19"/>
      <c r="P26" s="19"/>
      <c r="Q26" s="19"/>
      <c r="R26" s="19"/>
      <c r="T26" s="41"/>
      <c r="V26" s="40" t="s">
        <v>27</v>
      </c>
      <c r="W26" s="40">
        <v>2</v>
      </c>
      <c r="X26" s="40" t="s">
        <v>28</v>
      </c>
      <c r="Y26" s="40">
        <v>2</v>
      </c>
      <c r="Z26" s="40" t="s">
        <v>516</v>
      </c>
      <c r="AA26" s="40">
        <v>4</v>
      </c>
    </row>
    <row r="27" spans="1:29" ht="16.5" customHeight="1">
      <c r="A27" s="26" t="s">
        <v>244</v>
      </c>
      <c r="B27" s="27">
        <v>44901</v>
      </c>
      <c r="C27" s="27">
        <v>44902</v>
      </c>
      <c r="D27" s="27">
        <v>44903</v>
      </c>
      <c r="E27" s="27">
        <v>44904</v>
      </c>
      <c r="F27" s="31">
        <v>44905</v>
      </c>
      <c r="G27" s="31">
        <v>44906</v>
      </c>
      <c r="H27" s="27">
        <v>44907</v>
      </c>
      <c r="I27" s="27">
        <v>44908</v>
      </c>
      <c r="J27" s="27">
        <v>44909</v>
      </c>
      <c r="K27" s="27">
        <v>44910</v>
      </c>
      <c r="L27" s="27">
        <v>44911</v>
      </c>
      <c r="M27" s="31">
        <v>44912</v>
      </c>
      <c r="N27" s="31">
        <v>44913</v>
      </c>
      <c r="O27" s="27">
        <v>44914</v>
      </c>
      <c r="P27" s="27">
        <v>44915</v>
      </c>
      <c r="Q27" s="19"/>
      <c r="R27" s="19"/>
      <c r="T27" s="41"/>
      <c r="V27" s="40" t="s">
        <v>533</v>
      </c>
      <c r="W27" s="40">
        <v>2</v>
      </c>
      <c r="X27" s="40" t="s">
        <v>152</v>
      </c>
      <c r="Y27" s="40">
        <v>2</v>
      </c>
      <c r="Z27" s="40" t="s">
        <v>864</v>
      </c>
      <c r="AA27" s="40">
        <v>9</v>
      </c>
    </row>
    <row r="28" spans="1:29" ht="16.5" customHeight="1">
      <c r="A28" s="28">
        <v>1</v>
      </c>
      <c r="B28" s="19"/>
      <c r="C28" s="19"/>
      <c r="D28" s="19"/>
      <c r="E28" s="19"/>
      <c r="F28" s="19" t="s">
        <v>107</v>
      </c>
      <c r="G28" s="19" t="s">
        <v>312</v>
      </c>
      <c r="H28" s="19"/>
      <c r="I28" s="19"/>
      <c r="J28" s="19"/>
      <c r="K28" s="19"/>
      <c r="L28" s="19"/>
      <c r="M28" s="19" t="s">
        <v>2</v>
      </c>
      <c r="N28" s="19" t="s">
        <v>516</v>
      </c>
      <c r="O28" s="19"/>
      <c r="P28" s="19"/>
      <c r="Q28" s="19"/>
      <c r="R28" s="19"/>
      <c r="T28" s="41"/>
      <c r="V28" s="40" t="s">
        <v>314</v>
      </c>
      <c r="W28" s="40">
        <v>1</v>
      </c>
      <c r="X28" s="40" t="s">
        <v>864</v>
      </c>
      <c r="Y28" s="40">
        <v>2</v>
      </c>
    </row>
    <row r="29" spans="1:29" ht="16.5" customHeight="1">
      <c r="A29" s="28">
        <v>2</v>
      </c>
      <c r="B29" s="19"/>
      <c r="C29" s="19"/>
      <c r="D29" s="19"/>
      <c r="E29" s="19"/>
      <c r="F29" s="19" t="s">
        <v>6</v>
      </c>
      <c r="G29" s="19" t="s">
        <v>314</v>
      </c>
      <c r="H29" s="19"/>
      <c r="I29" s="19"/>
      <c r="J29" s="19"/>
      <c r="K29" s="19"/>
      <c r="L29" s="19"/>
      <c r="M29" s="19" t="s">
        <v>769</v>
      </c>
      <c r="N29" s="19" t="s">
        <v>14</v>
      </c>
      <c r="O29" s="19"/>
      <c r="P29" s="19"/>
      <c r="Q29" s="19"/>
      <c r="R29" s="19"/>
      <c r="T29" s="41"/>
    </row>
    <row r="30" spans="1:29" ht="16.5" customHeight="1">
      <c r="A30" s="28">
        <v>3</v>
      </c>
      <c r="B30" s="19"/>
      <c r="C30" s="19"/>
      <c r="D30" s="19"/>
      <c r="E30" s="19"/>
      <c r="F30" s="19" t="s">
        <v>843</v>
      </c>
      <c r="G30" s="19" t="s">
        <v>855</v>
      </c>
      <c r="H30" s="19"/>
      <c r="I30" s="19"/>
      <c r="J30" s="19"/>
      <c r="K30" s="19"/>
      <c r="L30" s="19"/>
      <c r="M30" s="19" t="s">
        <v>843</v>
      </c>
      <c r="N30" s="19" t="s">
        <v>855</v>
      </c>
      <c r="O30" s="19"/>
      <c r="P30" s="19"/>
      <c r="Q30" s="19"/>
      <c r="R30" s="19"/>
      <c r="T30" s="41"/>
    </row>
    <row r="31" spans="1:29" ht="16.5" customHeight="1">
      <c r="A31" s="28" t="s">
        <v>20</v>
      </c>
      <c r="B31" s="19" t="s">
        <v>153</v>
      </c>
      <c r="C31" s="19" t="s">
        <v>13</v>
      </c>
      <c r="D31" s="19" t="s">
        <v>13</v>
      </c>
      <c r="E31" s="19" t="s">
        <v>13</v>
      </c>
      <c r="F31" s="19" t="s">
        <v>13</v>
      </c>
      <c r="G31" s="19" t="s">
        <v>13</v>
      </c>
      <c r="H31" s="19" t="s">
        <v>864</v>
      </c>
      <c r="I31" s="19" t="s">
        <v>13</v>
      </c>
      <c r="J31" s="19" t="s">
        <v>13</v>
      </c>
      <c r="K31" s="19" t="s">
        <v>13</v>
      </c>
      <c r="L31" s="19" t="s">
        <v>13</v>
      </c>
      <c r="M31" s="19" t="s">
        <v>13</v>
      </c>
      <c r="N31" s="19" t="s">
        <v>13</v>
      </c>
      <c r="O31" s="19" t="s">
        <v>769</v>
      </c>
      <c r="P31" s="19" t="s">
        <v>13</v>
      </c>
      <c r="Q31" s="19"/>
      <c r="R31" s="19"/>
      <c r="T31" s="41"/>
    </row>
    <row r="32" spans="1:29" ht="16.5" customHeight="1">
      <c r="A32" s="28" t="s">
        <v>0</v>
      </c>
      <c r="B32" s="19" t="s">
        <v>356</v>
      </c>
      <c r="C32" s="19" t="s">
        <v>13</v>
      </c>
      <c r="D32" s="19" t="s">
        <v>13</v>
      </c>
      <c r="E32" s="19" t="s">
        <v>13</v>
      </c>
      <c r="F32" s="19" t="s">
        <v>9</v>
      </c>
      <c r="G32" s="19" t="s">
        <v>13</v>
      </c>
      <c r="H32" s="19" t="s">
        <v>875</v>
      </c>
      <c r="I32" s="19" t="s">
        <v>13</v>
      </c>
      <c r="J32" s="19" t="s">
        <v>13</v>
      </c>
      <c r="K32" s="19" t="s">
        <v>13</v>
      </c>
      <c r="L32" s="19" t="s">
        <v>13</v>
      </c>
      <c r="M32" s="19" t="s">
        <v>9</v>
      </c>
      <c r="N32" s="19" t="s">
        <v>13</v>
      </c>
      <c r="O32" s="19" t="s">
        <v>356</v>
      </c>
      <c r="P32" s="19" t="s">
        <v>13</v>
      </c>
      <c r="Q32" s="19"/>
      <c r="R32" s="19"/>
      <c r="T32" s="41"/>
      <c r="V32" s="40" t="s">
        <v>567</v>
      </c>
      <c r="W32" s="40">
        <f>SUM(W19:W31)</f>
        <v>18</v>
      </c>
      <c r="Y32" s="40">
        <f>SUM(Y19:Y31)</f>
        <v>18</v>
      </c>
    </row>
    <row r="33" spans="1:20" ht="16.5" customHeight="1">
      <c r="A33" s="28" t="s">
        <v>1</v>
      </c>
      <c r="B33" s="19"/>
      <c r="C33" s="19"/>
      <c r="D33" s="19"/>
      <c r="E33" s="19"/>
      <c r="F33" s="19"/>
      <c r="G33" s="19"/>
      <c r="H33" s="19"/>
      <c r="I33" s="19"/>
      <c r="J33" s="19"/>
      <c r="K33" s="19"/>
      <c r="L33" s="19"/>
      <c r="M33" s="19"/>
      <c r="N33" s="19"/>
      <c r="O33" s="19"/>
      <c r="P33" s="19"/>
      <c r="Q33" s="19"/>
      <c r="R33" s="19"/>
    </row>
    <row r="34" spans="1:20" ht="16.5" customHeight="1">
      <c r="A34" s="28" t="s">
        <v>366</v>
      </c>
      <c r="B34" s="19"/>
      <c r="C34" s="19"/>
      <c r="D34" s="19"/>
      <c r="E34" s="19"/>
      <c r="F34" s="19"/>
      <c r="G34" s="19"/>
      <c r="H34" s="19"/>
      <c r="I34" s="19"/>
      <c r="J34" s="19"/>
      <c r="K34" s="19"/>
      <c r="L34" s="19"/>
      <c r="M34" s="19"/>
      <c r="N34" s="19"/>
      <c r="O34" s="19"/>
      <c r="P34" s="19"/>
      <c r="Q34" s="19"/>
      <c r="R34" s="19"/>
    </row>
    <row r="35" spans="1:20" ht="12.75" customHeight="1">
      <c r="Q35" s="145" t="s">
        <v>82</v>
      </c>
      <c r="R35" s="145"/>
      <c r="T35" s="41"/>
    </row>
    <row r="36" spans="1:20">
      <c r="A36" s="40" t="s">
        <v>322</v>
      </c>
      <c r="B36" s="49"/>
      <c r="C36" s="49"/>
      <c r="D36" s="49"/>
      <c r="E36" s="49"/>
      <c r="F36" s="49"/>
      <c r="G36" s="49"/>
      <c r="H36" s="55"/>
      <c r="I36" s="49"/>
      <c r="J36" s="49"/>
      <c r="K36" s="49"/>
      <c r="L36" s="49"/>
      <c r="M36" s="49"/>
      <c r="N36" s="49"/>
      <c r="O36" s="49"/>
      <c r="T36" s="41"/>
    </row>
    <row r="37" spans="1:20">
      <c r="A37" s="43" t="s">
        <v>313</v>
      </c>
      <c r="B37" s="55" t="s">
        <v>946</v>
      </c>
      <c r="C37" s="55"/>
      <c r="D37" s="55"/>
      <c r="E37" s="55"/>
      <c r="F37" s="55"/>
      <c r="G37" s="55"/>
      <c r="H37" s="55"/>
      <c r="I37" s="55"/>
      <c r="J37" s="55"/>
      <c r="K37" s="55" t="s">
        <v>945</v>
      </c>
      <c r="L37" s="55"/>
      <c r="M37" s="55"/>
      <c r="N37" s="55"/>
      <c r="O37" s="55"/>
      <c r="P37" s="43"/>
      <c r="Q37" s="43"/>
      <c r="R37" s="43"/>
      <c r="T37" s="41"/>
    </row>
    <row r="38" spans="1:20">
      <c r="A38" s="43" t="s">
        <v>2</v>
      </c>
      <c r="B38" s="55" t="s">
        <v>947</v>
      </c>
      <c r="C38" s="55"/>
      <c r="D38" s="55"/>
      <c r="E38" s="55"/>
      <c r="F38" s="55"/>
      <c r="G38" s="55"/>
      <c r="H38" s="55"/>
      <c r="I38" s="55"/>
      <c r="J38" s="55"/>
      <c r="K38" s="55"/>
      <c r="L38" s="55"/>
      <c r="M38" s="55"/>
      <c r="N38" s="55"/>
      <c r="O38" s="55"/>
      <c r="P38" s="43"/>
      <c r="Q38" s="43"/>
      <c r="R38" s="43"/>
      <c r="T38" s="41"/>
    </row>
    <row r="39" spans="1:20">
      <c r="A39" s="43" t="s">
        <v>864</v>
      </c>
      <c r="B39" s="55" t="s">
        <v>948</v>
      </c>
      <c r="C39" s="55"/>
      <c r="D39" s="55"/>
      <c r="E39" s="55"/>
      <c r="F39" s="55"/>
      <c r="G39" s="55"/>
      <c r="H39" s="55"/>
      <c r="I39" s="55"/>
      <c r="J39" s="55"/>
      <c r="K39" s="55"/>
      <c r="L39" s="55"/>
      <c r="M39" s="55"/>
      <c r="N39" s="55"/>
      <c r="O39" s="55"/>
      <c r="P39" s="43"/>
      <c r="Q39" s="43"/>
      <c r="R39" s="43"/>
      <c r="T39" s="41"/>
    </row>
    <row r="40" spans="1:20">
      <c r="A40" s="43" t="s">
        <v>14</v>
      </c>
      <c r="B40" s="55" t="s">
        <v>949</v>
      </c>
      <c r="C40" s="55"/>
      <c r="D40" s="55"/>
      <c r="E40" s="55"/>
      <c r="F40" s="55"/>
      <c r="G40" s="55"/>
      <c r="H40" s="55"/>
      <c r="I40" s="55"/>
      <c r="J40" s="55"/>
      <c r="K40" s="55"/>
      <c r="L40" s="55"/>
      <c r="M40" s="55"/>
      <c r="N40" s="55"/>
      <c r="O40" s="55"/>
      <c r="P40" s="43"/>
      <c r="Q40" s="43"/>
      <c r="R40" s="43"/>
    </row>
    <row r="41" spans="1:20">
      <c r="A41" s="43" t="s">
        <v>153</v>
      </c>
      <c r="B41" s="55" t="s">
        <v>950</v>
      </c>
      <c r="C41" s="55"/>
      <c r="D41" s="55"/>
      <c r="E41" s="55"/>
      <c r="F41" s="55"/>
      <c r="G41" s="55"/>
      <c r="H41" s="55"/>
      <c r="I41" s="55"/>
      <c r="J41" s="55"/>
      <c r="K41" s="55"/>
      <c r="L41" s="55"/>
      <c r="M41" s="55"/>
      <c r="N41" s="55"/>
      <c r="O41" s="55"/>
      <c r="P41" s="43"/>
      <c r="Q41" s="43"/>
      <c r="R41" s="43"/>
    </row>
    <row r="42" spans="1:20">
      <c r="A42" s="43" t="s">
        <v>25</v>
      </c>
      <c r="B42" s="55" t="s">
        <v>951</v>
      </c>
      <c r="C42" s="55"/>
      <c r="D42" s="55"/>
      <c r="E42" s="55"/>
      <c r="F42" s="55"/>
      <c r="G42" s="55"/>
      <c r="H42" s="59"/>
      <c r="I42" s="55"/>
      <c r="J42" s="55"/>
      <c r="K42" s="55"/>
      <c r="L42" s="55"/>
      <c r="M42" s="55"/>
      <c r="N42" s="55"/>
      <c r="O42" s="55"/>
      <c r="P42" s="43"/>
      <c r="Q42" s="43"/>
      <c r="R42" s="43"/>
      <c r="T42" s="41"/>
    </row>
    <row r="43" spans="1:20">
      <c r="A43" s="43" t="s">
        <v>7</v>
      </c>
      <c r="B43" s="55" t="s">
        <v>952</v>
      </c>
      <c r="C43" s="55"/>
      <c r="D43" s="55"/>
      <c r="E43" s="55"/>
      <c r="F43" s="55"/>
      <c r="G43" s="55"/>
      <c r="H43" s="55"/>
      <c r="I43" s="55"/>
      <c r="J43" s="55"/>
      <c r="K43" s="55"/>
      <c r="L43" s="55"/>
      <c r="M43" s="55"/>
      <c r="N43" s="55"/>
      <c r="O43" s="55"/>
      <c r="P43" s="43"/>
      <c r="Q43" s="43"/>
      <c r="R43" s="43"/>
      <c r="T43" s="41"/>
    </row>
    <row r="44" spans="1:20">
      <c r="A44" s="43" t="s">
        <v>516</v>
      </c>
      <c r="B44" s="55" t="s">
        <v>954</v>
      </c>
      <c r="C44" s="55"/>
      <c r="D44" s="55"/>
      <c r="E44" s="55"/>
      <c r="F44" s="55"/>
      <c r="G44" s="55"/>
      <c r="H44" s="55"/>
      <c r="I44" s="55"/>
      <c r="J44" s="55"/>
      <c r="K44" s="55"/>
      <c r="L44" s="55"/>
      <c r="M44" s="55"/>
      <c r="N44" s="55"/>
      <c r="O44" s="55"/>
      <c r="P44" s="43"/>
      <c r="Q44" s="43"/>
      <c r="R44" s="43"/>
      <c r="T44" s="41"/>
    </row>
    <row r="45" spans="1:20">
      <c r="A45" s="43" t="s">
        <v>312</v>
      </c>
      <c r="B45" s="62" t="s">
        <v>955</v>
      </c>
      <c r="C45" s="43"/>
      <c r="D45" s="63"/>
      <c r="E45" s="43"/>
      <c r="F45" s="55"/>
      <c r="G45" s="63"/>
      <c r="H45" s="63"/>
      <c r="I45" s="63"/>
      <c r="J45" s="43"/>
      <c r="K45" s="43"/>
      <c r="L45" s="43"/>
      <c r="M45" s="43"/>
      <c r="N45" s="43"/>
      <c r="O45" s="43"/>
      <c r="P45" s="43"/>
      <c r="Q45" s="43"/>
      <c r="R45" s="43"/>
    </row>
    <row r="46" spans="1:20">
      <c r="A46" s="43" t="s">
        <v>93</v>
      </c>
      <c r="B46" s="55" t="s">
        <v>948</v>
      </c>
      <c r="C46" s="43"/>
      <c r="D46" s="43"/>
      <c r="E46" s="43"/>
      <c r="F46" s="43"/>
      <c r="G46" s="43"/>
      <c r="H46" s="43"/>
      <c r="I46" s="43"/>
      <c r="J46" s="43"/>
      <c r="K46" s="43"/>
      <c r="L46" s="43"/>
      <c r="M46" s="43"/>
      <c r="N46" s="43"/>
      <c r="O46" s="43"/>
      <c r="P46" s="43"/>
      <c r="Q46" s="43"/>
      <c r="R46" s="43"/>
      <c r="T46" s="41"/>
    </row>
    <row r="47" spans="1:20">
      <c r="A47" s="43"/>
      <c r="B47" s="43"/>
      <c r="C47" s="43"/>
      <c r="D47" s="43"/>
      <c r="E47" s="43"/>
      <c r="F47" s="43"/>
      <c r="G47" s="43"/>
      <c r="H47" s="43"/>
      <c r="I47" s="43"/>
      <c r="J47" s="43"/>
      <c r="K47" s="43"/>
      <c r="L47" s="43"/>
      <c r="M47" s="43"/>
      <c r="N47" s="43"/>
      <c r="O47" s="43"/>
      <c r="P47" s="43"/>
      <c r="Q47" s="43"/>
      <c r="R47" s="43"/>
      <c r="T47" s="41"/>
    </row>
    <row r="48" spans="1:20">
      <c r="A48" s="43"/>
      <c r="B48" s="43"/>
      <c r="C48" s="43"/>
      <c r="D48" s="43"/>
      <c r="E48" s="43"/>
      <c r="F48" s="43"/>
      <c r="G48" s="43"/>
      <c r="H48" s="43"/>
      <c r="I48" s="43"/>
      <c r="J48" s="43"/>
      <c r="K48" s="43"/>
      <c r="L48" s="43"/>
      <c r="M48" s="43"/>
      <c r="N48" s="43"/>
      <c r="O48" s="43"/>
      <c r="P48" s="43"/>
      <c r="Q48" s="43"/>
      <c r="R48" s="43"/>
      <c r="T48" s="41"/>
    </row>
    <row r="49" spans="1:18">
      <c r="A49" s="43"/>
      <c r="B49" s="43"/>
      <c r="C49" s="43"/>
      <c r="D49" s="43"/>
      <c r="E49" s="43"/>
      <c r="F49" s="43"/>
      <c r="G49" s="43"/>
      <c r="H49" s="43"/>
      <c r="I49" s="43"/>
      <c r="J49" s="43"/>
      <c r="K49" s="43"/>
      <c r="L49" s="43"/>
      <c r="M49" s="43"/>
      <c r="N49" s="43"/>
      <c r="O49" s="43"/>
      <c r="P49" s="43"/>
      <c r="Q49" s="43"/>
      <c r="R49" s="43"/>
    </row>
    <row r="50" spans="1:18">
      <c r="A50" s="43"/>
      <c r="B50" s="43"/>
      <c r="C50" s="43"/>
      <c r="D50" s="43"/>
      <c r="E50" s="43"/>
      <c r="F50" s="43"/>
      <c r="G50" s="43"/>
      <c r="H50" s="43"/>
      <c r="I50" s="43"/>
      <c r="J50" s="43"/>
      <c r="K50" s="43"/>
      <c r="L50" s="43"/>
      <c r="M50" s="43"/>
      <c r="N50" s="43"/>
      <c r="O50" s="43"/>
      <c r="P50" s="43"/>
      <c r="Q50" s="43"/>
      <c r="R50" s="43"/>
    </row>
    <row r="51" spans="1:18">
      <c r="A51" s="43"/>
      <c r="B51" s="43"/>
      <c r="C51" s="43"/>
      <c r="D51" s="43"/>
      <c r="E51" s="43"/>
      <c r="F51" s="43"/>
      <c r="G51" s="43"/>
      <c r="H51" s="43"/>
      <c r="I51" s="43"/>
      <c r="J51" s="43"/>
      <c r="K51" s="43"/>
      <c r="L51" s="43"/>
      <c r="M51" s="43"/>
      <c r="N51" s="43"/>
      <c r="O51" s="43"/>
      <c r="P51" s="43"/>
      <c r="Q51" s="43"/>
      <c r="R51" s="43"/>
    </row>
  </sheetData>
  <mergeCells count="2">
    <mergeCell ref="A1:R1"/>
    <mergeCell ref="Q35:R35"/>
  </mergeCells>
  <phoneticPr fontId="2"/>
  <pageMargins left="0.70866141732283472" right="0.70866141732283472" top="0" bottom="0" header="0.31496062992125984" footer="0.31496062992125984"/>
  <pageSetup paperSize="9" orientation="landscape" r:id="rId1"/>
  <drawing r:id="rId2"/>
  <legacyDrawing r:id="rId3"/>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DA950-9BFA-41A2-BBC0-F755A4ECB27E}">
  <dimension ref="A1:AC51"/>
  <sheetViews>
    <sheetView zoomScaleNormal="100" workbookViewId="0">
      <selection activeCell="V18" sqref="V18:Y32"/>
    </sheetView>
  </sheetViews>
  <sheetFormatPr defaultColWidth="9" defaultRowHeight="18.75"/>
  <cols>
    <col min="1" max="18" width="6.625" style="40" customWidth="1"/>
    <col min="19" max="19" width="3.625" style="40" customWidth="1"/>
    <col min="20" max="20" width="6.625" style="40" customWidth="1"/>
    <col min="21" max="21" width="3.625" style="40" customWidth="1"/>
    <col min="22" max="37" width="6.625" style="40" customWidth="1"/>
    <col min="38" max="38" width="3.625" style="40" customWidth="1"/>
    <col min="39" max="16384" width="9" style="40"/>
  </cols>
  <sheetData>
    <row r="1" spans="1:29">
      <c r="A1" s="147" t="s">
        <v>953</v>
      </c>
      <c r="B1" s="147"/>
      <c r="C1" s="147"/>
      <c r="D1" s="147"/>
      <c r="E1" s="147"/>
      <c r="F1" s="147"/>
      <c r="G1" s="147"/>
      <c r="H1" s="147"/>
      <c r="I1" s="147"/>
      <c r="J1" s="147"/>
      <c r="K1" s="147"/>
      <c r="L1" s="147"/>
      <c r="M1" s="147"/>
      <c r="N1" s="147"/>
      <c r="O1" s="147"/>
      <c r="P1" s="147"/>
      <c r="Q1" s="147"/>
      <c r="R1" s="147"/>
      <c r="X1" s="40" t="s">
        <v>167</v>
      </c>
    </row>
    <row r="2" spans="1:29" ht="16.5" customHeight="1">
      <c r="A2" s="26" t="s">
        <v>216</v>
      </c>
      <c r="B2" s="31">
        <v>44794</v>
      </c>
      <c r="C2" s="27">
        <v>44795</v>
      </c>
      <c r="D2" s="27">
        <v>44796</v>
      </c>
      <c r="E2" s="27">
        <v>44797</v>
      </c>
      <c r="F2" s="27">
        <v>44798</v>
      </c>
      <c r="G2" s="27">
        <v>44799</v>
      </c>
      <c r="H2" s="31">
        <v>44800</v>
      </c>
      <c r="I2" s="31">
        <v>44801</v>
      </c>
      <c r="J2" s="27">
        <v>44802</v>
      </c>
      <c r="K2" s="27">
        <v>44803</v>
      </c>
      <c r="L2" s="27">
        <v>44804</v>
      </c>
      <c r="M2" s="23" t="s">
        <v>217</v>
      </c>
      <c r="N2" s="60">
        <v>44805</v>
      </c>
      <c r="O2" s="60">
        <v>44806</v>
      </c>
      <c r="P2" s="30">
        <v>44807</v>
      </c>
      <c r="Q2" s="30">
        <v>44808</v>
      </c>
      <c r="R2" s="60">
        <v>44809</v>
      </c>
      <c r="V2" s="40" t="s">
        <v>63</v>
      </c>
      <c r="X2" s="40" t="s">
        <v>64</v>
      </c>
      <c r="Z2" s="40" t="s">
        <v>169</v>
      </c>
      <c r="AB2" s="40" t="s">
        <v>874</v>
      </c>
    </row>
    <row r="3" spans="1:29" ht="16.5" customHeight="1">
      <c r="A3" s="28">
        <v>1</v>
      </c>
      <c r="B3" s="19" t="s">
        <v>533</v>
      </c>
      <c r="C3" s="19"/>
      <c r="D3" s="19"/>
      <c r="E3" s="19"/>
      <c r="F3" s="19"/>
      <c r="G3" s="19"/>
      <c r="H3" s="19" t="s">
        <v>920</v>
      </c>
      <c r="I3" s="19" t="s">
        <v>919</v>
      </c>
      <c r="J3" s="19"/>
      <c r="K3" s="19"/>
      <c r="L3" s="19"/>
      <c r="M3" s="36">
        <v>1</v>
      </c>
      <c r="N3" s="19"/>
      <c r="O3" s="19"/>
      <c r="P3" s="19" t="s">
        <v>7</v>
      </c>
      <c r="Q3" s="19" t="s">
        <v>937</v>
      </c>
      <c r="R3" s="19"/>
      <c r="V3" s="40" t="s">
        <v>25</v>
      </c>
      <c r="W3" s="40">
        <v>2</v>
      </c>
      <c r="X3" s="40" t="s">
        <v>45</v>
      </c>
      <c r="Y3" s="40">
        <v>2</v>
      </c>
      <c r="Z3" s="40" t="s">
        <v>153</v>
      </c>
      <c r="AA3" s="40">
        <v>2</v>
      </c>
      <c r="AB3" s="40" t="s">
        <v>37</v>
      </c>
      <c r="AC3" s="40">
        <v>2</v>
      </c>
    </row>
    <row r="4" spans="1:29" ht="16.5" customHeight="1">
      <c r="A4" s="28">
        <v>2</v>
      </c>
      <c r="B4" s="19" t="s">
        <v>516</v>
      </c>
      <c r="C4" s="19"/>
      <c r="D4" s="19"/>
      <c r="E4" s="19"/>
      <c r="F4" s="19"/>
      <c r="G4" s="61"/>
      <c r="H4" s="40" t="s">
        <v>28</v>
      </c>
      <c r="I4" s="19" t="s">
        <v>14</v>
      </c>
      <c r="J4" s="19"/>
      <c r="K4" s="19"/>
      <c r="L4" s="19"/>
      <c r="M4" s="36">
        <v>2</v>
      </c>
      <c r="N4" s="19"/>
      <c r="O4" s="19"/>
      <c r="P4" s="40" t="s">
        <v>6</v>
      </c>
      <c r="Q4" s="19" t="s">
        <v>935</v>
      </c>
      <c r="R4" s="19"/>
      <c r="T4" s="41"/>
      <c r="U4" s="41"/>
      <c r="V4" s="40" t="s">
        <v>2</v>
      </c>
      <c r="W4" s="40">
        <v>2</v>
      </c>
      <c r="X4" s="40" t="s">
        <v>14</v>
      </c>
      <c r="Y4" s="40">
        <v>1</v>
      </c>
      <c r="Z4" s="40" t="s">
        <v>26</v>
      </c>
      <c r="AA4" s="40">
        <v>3.9</v>
      </c>
      <c r="AB4" s="40" t="s">
        <v>863</v>
      </c>
      <c r="AC4" s="40">
        <v>4</v>
      </c>
    </row>
    <row r="5" spans="1:29" ht="16.5" customHeight="1">
      <c r="A5" s="28">
        <v>3</v>
      </c>
      <c r="B5" s="19" t="s">
        <v>855</v>
      </c>
      <c r="C5" s="19"/>
      <c r="D5" s="19"/>
      <c r="E5" s="19"/>
      <c r="F5" s="19"/>
      <c r="G5" s="19"/>
      <c r="H5" s="19" t="s">
        <v>843</v>
      </c>
      <c r="I5" s="19" t="s">
        <v>855</v>
      </c>
      <c r="J5" s="19"/>
      <c r="K5" s="19"/>
      <c r="L5" s="19"/>
      <c r="M5" s="36">
        <v>3</v>
      </c>
      <c r="N5" s="19"/>
      <c r="O5" s="19"/>
      <c r="P5" s="19" t="s">
        <v>843</v>
      </c>
      <c r="Q5" s="19" t="s">
        <v>855</v>
      </c>
      <c r="R5" s="19"/>
      <c r="T5" s="41"/>
      <c r="U5" s="41"/>
      <c r="V5" s="40" t="s">
        <v>516</v>
      </c>
      <c r="W5" s="40">
        <v>1</v>
      </c>
      <c r="X5" s="40" t="s">
        <v>6</v>
      </c>
      <c r="Y5" s="40">
        <v>2</v>
      </c>
      <c r="Z5" s="40" t="s">
        <v>6</v>
      </c>
      <c r="AA5" s="40">
        <v>1.8</v>
      </c>
      <c r="AB5" s="40" t="s">
        <v>864</v>
      </c>
      <c r="AC5" s="40">
        <v>8</v>
      </c>
    </row>
    <row r="6" spans="1:29" ht="16.5" customHeight="1">
      <c r="A6" s="28" t="s">
        <v>20</v>
      </c>
      <c r="B6" s="19" t="s">
        <v>918</v>
      </c>
      <c r="C6" s="19" t="s">
        <v>25</v>
      </c>
      <c r="D6" s="19" t="s">
        <v>13</v>
      </c>
      <c r="E6" s="19" t="s">
        <v>13</v>
      </c>
      <c r="F6" s="19" t="s">
        <v>13</v>
      </c>
      <c r="G6" s="19" t="s">
        <v>13</v>
      </c>
      <c r="H6" s="19" t="s">
        <v>13</v>
      </c>
      <c r="I6" s="19" t="s">
        <v>13</v>
      </c>
      <c r="J6" s="19" t="s">
        <v>153</v>
      </c>
      <c r="K6" s="19" t="s">
        <v>13</v>
      </c>
      <c r="L6" s="19" t="s">
        <v>13</v>
      </c>
      <c r="M6" s="36" t="s">
        <v>20</v>
      </c>
      <c r="N6" s="19" t="s">
        <v>153</v>
      </c>
      <c r="O6" s="19" t="s">
        <v>13</v>
      </c>
      <c r="P6" s="19" t="s">
        <v>13</v>
      </c>
      <c r="Q6" s="19" t="s">
        <v>13</v>
      </c>
      <c r="R6" s="19" t="s">
        <v>769</v>
      </c>
      <c r="T6" s="41"/>
      <c r="U6" s="41"/>
      <c r="V6" s="40" t="s">
        <v>7</v>
      </c>
      <c r="W6" s="40">
        <v>2</v>
      </c>
      <c r="X6" s="40" t="s">
        <v>23</v>
      </c>
      <c r="Y6" s="40">
        <v>2</v>
      </c>
      <c r="Z6" s="40" t="s">
        <v>23</v>
      </c>
      <c r="AA6" s="40">
        <v>5</v>
      </c>
      <c r="AB6" s="40" t="s">
        <v>875</v>
      </c>
      <c r="AC6" s="40">
        <v>6</v>
      </c>
    </row>
    <row r="7" spans="1:29" ht="16.5" customHeight="1">
      <c r="A7" s="28" t="s">
        <v>0</v>
      </c>
      <c r="B7" s="19" t="s">
        <v>9</v>
      </c>
      <c r="C7" s="19" t="s">
        <v>864</v>
      </c>
      <c r="D7" s="19" t="s">
        <v>13</v>
      </c>
      <c r="E7" s="19" t="s">
        <v>13</v>
      </c>
      <c r="F7" s="19" t="s">
        <v>13</v>
      </c>
      <c r="G7" s="19" t="s">
        <v>13</v>
      </c>
      <c r="H7" s="19" t="s">
        <v>9</v>
      </c>
      <c r="I7" s="19" t="s">
        <v>13</v>
      </c>
      <c r="J7" s="19" t="s">
        <v>356</v>
      </c>
      <c r="K7" s="19" t="s">
        <v>13</v>
      </c>
      <c r="L7" s="19" t="s">
        <v>13</v>
      </c>
      <c r="M7" s="36" t="s">
        <v>0</v>
      </c>
      <c r="N7" s="19" t="s">
        <v>356</v>
      </c>
      <c r="O7" s="19" t="s">
        <v>13</v>
      </c>
      <c r="P7" s="19" t="s">
        <v>9</v>
      </c>
      <c r="Q7" s="19" t="s">
        <v>13</v>
      </c>
      <c r="R7" s="19" t="s">
        <v>934</v>
      </c>
      <c r="T7" s="41"/>
      <c r="U7" s="41"/>
      <c r="V7" s="40" t="s">
        <v>21</v>
      </c>
      <c r="W7" s="40">
        <v>2</v>
      </c>
      <c r="X7" s="40" t="s">
        <v>153</v>
      </c>
      <c r="Y7" s="40">
        <v>1</v>
      </c>
      <c r="Z7" s="40" t="s">
        <v>25</v>
      </c>
      <c r="AA7" s="40">
        <v>4</v>
      </c>
      <c r="AB7" s="40" t="s">
        <v>356</v>
      </c>
      <c r="AC7" s="40" t="s">
        <v>917</v>
      </c>
    </row>
    <row r="8" spans="1:29" ht="16.5" customHeight="1">
      <c r="A8" s="28" t="s">
        <v>1</v>
      </c>
      <c r="B8" s="19"/>
      <c r="C8" s="19"/>
      <c r="D8" s="19"/>
      <c r="E8" s="19"/>
      <c r="F8" s="19"/>
      <c r="G8" s="19"/>
      <c r="H8" s="19"/>
      <c r="I8" s="19"/>
      <c r="J8" s="19"/>
      <c r="K8" s="19"/>
      <c r="L8" s="19"/>
      <c r="M8" s="36" t="s">
        <v>1</v>
      </c>
      <c r="N8" s="19"/>
      <c r="O8" s="19"/>
      <c r="P8" s="19"/>
      <c r="Q8" s="19"/>
      <c r="R8" s="19"/>
      <c r="T8" s="41"/>
      <c r="V8" s="40" t="s">
        <v>26</v>
      </c>
      <c r="W8" s="40">
        <v>1</v>
      </c>
      <c r="X8" s="40" t="s">
        <v>327</v>
      </c>
      <c r="Y8" s="40">
        <v>2</v>
      </c>
      <c r="Z8" s="40" t="s">
        <v>327</v>
      </c>
      <c r="AA8" s="40">
        <v>6</v>
      </c>
    </row>
    <row r="9" spans="1:29" ht="16.5" customHeight="1">
      <c r="A9" s="28" t="s">
        <v>366</v>
      </c>
      <c r="B9" s="19"/>
      <c r="C9" s="19"/>
      <c r="D9" s="19"/>
      <c r="E9" s="19"/>
      <c r="F9" s="19"/>
      <c r="G9" s="19"/>
      <c r="H9" s="19"/>
      <c r="I9" s="19"/>
      <c r="J9" s="19"/>
      <c r="K9" s="19"/>
      <c r="L9" s="19"/>
      <c r="M9" s="36" t="s">
        <v>366</v>
      </c>
      <c r="N9" s="19"/>
      <c r="O9" s="19"/>
      <c r="P9" s="19"/>
      <c r="Q9" s="19"/>
      <c r="R9" s="19"/>
      <c r="T9" s="41"/>
      <c r="V9" s="40" t="s">
        <v>27</v>
      </c>
      <c r="W9" s="40">
        <v>2</v>
      </c>
      <c r="X9" s="40" t="s">
        <v>28</v>
      </c>
      <c r="Y9" s="40">
        <v>2</v>
      </c>
      <c r="Z9" s="40" t="s">
        <v>516</v>
      </c>
      <c r="AA9" s="40">
        <v>7</v>
      </c>
    </row>
    <row r="10" spans="1:29" ht="16.5" customHeight="1">
      <c r="A10" s="23" t="s">
        <v>217</v>
      </c>
      <c r="B10" s="25">
        <v>44810</v>
      </c>
      <c r="C10" s="25">
        <v>44811</v>
      </c>
      <c r="D10" s="25">
        <v>44812</v>
      </c>
      <c r="E10" s="25">
        <v>44813</v>
      </c>
      <c r="F10" s="30">
        <v>44814</v>
      </c>
      <c r="G10" s="30">
        <v>44815</v>
      </c>
      <c r="H10" s="25">
        <v>44816</v>
      </c>
      <c r="I10" s="25">
        <v>44817</v>
      </c>
      <c r="J10" s="25">
        <v>44818</v>
      </c>
      <c r="K10" s="25">
        <v>44819</v>
      </c>
      <c r="L10" s="25">
        <v>44820</v>
      </c>
      <c r="M10" s="30">
        <v>44821</v>
      </c>
      <c r="N10" s="30">
        <v>44822</v>
      </c>
      <c r="O10" s="25">
        <v>44823</v>
      </c>
      <c r="P10" s="25">
        <v>44824</v>
      </c>
      <c r="Q10" s="19"/>
      <c r="R10" s="19"/>
      <c r="T10" s="41"/>
      <c r="V10" s="40" t="s">
        <v>533</v>
      </c>
      <c r="W10" s="40">
        <v>1</v>
      </c>
      <c r="X10" s="40" t="s">
        <v>152</v>
      </c>
      <c r="Y10" s="40">
        <v>0</v>
      </c>
    </row>
    <row r="11" spans="1:29" ht="16.5" customHeight="1">
      <c r="A11" s="36">
        <v>1</v>
      </c>
      <c r="B11" s="19"/>
      <c r="C11" s="19"/>
      <c r="D11" s="19"/>
      <c r="E11" s="19"/>
      <c r="F11" s="19" t="s">
        <v>312</v>
      </c>
      <c r="G11" s="19" t="s">
        <v>516</v>
      </c>
      <c r="H11" s="19"/>
      <c r="I11" s="19"/>
      <c r="J11" s="19"/>
      <c r="K11" s="19"/>
      <c r="L11" s="19"/>
      <c r="M11" s="40" t="s">
        <v>533</v>
      </c>
      <c r="N11" s="19" t="s">
        <v>107</v>
      </c>
      <c r="O11" s="19"/>
      <c r="P11" s="19"/>
      <c r="Q11" s="19"/>
      <c r="R11" s="19"/>
      <c r="T11" s="41"/>
      <c r="V11" s="40" t="s">
        <v>314</v>
      </c>
      <c r="W11" s="40">
        <v>2</v>
      </c>
      <c r="X11" s="40" t="s">
        <v>516</v>
      </c>
      <c r="Y11" s="40">
        <v>1</v>
      </c>
    </row>
    <row r="12" spans="1:29" ht="16.5" customHeight="1">
      <c r="A12" s="36">
        <v>2</v>
      </c>
      <c r="B12" s="19"/>
      <c r="C12" s="19"/>
      <c r="D12" s="19"/>
      <c r="E12" s="19"/>
      <c r="F12" s="19" t="s">
        <v>941</v>
      </c>
      <c r="G12" s="19" t="s">
        <v>940</v>
      </c>
      <c r="H12" s="19"/>
      <c r="I12" s="19"/>
      <c r="J12" s="19"/>
      <c r="K12" s="19"/>
      <c r="L12" s="19"/>
      <c r="M12" s="19" t="s">
        <v>939</v>
      </c>
      <c r="N12" s="19" t="s">
        <v>153</v>
      </c>
      <c r="O12" s="19"/>
      <c r="P12" s="19"/>
      <c r="Q12" s="19"/>
      <c r="R12" s="19"/>
      <c r="T12" s="41"/>
      <c r="X12" s="40" t="s">
        <v>864</v>
      </c>
      <c r="Y12" s="40">
        <v>2</v>
      </c>
    </row>
    <row r="13" spans="1:29" ht="16.5" customHeight="1">
      <c r="A13" s="36">
        <v>3</v>
      </c>
      <c r="B13" s="19"/>
      <c r="C13" s="19"/>
      <c r="D13" s="19"/>
      <c r="E13" s="19"/>
      <c r="F13" s="19" t="s">
        <v>843</v>
      </c>
      <c r="G13" s="19" t="s">
        <v>855</v>
      </c>
      <c r="H13" s="19"/>
      <c r="I13" s="19"/>
      <c r="J13" s="19"/>
      <c r="K13" s="19"/>
      <c r="L13" s="19"/>
      <c r="M13" s="19" t="s">
        <v>843</v>
      </c>
      <c r="N13" s="19" t="s">
        <v>855</v>
      </c>
      <c r="O13" s="19"/>
      <c r="P13" s="19"/>
      <c r="Q13" s="19"/>
      <c r="R13" s="19"/>
      <c r="T13" s="41"/>
    </row>
    <row r="14" spans="1:29" ht="16.5" customHeight="1">
      <c r="A14" s="36" t="s">
        <v>20</v>
      </c>
      <c r="B14" s="19" t="s">
        <v>769</v>
      </c>
      <c r="C14" s="19" t="s">
        <v>13</v>
      </c>
      <c r="D14" s="19" t="s">
        <v>13</v>
      </c>
      <c r="E14" s="19" t="s">
        <v>13</v>
      </c>
      <c r="F14" s="19" t="s">
        <v>13</v>
      </c>
      <c r="G14" s="19" t="s">
        <v>13</v>
      </c>
      <c r="H14" s="19" t="s">
        <v>774</v>
      </c>
      <c r="I14" s="19" t="s">
        <v>13</v>
      </c>
      <c r="J14" s="19" t="s">
        <v>13</v>
      </c>
      <c r="K14" s="19" t="s">
        <v>13</v>
      </c>
      <c r="L14" s="19" t="s">
        <v>13</v>
      </c>
      <c r="M14" s="19" t="s">
        <v>13</v>
      </c>
      <c r="N14" s="19" t="s">
        <v>13</v>
      </c>
      <c r="O14" s="19" t="s">
        <v>516</v>
      </c>
      <c r="P14" s="19" t="s">
        <v>13</v>
      </c>
      <c r="Q14" s="19"/>
      <c r="R14" s="19"/>
      <c r="T14" s="41"/>
    </row>
    <row r="15" spans="1:29" ht="16.5" customHeight="1">
      <c r="A15" s="36" t="s">
        <v>0</v>
      </c>
      <c r="B15" s="19" t="s">
        <v>934</v>
      </c>
      <c r="C15" s="19" t="s">
        <v>13</v>
      </c>
      <c r="D15" s="19" t="s">
        <v>13</v>
      </c>
      <c r="E15" s="19" t="s">
        <v>13</v>
      </c>
      <c r="F15" s="19" t="s">
        <v>9</v>
      </c>
      <c r="G15" s="19" t="s">
        <v>13</v>
      </c>
      <c r="H15" s="19" t="s">
        <v>356</v>
      </c>
      <c r="I15" s="19" t="s">
        <v>13</v>
      </c>
      <c r="J15" s="19" t="s">
        <v>13</v>
      </c>
      <c r="K15" s="19" t="s">
        <v>13</v>
      </c>
      <c r="L15" s="19" t="s">
        <v>13</v>
      </c>
      <c r="M15" s="19" t="s">
        <v>9</v>
      </c>
      <c r="N15" s="19" t="s">
        <v>13</v>
      </c>
      <c r="O15" s="19" t="s">
        <v>863</v>
      </c>
      <c r="P15" s="19" t="s">
        <v>13</v>
      </c>
      <c r="Q15" s="19"/>
      <c r="R15" s="19"/>
      <c r="T15" s="41"/>
      <c r="V15" s="40" t="s">
        <v>602</v>
      </c>
      <c r="W15" s="40">
        <f>SUM(W2:W14)</f>
        <v>15</v>
      </c>
      <c r="Y15" s="40">
        <f>SUM(Y2:Y14)</f>
        <v>15</v>
      </c>
    </row>
    <row r="16" spans="1:29" ht="16.5" customHeight="1">
      <c r="A16" s="36" t="s">
        <v>1</v>
      </c>
      <c r="B16" s="19"/>
      <c r="C16" s="19"/>
      <c r="D16" s="19"/>
      <c r="E16" s="19"/>
      <c r="F16" s="19"/>
      <c r="G16" s="19"/>
      <c r="H16" s="19"/>
      <c r="I16" s="19"/>
      <c r="J16" s="19"/>
      <c r="K16" s="19"/>
      <c r="L16" s="19"/>
      <c r="M16" s="19"/>
      <c r="N16" s="19"/>
      <c r="O16" s="19"/>
      <c r="P16" s="19"/>
      <c r="Q16" s="19"/>
      <c r="R16" s="19"/>
      <c r="T16" s="41"/>
    </row>
    <row r="17" spans="1:29" ht="16.5" customHeight="1">
      <c r="A17" s="36" t="s">
        <v>366</v>
      </c>
      <c r="B17" s="19"/>
      <c r="C17" s="19"/>
      <c r="D17" s="19"/>
      <c r="E17" s="19"/>
      <c r="F17" s="19"/>
      <c r="G17" s="19"/>
      <c r="H17" s="19"/>
      <c r="I17" s="19"/>
      <c r="J17" s="19"/>
      <c r="K17" s="19"/>
      <c r="L17" s="19"/>
      <c r="M17" s="19"/>
      <c r="N17" s="19"/>
      <c r="O17" s="19"/>
      <c r="P17" s="19"/>
      <c r="Q17" s="19"/>
      <c r="R17" s="19"/>
      <c r="T17" s="41"/>
    </row>
    <row r="18" spans="1:29" ht="11.25" customHeight="1">
      <c r="A18" s="42"/>
      <c r="B18" s="37"/>
      <c r="C18" s="37"/>
      <c r="D18" s="37"/>
      <c r="E18" s="37"/>
      <c r="F18" s="37"/>
      <c r="G18" s="37"/>
      <c r="H18" s="38"/>
      <c r="I18" s="38"/>
      <c r="J18" s="38"/>
      <c r="K18" s="38"/>
      <c r="L18" s="38"/>
      <c r="M18" s="38"/>
      <c r="N18" s="38"/>
      <c r="O18" s="38"/>
      <c r="P18" s="37"/>
      <c r="Q18" s="37"/>
      <c r="R18" s="39"/>
      <c r="T18" s="41"/>
      <c r="X18" s="40" t="s">
        <v>80</v>
      </c>
    </row>
    <row r="19" spans="1:29" ht="16.5" customHeight="1">
      <c r="A19" s="23" t="s">
        <v>217</v>
      </c>
      <c r="B19" s="60">
        <v>44825</v>
      </c>
      <c r="C19" s="60">
        <v>44826</v>
      </c>
      <c r="D19" s="60">
        <v>44827</v>
      </c>
      <c r="E19" s="30">
        <v>44828</v>
      </c>
      <c r="F19" s="30">
        <v>44829</v>
      </c>
      <c r="G19" s="60">
        <v>44830</v>
      </c>
      <c r="H19" s="60">
        <v>44831</v>
      </c>
      <c r="I19" s="60">
        <v>44832</v>
      </c>
      <c r="J19" s="60">
        <v>44833</v>
      </c>
      <c r="K19" s="60">
        <v>44834</v>
      </c>
      <c r="L19" s="60"/>
      <c r="M19" s="26" t="s">
        <v>218</v>
      </c>
      <c r="N19" s="31">
        <v>44835</v>
      </c>
      <c r="O19" s="31">
        <v>44836</v>
      </c>
      <c r="P19" s="27">
        <v>44837</v>
      </c>
      <c r="Q19" s="27">
        <v>44838</v>
      </c>
      <c r="R19" s="27">
        <v>44839</v>
      </c>
      <c r="T19" s="41"/>
      <c r="V19" s="40" t="s">
        <v>63</v>
      </c>
      <c r="X19" s="40" t="s">
        <v>64</v>
      </c>
      <c r="Z19" s="40" t="s">
        <v>169</v>
      </c>
      <c r="AB19" s="40" t="s">
        <v>874</v>
      </c>
    </row>
    <row r="20" spans="1:29" ht="16.5" customHeight="1">
      <c r="A20" s="36">
        <v>1</v>
      </c>
      <c r="B20" s="19"/>
      <c r="C20" s="19"/>
      <c r="D20" s="19"/>
      <c r="E20" s="19" t="s">
        <v>938</v>
      </c>
      <c r="F20" s="19" t="s">
        <v>2</v>
      </c>
      <c r="G20" s="19"/>
      <c r="H20" s="19"/>
      <c r="I20" s="19"/>
      <c r="J20" s="19"/>
      <c r="K20" s="19"/>
      <c r="L20" s="19"/>
      <c r="M20" s="28">
        <v>1</v>
      </c>
      <c r="N20" s="19" t="s">
        <v>918</v>
      </c>
      <c r="O20" s="19" t="s">
        <v>315</v>
      </c>
      <c r="P20" s="19"/>
      <c r="Q20" s="19"/>
      <c r="R20" s="19"/>
      <c r="T20" s="41"/>
      <c r="V20" s="40" t="s">
        <v>25</v>
      </c>
      <c r="W20" s="40">
        <f>COUNTIF($B$3:$R$4,"=楮本")+COUNTIF($B$11:$R$12,"=楮本")+COUNTIF($B$20:$R$21,"=楮本")+COUNTIF($B$28:$R$29,"=楮本")</f>
        <v>2</v>
      </c>
      <c r="X20" s="40" t="s">
        <v>45</v>
      </c>
      <c r="Y20" s="40">
        <f>COUNTIF($B$3:$R$4,"=斎藤")+COUNTIF($B$11:$R$12,"=斎藤")+COUNTIF($B$20:$R$21,"=斎藤")+COUNTIF($B$28:$R$29,"=斎藤")</f>
        <v>2</v>
      </c>
      <c r="Z20" s="40" t="s">
        <v>153</v>
      </c>
      <c r="AA20" s="40" t="s">
        <v>846</v>
      </c>
      <c r="AB20" s="40" t="s">
        <v>37</v>
      </c>
      <c r="AC20" s="40">
        <v>3</v>
      </c>
    </row>
    <row r="21" spans="1:29" ht="16.5" customHeight="1">
      <c r="A21" s="36">
        <v>2</v>
      </c>
      <c r="B21" s="19"/>
      <c r="C21" s="19"/>
      <c r="D21" s="19"/>
      <c r="E21" s="40" t="s">
        <v>28</v>
      </c>
      <c r="F21" s="19" t="s">
        <v>942</v>
      </c>
      <c r="G21" s="19"/>
      <c r="H21" s="19"/>
      <c r="I21" s="19"/>
      <c r="J21" s="19"/>
      <c r="K21" s="19"/>
      <c r="L21" s="61"/>
      <c r="M21" s="28">
        <v>2</v>
      </c>
      <c r="N21" s="19" t="s">
        <v>935</v>
      </c>
      <c r="O21" s="19" t="s">
        <v>936</v>
      </c>
      <c r="P21" s="19"/>
      <c r="Q21" s="19"/>
      <c r="R21" s="19"/>
      <c r="T21" s="41"/>
      <c r="V21" s="40" t="s">
        <v>2</v>
      </c>
      <c r="W21" s="40">
        <f>COUNTIF($B$3:$R$4,"=髙田")+COUNTIF($B$11:$R$12,"=髙田")+COUNTIF($B$20:$R$21,"=髙田")+COUNTIF($B$28:$R$29,"=髙田")</f>
        <v>3</v>
      </c>
      <c r="X21" s="40" t="s">
        <v>14</v>
      </c>
      <c r="Y21" s="40">
        <f>COUNTIF($B$3:$R$4,"=勅使河原")+COUNTIF($B$11:$R$12,"=勅使河原")+COUNTIF($B$20:$R$21,"=勅使河原")+COUNTIF($B$28:$R$29,"=勅使河原")</f>
        <v>2</v>
      </c>
      <c r="Z21" s="40" t="s">
        <v>26</v>
      </c>
      <c r="AA21" s="40">
        <v>8</v>
      </c>
      <c r="AB21" s="40" t="s">
        <v>863</v>
      </c>
      <c r="AC21" s="40">
        <v>5</v>
      </c>
    </row>
    <row r="22" spans="1:29" ht="16.5" customHeight="1">
      <c r="A22" s="36">
        <v>3</v>
      </c>
      <c r="B22" s="19"/>
      <c r="C22" s="19"/>
      <c r="D22" s="19"/>
      <c r="E22" s="19" t="s">
        <v>843</v>
      </c>
      <c r="F22" s="19" t="s">
        <v>855</v>
      </c>
      <c r="G22" s="19"/>
      <c r="H22" s="19"/>
      <c r="I22" s="19"/>
      <c r="J22" s="19"/>
      <c r="K22" s="19"/>
      <c r="L22" s="19"/>
      <c r="M22" s="28">
        <v>3</v>
      </c>
      <c r="N22" s="19" t="s">
        <v>843</v>
      </c>
      <c r="O22" s="19" t="s">
        <v>843</v>
      </c>
      <c r="P22" s="19"/>
      <c r="Q22" s="19"/>
      <c r="R22" s="19"/>
      <c r="T22" s="41"/>
      <c r="V22" s="40" t="s">
        <v>516</v>
      </c>
      <c r="W22" s="40">
        <f>COUNTIF($B$3:$R$3,"=矢野")+COUNTIF($B$11:$R$11,"=矢野")+COUNTIF($B$20:$R$20,"=矢野")+COUNTIF($B$28:$R$28,"=矢野")</f>
        <v>1</v>
      </c>
      <c r="X22" s="40" t="s">
        <v>6</v>
      </c>
      <c r="Y22" s="40">
        <f>COUNTIF($B$3:$R$4,"=小林")+COUNTIF($B$11:$R$12,"=小林")+COUNTIF($B$20:$R$21,"=小林")+COUNTIF($B$28:$R$29,"=小林")</f>
        <v>2</v>
      </c>
      <c r="Z22" s="40" t="s">
        <v>6</v>
      </c>
      <c r="AA22" s="40">
        <v>6</v>
      </c>
      <c r="AC22" s="40" t="s">
        <v>930</v>
      </c>
    </row>
    <row r="23" spans="1:29" ht="16.5" customHeight="1">
      <c r="A23" s="36" t="s">
        <v>20</v>
      </c>
      <c r="B23" s="19" t="s">
        <v>516</v>
      </c>
      <c r="C23" s="19" t="s">
        <v>13</v>
      </c>
      <c r="D23" s="19" t="s">
        <v>13</v>
      </c>
      <c r="E23" s="19" t="s">
        <v>13</v>
      </c>
      <c r="F23" s="19" t="s">
        <v>13</v>
      </c>
      <c r="G23" s="19" t="s">
        <v>6</v>
      </c>
      <c r="H23" s="19" t="s">
        <v>13</v>
      </c>
      <c r="I23" s="19" t="s">
        <v>13</v>
      </c>
      <c r="J23" s="19" t="s">
        <v>13</v>
      </c>
      <c r="K23" s="19" t="s">
        <v>13</v>
      </c>
      <c r="L23" s="19"/>
      <c r="M23" s="28" t="s">
        <v>20</v>
      </c>
      <c r="N23" s="19" t="s">
        <v>6</v>
      </c>
      <c r="O23" s="19" t="s">
        <v>13</v>
      </c>
      <c r="P23" s="19" t="s">
        <v>25</v>
      </c>
      <c r="Q23" s="19" t="s">
        <v>13</v>
      </c>
      <c r="R23" s="19" t="s">
        <v>13</v>
      </c>
      <c r="T23" s="41"/>
      <c r="V23" s="40" t="s">
        <v>7</v>
      </c>
      <c r="W23" s="40">
        <f>COUNTIF($B$3:$R$4,"=今井")+COUNTIF($B$11:$R$12,"=今井")+COUNTIF($B$20:$R$21,"=今井")+COUNTIF($B$28:$R$29,"=今井")</f>
        <v>2</v>
      </c>
      <c r="X23" s="40" t="s">
        <v>23</v>
      </c>
      <c r="Y23" s="40">
        <f>COUNTIF($B$3:$R$4,"=高橋剛")+COUNTIF($B$11:$R$12,"=高橋剛")+COUNTIF($B$20:$R$21,"=高橋剛")+COUNTIF($B$28:$R$29,"=高橋剛")</f>
        <v>2</v>
      </c>
      <c r="Z23" s="40" t="s">
        <v>23</v>
      </c>
      <c r="AA23" s="40">
        <v>3</v>
      </c>
      <c r="AB23" s="40" t="s">
        <v>875</v>
      </c>
      <c r="AC23" s="40">
        <v>7</v>
      </c>
    </row>
    <row r="24" spans="1:29" ht="16.5" customHeight="1">
      <c r="A24" s="36" t="s">
        <v>0</v>
      </c>
      <c r="B24" s="19" t="s">
        <v>863</v>
      </c>
      <c r="C24" s="19" t="s">
        <v>13</v>
      </c>
      <c r="D24" s="19" t="s">
        <v>13</v>
      </c>
      <c r="E24" s="19" t="s">
        <v>9</v>
      </c>
      <c r="F24" s="19" t="s">
        <v>13</v>
      </c>
      <c r="G24" s="19" t="s">
        <v>356</v>
      </c>
      <c r="H24" s="19" t="s">
        <v>13</v>
      </c>
      <c r="I24" s="19" t="s">
        <v>13</v>
      </c>
      <c r="J24" s="19" t="s">
        <v>13</v>
      </c>
      <c r="K24" s="19" t="s">
        <v>13</v>
      </c>
      <c r="L24" s="19"/>
      <c r="M24" s="28" t="s">
        <v>0</v>
      </c>
      <c r="N24" s="19" t="s">
        <v>9</v>
      </c>
      <c r="O24" s="19" t="s">
        <v>13</v>
      </c>
      <c r="P24" s="19" t="s">
        <v>875</v>
      </c>
      <c r="Q24" s="19" t="s">
        <v>13</v>
      </c>
      <c r="R24" s="19" t="s">
        <v>13</v>
      </c>
      <c r="T24" s="41"/>
      <c r="V24" s="40" t="s">
        <v>21</v>
      </c>
      <c r="W24" s="40">
        <f>COUNTIF($B$3:$R$4,"=高橋良")+COUNTIF($B$11:$R$12,"=高橋良")+COUNTIF($B$20:$R$21,"=高橋良")+COUNTIF($B$28:$R$29,"=高橋良")</f>
        <v>2</v>
      </c>
      <c r="X24" s="40" t="s">
        <v>153</v>
      </c>
      <c r="Y24" s="40">
        <f>COUNTIF($B$3:$R$4,"=木村")+COUNTIF($B$11:$R$12,"=木村")+COUNTIF($B$20:$R$21,"=木村")+COUNTIF($B$28:$R$29,"=木村")</f>
        <v>2</v>
      </c>
      <c r="Z24" s="40" t="s">
        <v>25</v>
      </c>
      <c r="AA24" s="40" t="s">
        <v>844</v>
      </c>
      <c r="AB24" s="40" t="s">
        <v>356</v>
      </c>
      <c r="AC24" s="40" t="s">
        <v>931</v>
      </c>
    </row>
    <row r="25" spans="1:29" ht="16.5" customHeight="1">
      <c r="A25" s="36" t="s">
        <v>1</v>
      </c>
      <c r="B25" s="19"/>
      <c r="C25" s="19"/>
      <c r="D25" s="19"/>
      <c r="E25" s="19"/>
      <c r="F25" s="19"/>
      <c r="G25" s="19"/>
      <c r="H25" s="19"/>
      <c r="I25" s="19"/>
      <c r="J25" s="19"/>
      <c r="K25" s="19"/>
      <c r="L25" s="19"/>
      <c r="M25" s="28" t="s">
        <v>1</v>
      </c>
      <c r="N25" s="19"/>
      <c r="O25" s="19"/>
      <c r="P25" s="19"/>
      <c r="Q25" s="19"/>
      <c r="R25" s="19"/>
      <c r="T25" s="41"/>
      <c r="V25" s="40" t="s">
        <v>26</v>
      </c>
      <c r="W25" s="40">
        <f>COUNTIF($B$3:$R$4,"=高橋拓")+COUNTIF($B$11:$R$12,"=高橋拓")+COUNTIF($B$20:$R$21,"=高橋拓")+COUNTIF($B$28:$R$29,"=高橋拓")</f>
        <v>2</v>
      </c>
      <c r="X25" s="40" t="s">
        <v>327</v>
      </c>
      <c r="Y25" s="40">
        <f>COUNTIF($B$3:$R$4,"=新井洋")+COUNTIF($B$11:$R$12,"=新井洋")+COUNTIF($B$20:$R$21,"=新井洋")+COUNTIF($B$28:$R$29,"=新井洋")</f>
        <v>1</v>
      </c>
      <c r="Z25" s="40" t="s">
        <v>327</v>
      </c>
      <c r="AA25" s="40">
        <v>4</v>
      </c>
    </row>
    <row r="26" spans="1:29" ht="16.5" customHeight="1">
      <c r="A26" s="36" t="s">
        <v>366</v>
      </c>
      <c r="B26" s="19"/>
      <c r="C26" s="19"/>
      <c r="D26" s="19"/>
      <c r="E26" s="19"/>
      <c r="F26" s="19"/>
      <c r="G26" s="19"/>
      <c r="H26" s="19"/>
      <c r="I26" s="19"/>
      <c r="J26" s="19"/>
      <c r="K26" s="19"/>
      <c r="L26" s="19"/>
      <c r="M26" s="28" t="s">
        <v>366</v>
      </c>
      <c r="N26" s="19"/>
      <c r="O26" s="19"/>
      <c r="P26" s="19"/>
      <c r="Q26" s="19"/>
      <c r="R26" s="19"/>
      <c r="T26" s="41"/>
      <c r="V26" s="40" t="s">
        <v>27</v>
      </c>
      <c r="W26" s="40">
        <f>COUNTIF($B$3:$R$4,"=新井翔")+COUNTIF($B$11:$R$12,"=新井翔")+COUNTIF($B$20:$R$21,"=新井翔")+COUNTIF($B$28:$R$29,"=新井翔")</f>
        <v>2</v>
      </c>
      <c r="X26" s="40" t="s">
        <v>28</v>
      </c>
      <c r="Y26" s="40">
        <f>COUNTIF($B$3:$R$4,"=加藤誠")+COUNTIF($B$11:$R$12,"=加藤誠")+COUNTIF($B$20:$R$21,"=加藤誠")+COUNTIF($B$28:$R$29,"=加藤誠")</f>
        <v>2</v>
      </c>
      <c r="Z26" s="40" t="s">
        <v>516</v>
      </c>
      <c r="AA26" s="40">
        <v>5</v>
      </c>
    </row>
    <row r="27" spans="1:29" ht="16.5" customHeight="1">
      <c r="A27" s="26" t="s">
        <v>218</v>
      </c>
      <c r="B27" s="27">
        <v>44840</v>
      </c>
      <c r="C27" s="27">
        <v>44841</v>
      </c>
      <c r="D27" s="31">
        <v>44842</v>
      </c>
      <c r="E27" s="31">
        <v>44843</v>
      </c>
      <c r="F27" s="27">
        <v>44844</v>
      </c>
      <c r="G27" s="27">
        <v>44845</v>
      </c>
      <c r="H27" s="27">
        <v>44846</v>
      </c>
      <c r="I27" s="27">
        <v>44847</v>
      </c>
      <c r="J27" s="27">
        <v>44848</v>
      </c>
      <c r="K27" s="31">
        <v>44849</v>
      </c>
      <c r="L27" s="31">
        <v>44850</v>
      </c>
      <c r="M27" s="27">
        <v>44851</v>
      </c>
      <c r="N27" s="27">
        <v>44852</v>
      </c>
      <c r="O27" s="27">
        <v>44853</v>
      </c>
      <c r="P27" s="27">
        <v>44854</v>
      </c>
      <c r="Q27" s="19"/>
      <c r="R27" s="19"/>
      <c r="T27" s="41"/>
      <c r="V27" s="40" t="s">
        <v>533</v>
      </c>
      <c r="W27" s="40">
        <f>COUNTIF($B$3:$R$4,"=浅賀")+COUNTIF($B$11:$R$12,"=浅賀")+COUNTIF($B$20:$R$21,"=浅賀")+COUNTIF($B$28:$R$29,"=浅賀")</f>
        <v>2</v>
      </c>
      <c r="X27" s="40" t="s">
        <v>152</v>
      </c>
      <c r="Y27" s="40">
        <f>COUNTIF($B$4:$R$4,"=加藤貴")+COUNTIF($B$12:$R$12,"=加藤貴")+COUNTIF($B$21:$R$21,"=加藤貴")+COUNTIF($B$29:$R$29,"=加藤貴")</f>
        <v>1</v>
      </c>
    </row>
    <row r="28" spans="1:29" ht="16.5" customHeight="1">
      <c r="A28" s="28">
        <v>1</v>
      </c>
      <c r="B28" s="19"/>
      <c r="C28" s="19"/>
      <c r="D28" s="19" t="s">
        <v>814</v>
      </c>
      <c r="E28" s="19" t="s">
        <v>7</v>
      </c>
      <c r="F28" s="19"/>
      <c r="G28" s="19"/>
      <c r="H28" s="19"/>
      <c r="I28" s="19"/>
      <c r="J28" s="19"/>
      <c r="K28" s="19" t="s">
        <v>107</v>
      </c>
      <c r="L28" s="19" t="s">
        <v>920</v>
      </c>
      <c r="M28" s="19"/>
      <c r="N28" s="19"/>
      <c r="O28" s="19"/>
      <c r="P28" s="19"/>
      <c r="Q28" s="19"/>
      <c r="R28" s="19"/>
      <c r="T28" s="41"/>
      <c r="V28" s="40" t="s">
        <v>314</v>
      </c>
      <c r="W28" s="40">
        <f>COUNTIF($B$3:$R$3,"=加藤貴")+COUNTIF($B$11:$R$11,"=加藤貴")+COUNTIF($B$20:$R$20,"=加藤貴")+COUNTIF($B$28:$R$28,"=加藤貴")</f>
        <v>1</v>
      </c>
      <c r="X28" s="40" t="s">
        <v>516</v>
      </c>
      <c r="Y28" s="40">
        <f>COUNTIF($B$4:$R$4,"=矢野")+COUNTIF($B$12:$R$12,"=矢野")+COUNTIF($B$21:$R$21,"=矢野")+COUNTIF($B$29:$R$29,"=矢野")</f>
        <v>1</v>
      </c>
    </row>
    <row r="29" spans="1:29" ht="16.5" customHeight="1">
      <c r="A29" s="28">
        <v>2</v>
      </c>
      <c r="B29" s="19"/>
      <c r="C29" s="19"/>
      <c r="D29" s="19" t="s">
        <v>153</v>
      </c>
      <c r="E29" s="19" t="s">
        <v>941</v>
      </c>
      <c r="F29" s="19"/>
      <c r="G29" s="19"/>
      <c r="H29" s="19"/>
      <c r="I29" s="19"/>
      <c r="J29" s="19"/>
      <c r="K29" s="19" t="s">
        <v>942</v>
      </c>
      <c r="L29" s="19" t="s">
        <v>929</v>
      </c>
      <c r="M29" s="19"/>
      <c r="N29" s="19"/>
      <c r="O29" s="19"/>
      <c r="P29" s="19"/>
      <c r="Q29" s="19"/>
      <c r="R29" s="19"/>
      <c r="T29" s="41"/>
      <c r="X29" s="40" t="s">
        <v>864</v>
      </c>
      <c r="Y29" s="40">
        <f>COUNTIF($B$3:$R$4,"=丸岡")+COUNTIF($B$11:$R$12,"=丸岡")+COUNTIF($B$20:$R$21,"=丸岡")+COUNTIF($B$28:$R$29,"=丸岡")</f>
        <v>2</v>
      </c>
    </row>
    <row r="30" spans="1:29" ht="16.5" customHeight="1">
      <c r="A30" s="28">
        <v>3</v>
      </c>
      <c r="B30" s="19"/>
      <c r="C30" s="19"/>
      <c r="D30" s="19" t="s">
        <v>843</v>
      </c>
      <c r="E30" s="19" t="s">
        <v>843</v>
      </c>
      <c r="F30" s="19"/>
      <c r="G30" s="19"/>
      <c r="H30" s="19"/>
      <c r="I30" s="19"/>
      <c r="J30" s="19"/>
      <c r="K30" s="19" t="s">
        <v>843</v>
      </c>
      <c r="L30" s="19" t="s">
        <v>855</v>
      </c>
      <c r="M30" s="19"/>
      <c r="N30" s="19"/>
      <c r="O30" s="19"/>
      <c r="P30" s="19"/>
      <c r="Q30" s="19"/>
      <c r="R30" s="19"/>
      <c r="T30" s="41"/>
    </row>
    <row r="31" spans="1:29" ht="16.5" customHeight="1">
      <c r="A31" s="28" t="s">
        <v>20</v>
      </c>
      <c r="B31" s="19" t="s">
        <v>25</v>
      </c>
      <c r="C31" s="19" t="s">
        <v>13</v>
      </c>
      <c r="D31" s="19" t="s">
        <v>13</v>
      </c>
      <c r="E31" s="19" t="s">
        <v>13</v>
      </c>
      <c r="F31" s="19" t="s">
        <v>312</v>
      </c>
      <c r="G31" s="19" t="s">
        <v>13</v>
      </c>
      <c r="H31" s="19" t="s">
        <v>13</v>
      </c>
      <c r="I31" s="19" t="s">
        <v>13</v>
      </c>
      <c r="J31" s="19" t="s">
        <v>13</v>
      </c>
      <c r="K31" s="19" t="s">
        <v>13</v>
      </c>
      <c r="L31" s="19" t="s">
        <v>13</v>
      </c>
      <c r="M31" s="19" t="s">
        <v>153</v>
      </c>
      <c r="N31" s="19" t="s">
        <v>13</v>
      </c>
      <c r="O31" s="19" t="s">
        <v>13</v>
      </c>
      <c r="P31" s="19" t="s">
        <v>13</v>
      </c>
      <c r="Q31" s="19"/>
      <c r="R31" s="19"/>
      <c r="T31" s="41"/>
    </row>
    <row r="32" spans="1:29" ht="16.5" customHeight="1">
      <c r="A32" s="28" t="s">
        <v>0</v>
      </c>
      <c r="B32" s="19" t="s">
        <v>875</v>
      </c>
      <c r="C32" s="19" t="s">
        <v>13</v>
      </c>
      <c r="D32" s="19" t="s">
        <v>9</v>
      </c>
      <c r="E32" s="19" t="s">
        <v>13</v>
      </c>
      <c r="F32" s="19" t="s">
        <v>356</v>
      </c>
      <c r="G32" s="19" t="s">
        <v>13</v>
      </c>
      <c r="H32" s="19" t="s">
        <v>13</v>
      </c>
      <c r="I32" s="19" t="s">
        <v>13</v>
      </c>
      <c r="J32" s="19" t="s">
        <v>13</v>
      </c>
      <c r="K32" s="19" t="s">
        <v>9</v>
      </c>
      <c r="L32" s="19" t="s">
        <v>13</v>
      </c>
      <c r="M32" s="19" t="s">
        <v>864</v>
      </c>
      <c r="N32" s="19" t="s">
        <v>13</v>
      </c>
      <c r="O32" s="19" t="s">
        <v>13</v>
      </c>
      <c r="P32" s="19" t="s">
        <v>13</v>
      </c>
      <c r="Q32" s="19"/>
      <c r="R32" s="19"/>
      <c r="T32" s="41"/>
      <c r="V32" s="40" t="s">
        <v>780</v>
      </c>
      <c r="W32" s="40">
        <f>SUM(W19:W31)</f>
        <v>17</v>
      </c>
      <c r="Y32" s="40">
        <f>SUM(Y19:Y31)</f>
        <v>17</v>
      </c>
    </row>
    <row r="33" spans="1:20" ht="16.5" customHeight="1">
      <c r="A33" s="28" t="s">
        <v>1</v>
      </c>
      <c r="B33" s="19"/>
      <c r="C33" s="19"/>
      <c r="D33" s="19"/>
      <c r="E33" s="19"/>
      <c r="F33" s="19"/>
      <c r="G33" s="19"/>
      <c r="H33" s="19"/>
      <c r="I33" s="19"/>
      <c r="J33" s="19"/>
      <c r="K33" s="19"/>
      <c r="L33" s="19"/>
      <c r="M33" s="19"/>
      <c r="N33" s="19"/>
      <c r="O33" s="19"/>
      <c r="P33" s="19"/>
      <c r="Q33" s="19"/>
      <c r="R33" s="19"/>
    </row>
    <row r="34" spans="1:20" ht="16.5" customHeight="1">
      <c r="A34" s="28" t="s">
        <v>366</v>
      </c>
      <c r="B34" s="19"/>
      <c r="C34" s="19"/>
      <c r="D34" s="19"/>
      <c r="E34" s="19"/>
      <c r="F34" s="19"/>
      <c r="G34" s="19"/>
      <c r="H34" s="19"/>
      <c r="I34" s="19"/>
      <c r="J34" s="19"/>
      <c r="K34" s="19"/>
      <c r="L34" s="19"/>
      <c r="M34" s="19"/>
      <c r="N34" s="19"/>
      <c r="O34" s="19"/>
      <c r="P34" s="19"/>
      <c r="Q34" s="19"/>
      <c r="R34" s="19"/>
    </row>
    <row r="35" spans="1:20" ht="12.75" customHeight="1">
      <c r="Q35" s="145" t="s">
        <v>82</v>
      </c>
      <c r="R35" s="145"/>
      <c r="T35" s="41"/>
    </row>
    <row r="36" spans="1:20">
      <c r="A36" s="40" t="s">
        <v>322</v>
      </c>
      <c r="B36" s="49"/>
      <c r="C36" s="49"/>
      <c r="D36" s="49"/>
      <c r="E36" s="49"/>
      <c r="F36" s="49"/>
      <c r="G36" s="49"/>
      <c r="H36" s="55"/>
      <c r="I36" s="49"/>
      <c r="J36" s="49"/>
      <c r="K36" s="49"/>
      <c r="L36" s="49"/>
      <c r="M36" s="49"/>
      <c r="N36" s="49"/>
      <c r="O36" s="49"/>
      <c r="T36" s="41"/>
    </row>
    <row r="37" spans="1:20">
      <c r="A37" s="43" t="s">
        <v>901</v>
      </c>
      <c r="B37" s="55" t="s">
        <v>922</v>
      </c>
      <c r="C37" s="55"/>
      <c r="D37" s="55"/>
      <c r="E37" s="55"/>
      <c r="F37" s="55" t="s">
        <v>928</v>
      </c>
      <c r="G37" s="55"/>
      <c r="H37" s="55"/>
      <c r="I37" s="55"/>
      <c r="J37" s="55"/>
      <c r="K37" s="55"/>
      <c r="L37" s="55"/>
      <c r="M37" s="55"/>
      <c r="N37" s="55"/>
      <c r="O37" s="55"/>
      <c r="P37" s="43"/>
      <c r="Q37" s="43"/>
      <c r="R37" s="43"/>
      <c r="T37" s="41"/>
    </row>
    <row r="38" spans="1:20">
      <c r="A38" s="43" t="s">
        <v>918</v>
      </c>
      <c r="B38" s="55" t="s">
        <v>923</v>
      </c>
      <c r="C38" s="55"/>
      <c r="D38" s="55"/>
      <c r="E38" s="55"/>
      <c r="F38" s="55" t="s">
        <v>928</v>
      </c>
      <c r="G38" s="55"/>
      <c r="H38" s="55"/>
      <c r="I38" s="55"/>
      <c r="J38" s="55"/>
      <c r="K38" s="55"/>
      <c r="L38" s="55"/>
      <c r="M38" s="55"/>
      <c r="N38" s="55"/>
      <c r="O38" s="55"/>
      <c r="P38" s="43"/>
      <c r="Q38" s="43"/>
      <c r="R38" s="43"/>
      <c r="T38" s="41"/>
    </row>
    <row r="39" spans="1:20">
      <c r="A39" s="43" t="s">
        <v>919</v>
      </c>
      <c r="B39" s="55" t="s">
        <v>924</v>
      </c>
      <c r="C39" s="55"/>
      <c r="D39" s="55"/>
      <c r="E39" s="55"/>
      <c r="F39" s="55" t="s">
        <v>928</v>
      </c>
      <c r="G39" s="55"/>
      <c r="H39" s="55"/>
      <c r="I39" s="55"/>
      <c r="J39" s="55"/>
      <c r="K39" s="55"/>
      <c r="L39" s="55"/>
      <c r="M39" s="55"/>
      <c r="N39" s="55"/>
      <c r="O39" s="55"/>
      <c r="P39" s="43"/>
      <c r="Q39" s="43"/>
      <c r="R39" s="43"/>
      <c r="T39" s="41"/>
    </row>
    <row r="40" spans="1:20">
      <c r="A40" s="43" t="s">
        <v>920</v>
      </c>
      <c r="B40" s="55" t="s">
        <v>925</v>
      </c>
      <c r="C40" s="55"/>
      <c r="D40" s="55"/>
      <c r="E40" s="55"/>
      <c r="F40" s="55" t="s">
        <v>928</v>
      </c>
      <c r="G40" s="55"/>
      <c r="H40" s="55"/>
      <c r="I40" s="55"/>
      <c r="J40" s="55"/>
      <c r="K40" s="55"/>
      <c r="L40" s="55"/>
      <c r="M40" s="55"/>
      <c r="N40" s="55"/>
      <c r="O40" s="55"/>
      <c r="P40" s="43"/>
      <c r="Q40" s="43"/>
      <c r="R40" s="43"/>
    </row>
    <row r="41" spans="1:20">
      <c r="A41" s="43" t="s">
        <v>921</v>
      </c>
      <c r="B41" s="55" t="s">
        <v>927</v>
      </c>
      <c r="C41" s="55"/>
      <c r="D41" s="55"/>
      <c r="E41" s="55"/>
      <c r="F41" s="55" t="s">
        <v>928</v>
      </c>
      <c r="G41" s="55"/>
      <c r="H41" s="55"/>
      <c r="I41" s="55"/>
      <c r="J41" s="55"/>
      <c r="K41" s="55"/>
      <c r="L41" s="55"/>
      <c r="M41" s="55"/>
      <c r="N41" s="55"/>
      <c r="O41" s="55"/>
      <c r="P41" s="43"/>
      <c r="Q41" s="43"/>
      <c r="R41" s="43"/>
    </row>
    <row r="42" spans="1:20">
      <c r="A42" s="43" t="s">
        <v>107</v>
      </c>
      <c r="B42" s="55" t="s">
        <v>926</v>
      </c>
      <c r="C42" s="55"/>
      <c r="D42" s="55"/>
      <c r="E42" s="55"/>
      <c r="F42" s="55" t="s">
        <v>928</v>
      </c>
      <c r="G42" s="55"/>
      <c r="H42" s="59"/>
      <c r="I42" s="55"/>
      <c r="J42" s="55"/>
      <c r="K42" s="55"/>
      <c r="L42" s="55"/>
      <c r="M42" s="55"/>
      <c r="N42" s="55"/>
      <c r="O42" s="55"/>
      <c r="P42" s="43"/>
      <c r="Q42" s="43"/>
      <c r="R42" s="43"/>
      <c r="T42" s="41"/>
    </row>
    <row r="43" spans="1:20">
      <c r="A43" s="43" t="s">
        <v>932</v>
      </c>
      <c r="B43" s="55" t="s">
        <v>933</v>
      </c>
      <c r="C43" s="55"/>
      <c r="D43" s="55"/>
      <c r="E43" s="55"/>
      <c r="F43" s="55" t="s">
        <v>928</v>
      </c>
      <c r="G43" s="55"/>
      <c r="H43" s="55"/>
      <c r="I43" s="55"/>
      <c r="J43" s="55"/>
      <c r="K43" s="55"/>
      <c r="L43" s="55"/>
      <c r="M43" s="55"/>
      <c r="N43" s="55"/>
      <c r="O43" s="55"/>
      <c r="P43" s="43"/>
      <c r="Q43" s="43"/>
      <c r="R43" s="43"/>
      <c r="T43" s="41"/>
    </row>
    <row r="44" spans="1:20">
      <c r="A44" s="40" t="s">
        <v>893</v>
      </c>
      <c r="B44" s="55" t="s">
        <v>944</v>
      </c>
      <c r="C44" s="55"/>
      <c r="D44" s="55"/>
      <c r="E44" s="55"/>
      <c r="F44" s="55" t="s">
        <v>928</v>
      </c>
      <c r="G44" s="55"/>
      <c r="H44" s="55"/>
      <c r="I44" s="55"/>
      <c r="J44" s="55"/>
      <c r="K44" s="55"/>
      <c r="L44" s="55"/>
      <c r="M44" s="55"/>
      <c r="N44" s="55"/>
      <c r="O44" s="55"/>
      <c r="P44" s="43"/>
      <c r="Q44" s="43"/>
      <c r="R44" s="43"/>
      <c r="T44" s="41"/>
    </row>
    <row r="45" spans="1:20">
      <c r="A45" s="43" t="s">
        <v>891</v>
      </c>
      <c r="B45" s="62" t="s">
        <v>943</v>
      </c>
      <c r="C45" s="43"/>
      <c r="D45" s="43"/>
      <c r="E45" s="43"/>
      <c r="F45" s="55" t="s">
        <v>928</v>
      </c>
      <c r="G45" s="43"/>
      <c r="H45" s="43"/>
      <c r="I45" s="43"/>
      <c r="J45" s="43"/>
      <c r="K45" s="43"/>
      <c r="L45" s="43"/>
      <c r="M45" s="43"/>
      <c r="N45" s="43"/>
      <c r="O45" s="43"/>
      <c r="P45" s="43"/>
      <c r="Q45" s="43"/>
      <c r="R45" s="43"/>
    </row>
    <row r="46" spans="1:20">
      <c r="A46" s="43"/>
      <c r="B46" s="55"/>
      <c r="C46" s="43"/>
      <c r="D46" s="43"/>
      <c r="E46" s="43"/>
      <c r="F46" s="43"/>
      <c r="G46" s="43"/>
      <c r="H46" s="43"/>
      <c r="I46" s="43"/>
      <c r="J46" s="43"/>
      <c r="K46" s="43"/>
      <c r="L46" s="43"/>
      <c r="M46" s="43"/>
      <c r="N46" s="43"/>
      <c r="O46" s="43"/>
      <c r="P46" s="43"/>
      <c r="Q46" s="43"/>
      <c r="R46" s="43"/>
      <c r="T46" s="41"/>
    </row>
    <row r="47" spans="1:20">
      <c r="A47" s="43"/>
      <c r="B47" s="43"/>
      <c r="C47" s="43"/>
      <c r="D47" s="43"/>
      <c r="E47" s="43"/>
      <c r="F47" s="43"/>
      <c r="G47" s="43"/>
      <c r="H47" s="43"/>
      <c r="I47" s="43"/>
      <c r="J47" s="43"/>
      <c r="K47" s="43"/>
      <c r="L47" s="43"/>
      <c r="M47" s="43"/>
      <c r="N47" s="43"/>
      <c r="O47" s="43"/>
      <c r="P47" s="43"/>
      <c r="Q47" s="43"/>
      <c r="R47" s="43"/>
      <c r="T47" s="41"/>
    </row>
    <row r="48" spans="1:20">
      <c r="A48" s="43"/>
      <c r="B48" s="43"/>
      <c r="C48" s="43"/>
      <c r="D48" s="43"/>
      <c r="E48" s="43"/>
      <c r="F48" s="43"/>
      <c r="G48" s="43"/>
      <c r="H48" s="43"/>
      <c r="I48" s="43"/>
      <c r="J48" s="43"/>
      <c r="K48" s="43"/>
      <c r="L48" s="43"/>
      <c r="M48" s="43"/>
      <c r="N48" s="43"/>
      <c r="O48" s="43"/>
      <c r="P48" s="43"/>
      <c r="Q48" s="43"/>
      <c r="R48" s="43"/>
      <c r="T48" s="41"/>
    </row>
    <row r="49" spans="1:18">
      <c r="A49" s="43"/>
      <c r="B49" s="43"/>
      <c r="C49" s="43"/>
      <c r="D49" s="43"/>
      <c r="E49" s="43"/>
      <c r="F49" s="43"/>
      <c r="G49" s="43"/>
      <c r="H49" s="43"/>
      <c r="I49" s="43"/>
      <c r="J49" s="43"/>
      <c r="K49" s="43"/>
      <c r="L49" s="43"/>
      <c r="M49" s="43"/>
      <c r="N49" s="43"/>
      <c r="O49" s="43"/>
      <c r="P49" s="43"/>
      <c r="Q49" s="43"/>
      <c r="R49" s="43"/>
    </row>
    <row r="50" spans="1:18">
      <c r="A50" s="43"/>
      <c r="B50" s="43"/>
      <c r="C50" s="43"/>
      <c r="D50" s="43"/>
      <c r="E50" s="43"/>
      <c r="F50" s="43"/>
      <c r="G50" s="43"/>
      <c r="H50" s="43"/>
      <c r="I50" s="43"/>
      <c r="J50" s="43"/>
      <c r="K50" s="43"/>
      <c r="L50" s="43"/>
      <c r="M50" s="43"/>
      <c r="N50" s="43"/>
      <c r="O50" s="43"/>
      <c r="P50" s="43"/>
      <c r="Q50" s="43"/>
      <c r="R50" s="43"/>
    </row>
    <row r="51" spans="1:18">
      <c r="A51" s="43"/>
      <c r="B51" s="43"/>
      <c r="C51" s="43"/>
      <c r="D51" s="43"/>
      <c r="E51" s="43"/>
      <c r="F51" s="43"/>
      <c r="G51" s="43"/>
      <c r="H51" s="43"/>
      <c r="I51" s="43"/>
      <c r="J51" s="43"/>
      <c r="K51" s="43"/>
      <c r="L51" s="43"/>
      <c r="M51" s="43"/>
      <c r="N51" s="43"/>
      <c r="O51" s="43"/>
      <c r="P51" s="43"/>
      <c r="Q51" s="43"/>
      <c r="R51" s="43"/>
    </row>
  </sheetData>
  <mergeCells count="2">
    <mergeCell ref="A1:R1"/>
    <mergeCell ref="Q35:R35"/>
  </mergeCells>
  <phoneticPr fontId="2"/>
  <pageMargins left="0.70866141732283472" right="0.70866141732283472" top="0" bottom="0" header="0.31496062992125984" footer="0.31496062992125984"/>
  <pageSetup paperSize="9" orientation="landscape" r:id="rId1"/>
  <drawing r:id="rId2"/>
  <legacyDrawing r:id="rId3"/>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1A49F-2B97-4E5A-B971-FF50544F38B0}">
  <dimension ref="A1:AC51"/>
  <sheetViews>
    <sheetView zoomScaleNormal="100" workbookViewId="0">
      <selection activeCell="K22" sqref="K22"/>
    </sheetView>
  </sheetViews>
  <sheetFormatPr defaultColWidth="9" defaultRowHeight="18.75"/>
  <cols>
    <col min="1" max="18" width="6.625" style="40" customWidth="1"/>
    <col min="19" max="19" width="3.625" style="40" customWidth="1"/>
    <col min="20" max="20" width="6.625" style="40" customWidth="1"/>
    <col min="21" max="21" width="3.625" style="40" customWidth="1"/>
    <col min="22" max="37" width="6.625" style="40" customWidth="1"/>
    <col min="38" max="38" width="3.625" style="40" customWidth="1"/>
    <col min="39" max="16384" width="9" style="40"/>
  </cols>
  <sheetData>
    <row r="1" spans="1:29">
      <c r="A1" s="147" t="s">
        <v>900</v>
      </c>
      <c r="B1" s="147"/>
      <c r="C1" s="147"/>
      <c r="D1" s="147"/>
      <c r="E1" s="147"/>
      <c r="F1" s="147"/>
      <c r="G1" s="147"/>
      <c r="H1" s="147"/>
      <c r="I1" s="147"/>
      <c r="J1" s="147"/>
      <c r="K1" s="147"/>
      <c r="L1" s="147"/>
      <c r="M1" s="147"/>
      <c r="N1" s="147"/>
      <c r="O1" s="147"/>
      <c r="P1" s="147"/>
      <c r="Q1" s="147"/>
      <c r="R1" s="147"/>
      <c r="X1" s="40" t="s">
        <v>116</v>
      </c>
    </row>
    <row r="2" spans="1:29" ht="16.5" customHeight="1">
      <c r="A2" s="26" t="s">
        <v>355</v>
      </c>
      <c r="B2" s="27">
        <v>44733</v>
      </c>
      <c r="C2" s="27">
        <v>44734</v>
      </c>
      <c r="D2" s="27">
        <v>44735</v>
      </c>
      <c r="E2" s="27">
        <v>44736</v>
      </c>
      <c r="F2" s="31">
        <v>44737</v>
      </c>
      <c r="G2" s="31">
        <v>44738</v>
      </c>
      <c r="H2" s="27">
        <v>44739</v>
      </c>
      <c r="I2" s="27">
        <v>44740</v>
      </c>
      <c r="J2" s="27">
        <v>44741</v>
      </c>
      <c r="K2" s="27">
        <v>44742</v>
      </c>
      <c r="L2" s="27"/>
      <c r="M2" s="23" t="s">
        <v>368</v>
      </c>
      <c r="N2" s="60">
        <v>44743</v>
      </c>
      <c r="O2" s="30">
        <v>44744</v>
      </c>
      <c r="P2" s="30">
        <v>44745</v>
      </c>
      <c r="Q2" s="60">
        <v>44746</v>
      </c>
      <c r="R2" s="60">
        <v>44747</v>
      </c>
      <c r="V2" s="40" t="s">
        <v>63</v>
      </c>
      <c r="X2" s="40" t="s">
        <v>64</v>
      </c>
      <c r="Z2" s="40" t="s">
        <v>169</v>
      </c>
      <c r="AB2" s="40" t="s">
        <v>874</v>
      </c>
    </row>
    <row r="3" spans="1:29" ht="16.5" customHeight="1">
      <c r="A3" s="28">
        <v>1</v>
      </c>
      <c r="B3" s="19"/>
      <c r="C3" s="19"/>
      <c r="D3" s="19"/>
      <c r="E3" s="19"/>
      <c r="F3" s="19" t="s">
        <v>25</v>
      </c>
      <c r="G3" s="19" t="s">
        <v>315</v>
      </c>
      <c r="H3" s="19"/>
      <c r="I3" s="19"/>
      <c r="J3" s="19"/>
      <c r="K3" s="19"/>
      <c r="L3" s="19"/>
      <c r="M3" s="36">
        <v>1</v>
      </c>
      <c r="N3" s="19"/>
      <c r="O3" s="19" t="s">
        <v>7</v>
      </c>
      <c r="P3" s="19" t="s">
        <v>107</v>
      </c>
      <c r="Q3" s="19"/>
      <c r="R3" s="19"/>
      <c r="V3" s="40" t="s">
        <v>25</v>
      </c>
      <c r="W3" s="40">
        <v>1</v>
      </c>
      <c r="X3" s="40" t="s">
        <v>45</v>
      </c>
      <c r="Y3" s="40">
        <v>2</v>
      </c>
      <c r="Z3" s="40" t="s">
        <v>153</v>
      </c>
      <c r="AA3" s="40">
        <v>4</v>
      </c>
      <c r="AB3" s="40" t="s">
        <v>37</v>
      </c>
      <c r="AC3" s="40">
        <v>1</v>
      </c>
    </row>
    <row r="4" spans="1:29" ht="16.5" customHeight="1">
      <c r="A4" s="28">
        <v>2</v>
      </c>
      <c r="B4" s="19"/>
      <c r="C4" s="19"/>
      <c r="D4" s="19"/>
      <c r="E4" s="19"/>
      <c r="F4" s="19" t="s">
        <v>774</v>
      </c>
      <c r="G4" s="61" t="s">
        <v>864</v>
      </c>
      <c r="H4" s="19"/>
      <c r="I4" s="19"/>
      <c r="J4" s="19"/>
      <c r="K4" s="19"/>
      <c r="L4" s="19"/>
      <c r="M4" s="36">
        <v>2</v>
      </c>
      <c r="N4" s="19"/>
      <c r="O4" s="19" t="s">
        <v>313</v>
      </c>
      <c r="P4" s="19" t="s">
        <v>516</v>
      </c>
      <c r="Q4" s="19"/>
      <c r="R4" s="19"/>
      <c r="T4" s="41"/>
      <c r="U4" s="41"/>
      <c r="V4" s="40" t="s">
        <v>2</v>
      </c>
      <c r="W4" s="40">
        <v>3</v>
      </c>
      <c r="X4" s="40" t="s">
        <v>14</v>
      </c>
      <c r="Y4" s="40">
        <v>2</v>
      </c>
      <c r="Z4" s="40" t="s">
        <v>26</v>
      </c>
      <c r="AA4" s="40">
        <v>6</v>
      </c>
      <c r="AB4" s="40" t="s">
        <v>863</v>
      </c>
      <c r="AC4" s="40">
        <v>5</v>
      </c>
    </row>
    <row r="5" spans="1:29" ht="16.5" customHeight="1">
      <c r="A5" s="28">
        <v>3</v>
      </c>
      <c r="B5" s="19"/>
      <c r="C5" s="19"/>
      <c r="D5" s="19"/>
      <c r="E5" s="19"/>
      <c r="F5" s="19" t="s">
        <v>916</v>
      </c>
      <c r="G5" s="19" t="s">
        <v>915</v>
      </c>
      <c r="H5" s="19"/>
      <c r="I5" s="19"/>
      <c r="J5" s="19"/>
      <c r="K5" s="19"/>
      <c r="L5" s="19"/>
      <c r="M5" s="36">
        <v>3</v>
      </c>
      <c r="N5" s="19"/>
      <c r="O5" s="19" t="s">
        <v>916</v>
      </c>
      <c r="P5" s="19" t="s">
        <v>915</v>
      </c>
      <c r="Q5" s="19"/>
      <c r="R5" s="19"/>
      <c r="T5" s="41"/>
      <c r="U5" s="41"/>
      <c r="V5" s="40" t="s">
        <v>516</v>
      </c>
      <c r="W5" s="40">
        <v>1</v>
      </c>
      <c r="X5" s="40" t="s">
        <v>6</v>
      </c>
      <c r="Y5" s="40">
        <v>2</v>
      </c>
      <c r="Z5" s="40" t="s">
        <v>6</v>
      </c>
      <c r="AA5" s="40" t="s">
        <v>898</v>
      </c>
      <c r="AB5" s="40" t="s">
        <v>864</v>
      </c>
      <c r="AC5" s="40">
        <v>7</v>
      </c>
    </row>
    <row r="6" spans="1:29" ht="16.5" customHeight="1">
      <c r="A6" s="28" t="s">
        <v>20</v>
      </c>
      <c r="B6" s="19" t="s">
        <v>6</v>
      </c>
      <c r="C6" s="19" t="s">
        <v>13</v>
      </c>
      <c r="D6" s="19" t="s">
        <v>13</v>
      </c>
      <c r="E6" s="19" t="s">
        <v>13</v>
      </c>
      <c r="F6" s="19" t="s">
        <v>13</v>
      </c>
      <c r="G6" s="19" t="s">
        <v>13</v>
      </c>
      <c r="H6" s="19" t="s">
        <v>153</v>
      </c>
      <c r="I6" s="19" t="s">
        <v>13</v>
      </c>
      <c r="J6" s="19" t="s">
        <v>13</v>
      </c>
      <c r="K6" s="19" t="s">
        <v>13</v>
      </c>
      <c r="L6" s="19"/>
      <c r="M6" s="36" t="s">
        <v>20</v>
      </c>
      <c r="N6" s="19" t="s">
        <v>153</v>
      </c>
      <c r="O6" s="19" t="s">
        <v>13</v>
      </c>
      <c r="P6" s="19" t="s">
        <v>13</v>
      </c>
      <c r="Q6" s="19" t="s">
        <v>312</v>
      </c>
      <c r="R6" s="19" t="s">
        <v>13</v>
      </c>
      <c r="T6" s="41"/>
      <c r="U6" s="41"/>
      <c r="V6" s="40" t="s">
        <v>7</v>
      </c>
      <c r="W6" s="40">
        <v>2</v>
      </c>
      <c r="X6" s="40" t="s">
        <v>23</v>
      </c>
      <c r="Y6" s="40">
        <v>2</v>
      </c>
      <c r="Z6" s="40" t="s">
        <v>23</v>
      </c>
      <c r="AA6" s="40">
        <v>7</v>
      </c>
      <c r="AB6" s="40" t="s">
        <v>875</v>
      </c>
      <c r="AC6" s="40" t="s">
        <v>895</v>
      </c>
    </row>
    <row r="7" spans="1:29" ht="16.5" customHeight="1">
      <c r="A7" s="28" t="s">
        <v>0</v>
      </c>
      <c r="B7" s="19" t="s">
        <v>356</v>
      </c>
      <c r="C7" s="19" t="s">
        <v>13</v>
      </c>
      <c r="D7" s="19" t="s">
        <v>13</v>
      </c>
      <c r="E7" s="19" t="s">
        <v>13</v>
      </c>
      <c r="F7" s="19" t="s">
        <v>9</v>
      </c>
      <c r="G7" s="19" t="s">
        <v>9</v>
      </c>
      <c r="H7" s="19" t="s">
        <v>37</v>
      </c>
      <c r="I7" s="19" t="s">
        <v>13</v>
      </c>
      <c r="J7" s="19" t="s">
        <v>13</v>
      </c>
      <c r="K7" s="19" t="s">
        <v>13</v>
      </c>
      <c r="L7" s="19"/>
      <c r="M7" s="36" t="s">
        <v>0</v>
      </c>
      <c r="N7" s="19" t="s">
        <v>37</v>
      </c>
      <c r="O7" s="19" t="s">
        <v>9</v>
      </c>
      <c r="P7" s="19" t="s">
        <v>9</v>
      </c>
      <c r="Q7" s="19" t="s">
        <v>356</v>
      </c>
      <c r="R7" s="19" t="s">
        <v>13</v>
      </c>
      <c r="T7" s="41"/>
      <c r="U7" s="41"/>
      <c r="V7" s="40" t="s">
        <v>21</v>
      </c>
      <c r="W7" s="40">
        <v>2</v>
      </c>
      <c r="X7" s="40" t="s">
        <v>153</v>
      </c>
      <c r="Y7" s="40">
        <v>1</v>
      </c>
      <c r="Z7" s="40" t="s">
        <v>25</v>
      </c>
      <c r="AA7" s="40">
        <v>5</v>
      </c>
      <c r="AB7" s="40" t="s">
        <v>356</v>
      </c>
      <c r="AC7" s="40" t="s">
        <v>896</v>
      </c>
    </row>
    <row r="8" spans="1:29" ht="16.5" customHeight="1">
      <c r="A8" s="28" t="s">
        <v>1</v>
      </c>
      <c r="B8" s="19"/>
      <c r="C8" s="19"/>
      <c r="D8" s="19"/>
      <c r="E8" s="19"/>
      <c r="F8" s="19"/>
      <c r="G8" s="19"/>
      <c r="H8" s="19"/>
      <c r="I8" s="19"/>
      <c r="J8" s="19"/>
      <c r="K8" s="19"/>
      <c r="L8" s="19"/>
      <c r="M8" s="36" t="s">
        <v>1</v>
      </c>
      <c r="N8" s="19"/>
      <c r="O8" s="19"/>
      <c r="P8" s="19"/>
      <c r="Q8" s="19"/>
      <c r="R8" s="19"/>
      <c r="T8" s="41"/>
      <c r="V8" s="40" t="s">
        <v>26</v>
      </c>
      <c r="W8" s="40">
        <v>2</v>
      </c>
      <c r="X8" s="40" t="s">
        <v>327</v>
      </c>
      <c r="Y8" s="40">
        <v>1</v>
      </c>
      <c r="Z8" s="40" t="s">
        <v>327</v>
      </c>
      <c r="AA8" s="40" t="s">
        <v>897</v>
      </c>
    </row>
    <row r="9" spans="1:29" ht="16.5" customHeight="1">
      <c r="A9" s="28" t="s">
        <v>366</v>
      </c>
      <c r="B9" s="19"/>
      <c r="C9" s="19"/>
      <c r="D9" s="19"/>
      <c r="E9" s="19"/>
      <c r="F9" s="19"/>
      <c r="G9" s="19"/>
      <c r="H9" s="19"/>
      <c r="I9" s="19"/>
      <c r="J9" s="19"/>
      <c r="K9" s="19"/>
      <c r="L9" s="19"/>
      <c r="M9" s="36" t="s">
        <v>366</v>
      </c>
      <c r="N9" s="19"/>
      <c r="O9" s="19"/>
      <c r="P9" s="19"/>
      <c r="Q9" s="19"/>
      <c r="R9" s="19"/>
      <c r="T9" s="41"/>
      <c r="V9" s="40" t="s">
        <v>27</v>
      </c>
      <c r="W9" s="40">
        <v>2</v>
      </c>
      <c r="X9" s="40" t="s">
        <v>28</v>
      </c>
      <c r="Y9" s="40">
        <v>2</v>
      </c>
      <c r="Z9" s="40" t="s">
        <v>516</v>
      </c>
      <c r="AA9" s="40" t="s">
        <v>846</v>
      </c>
    </row>
    <row r="10" spans="1:29" ht="16.5" customHeight="1">
      <c r="A10" s="23" t="s">
        <v>368</v>
      </c>
      <c r="B10" s="25">
        <v>44748</v>
      </c>
      <c r="C10" s="25">
        <v>44749</v>
      </c>
      <c r="D10" s="25">
        <v>44750</v>
      </c>
      <c r="E10" s="30">
        <v>44751</v>
      </c>
      <c r="F10" s="30">
        <v>44752</v>
      </c>
      <c r="G10" s="25">
        <v>44753</v>
      </c>
      <c r="H10" s="25">
        <v>44754</v>
      </c>
      <c r="I10" s="25">
        <v>44755</v>
      </c>
      <c r="J10" s="25">
        <v>44756</v>
      </c>
      <c r="K10" s="25">
        <v>44757</v>
      </c>
      <c r="L10" s="30">
        <v>44758</v>
      </c>
      <c r="M10" s="30">
        <v>44759</v>
      </c>
      <c r="N10" s="25">
        <v>44760</v>
      </c>
      <c r="O10" s="25">
        <v>44761</v>
      </c>
      <c r="P10" s="25">
        <v>44762</v>
      </c>
      <c r="Q10" s="19"/>
      <c r="R10" s="19"/>
      <c r="T10" s="41"/>
      <c r="V10" s="40" t="s">
        <v>533</v>
      </c>
      <c r="W10" s="40">
        <v>3</v>
      </c>
      <c r="X10" s="40" t="s">
        <v>152</v>
      </c>
      <c r="Y10" s="40">
        <v>3</v>
      </c>
    </row>
    <row r="11" spans="1:29" ht="16.5" customHeight="1">
      <c r="A11" s="36">
        <v>1</v>
      </c>
      <c r="B11" s="19"/>
      <c r="C11" s="19"/>
      <c r="D11" s="19"/>
      <c r="E11" s="19" t="s">
        <v>2</v>
      </c>
      <c r="F11" s="19" t="s">
        <v>314</v>
      </c>
      <c r="G11" s="19"/>
      <c r="H11" s="19"/>
      <c r="I11" s="19"/>
      <c r="J11" s="19"/>
      <c r="K11" s="19"/>
      <c r="L11" s="19" t="s">
        <v>315</v>
      </c>
      <c r="M11" s="19" t="s">
        <v>533</v>
      </c>
      <c r="N11" s="19"/>
      <c r="O11" s="19"/>
      <c r="P11" s="19"/>
      <c r="Q11" s="19"/>
      <c r="R11" s="19"/>
      <c r="T11" s="41"/>
      <c r="X11" s="40" t="s">
        <v>516</v>
      </c>
      <c r="Y11" s="40">
        <v>1</v>
      </c>
    </row>
    <row r="12" spans="1:29" ht="16.5" customHeight="1">
      <c r="A12" s="36">
        <v>2</v>
      </c>
      <c r="B12" s="19"/>
      <c r="C12" s="19"/>
      <c r="D12" s="19"/>
      <c r="E12" s="19" t="s">
        <v>769</v>
      </c>
      <c r="F12" s="19" t="s">
        <v>6</v>
      </c>
      <c r="G12" s="19"/>
      <c r="H12" s="19"/>
      <c r="I12" s="19"/>
      <c r="J12" s="19"/>
      <c r="K12" s="19"/>
      <c r="L12" s="19" t="s">
        <v>14</v>
      </c>
      <c r="M12" s="19" t="s">
        <v>93</v>
      </c>
      <c r="N12" s="19"/>
      <c r="O12" s="19"/>
      <c r="P12" s="19"/>
      <c r="Q12" s="19"/>
      <c r="R12" s="19"/>
      <c r="T12" s="41"/>
    </row>
    <row r="13" spans="1:29" ht="16.5" customHeight="1">
      <c r="A13" s="36">
        <v>3</v>
      </c>
      <c r="B13" s="19"/>
      <c r="C13" s="19"/>
      <c r="D13" s="19"/>
      <c r="E13" s="19" t="s">
        <v>916</v>
      </c>
      <c r="F13" s="19" t="s">
        <v>915</v>
      </c>
      <c r="G13" s="19"/>
      <c r="H13" s="19"/>
      <c r="I13" s="19"/>
      <c r="J13" s="19"/>
      <c r="K13" s="19"/>
      <c r="L13" s="19" t="s">
        <v>916</v>
      </c>
      <c r="M13" s="19" t="s">
        <v>915</v>
      </c>
      <c r="N13" s="19"/>
      <c r="O13" s="19"/>
      <c r="P13" s="19"/>
      <c r="Q13" s="19"/>
      <c r="R13" s="19"/>
      <c r="T13" s="41"/>
    </row>
    <row r="14" spans="1:29" ht="16.5" customHeight="1">
      <c r="A14" s="36" t="s">
        <v>20</v>
      </c>
      <c r="B14" s="19" t="s">
        <v>312</v>
      </c>
      <c r="C14" s="19" t="s">
        <v>13</v>
      </c>
      <c r="D14" s="19" t="s">
        <v>13</v>
      </c>
      <c r="E14" s="19" t="s">
        <v>13</v>
      </c>
      <c r="F14" s="19" t="s">
        <v>13</v>
      </c>
      <c r="G14" s="19" t="s">
        <v>25</v>
      </c>
      <c r="H14" s="19" t="s">
        <v>13</v>
      </c>
      <c r="I14" s="19" t="s">
        <v>13</v>
      </c>
      <c r="J14" s="19" t="s">
        <v>13</v>
      </c>
      <c r="K14" s="19" t="s">
        <v>13</v>
      </c>
      <c r="L14" s="19" t="s">
        <v>13</v>
      </c>
      <c r="M14" s="19" t="s">
        <v>13</v>
      </c>
      <c r="N14" s="19" t="s">
        <v>769</v>
      </c>
      <c r="O14" s="19" t="s">
        <v>13</v>
      </c>
      <c r="P14" s="19" t="s">
        <v>13</v>
      </c>
      <c r="Q14" s="19"/>
      <c r="R14" s="19"/>
      <c r="T14" s="41"/>
    </row>
    <row r="15" spans="1:29" ht="16.5" customHeight="1">
      <c r="A15" s="36" t="s">
        <v>0</v>
      </c>
      <c r="B15" s="19" t="s">
        <v>356</v>
      </c>
      <c r="C15" s="19" t="s">
        <v>13</v>
      </c>
      <c r="D15" s="19" t="s">
        <v>13</v>
      </c>
      <c r="E15" s="19" t="s">
        <v>9</v>
      </c>
      <c r="F15" s="19" t="s">
        <v>9</v>
      </c>
      <c r="G15" s="19" t="s">
        <v>863</v>
      </c>
      <c r="H15" s="19" t="s">
        <v>13</v>
      </c>
      <c r="I15" s="19" t="s">
        <v>13</v>
      </c>
      <c r="J15" s="19" t="s">
        <v>13</v>
      </c>
      <c r="K15" s="19" t="s">
        <v>13</v>
      </c>
      <c r="L15" s="19" t="s">
        <v>9</v>
      </c>
      <c r="M15" s="19" t="s">
        <v>9</v>
      </c>
      <c r="N15" s="19" t="s">
        <v>356</v>
      </c>
      <c r="O15" s="19" t="s">
        <v>13</v>
      </c>
      <c r="P15" s="19" t="s">
        <v>13</v>
      </c>
      <c r="Q15" s="19"/>
      <c r="R15" s="19"/>
      <c r="T15" s="41"/>
      <c r="V15" s="40" t="s">
        <v>696</v>
      </c>
      <c r="W15" s="40">
        <f>SUM(W2:W14)</f>
        <v>16</v>
      </c>
      <c r="Y15" s="40">
        <f>SUM(Y2:Y14)</f>
        <v>16</v>
      </c>
    </row>
    <row r="16" spans="1:29" ht="16.5" customHeight="1">
      <c r="A16" s="36" t="s">
        <v>1</v>
      </c>
      <c r="B16" s="19"/>
      <c r="C16" s="19"/>
      <c r="D16" s="19"/>
      <c r="E16" s="19"/>
      <c r="F16" s="19"/>
      <c r="G16" s="19"/>
      <c r="H16" s="19"/>
      <c r="I16" s="19"/>
      <c r="J16" s="19"/>
      <c r="K16" s="19"/>
      <c r="L16" s="19"/>
      <c r="M16" s="19"/>
      <c r="N16" s="19"/>
      <c r="O16" s="19"/>
      <c r="P16" s="19"/>
      <c r="Q16" s="19"/>
      <c r="R16" s="19"/>
      <c r="T16" s="41"/>
    </row>
    <row r="17" spans="1:29" ht="16.5" customHeight="1">
      <c r="A17" s="36" t="s">
        <v>366</v>
      </c>
      <c r="B17" s="19"/>
      <c r="C17" s="19"/>
      <c r="D17" s="19"/>
      <c r="E17" s="19"/>
      <c r="F17" s="19"/>
      <c r="G17" s="19"/>
      <c r="H17" s="19"/>
      <c r="I17" s="19"/>
      <c r="J17" s="19"/>
      <c r="K17" s="19"/>
      <c r="L17" s="19"/>
      <c r="M17" s="19"/>
      <c r="N17" s="19"/>
      <c r="O17" s="19"/>
      <c r="P17" s="19"/>
      <c r="Q17" s="19"/>
      <c r="R17" s="19"/>
      <c r="T17" s="41"/>
    </row>
    <row r="18" spans="1:29" ht="11.25" customHeight="1">
      <c r="A18" s="42"/>
      <c r="B18" s="37"/>
      <c r="C18" s="37"/>
      <c r="D18" s="37"/>
      <c r="E18" s="37"/>
      <c r="F18" s="37"/>
      <c r="G18" s="37"/>
      <c r="H18" s="38"/>
      <c r="I18" s="38"/>
      <c r="J18" s="38"/>
      <c r="K18" s="38"/>
      <c r="L18" s="38"/>
      <c r="M18" s="38"/>
      <c r="N18" s="38"/>
      <c r="O18" s="38"/>
      <c r="P18" s="37"/>
      <c r="Q18" s="37"/>
      <c r="R18" s="39"/>
      <c r="T18" s="41"/>
      <c r="X18" s="40" t="s">
        <v>167</v>
      </c>
    </row>
    <row r="19" spans="1:29" ht="16.5" customHeight="1">
      <c r="A19" s="23" t="s">
        <v>368</v>
      </c>
      <c r="B19" s="60">
        <v>44763</v>
      </c>
      <c r="C19" s="60">
        <v>44764</v>
      </c>
      <c r="D19" s="30">
        <v>44765</v>
      </c>
      <c r="E19" s="30">
        <v>44766</v>
      </c>
      <c r="F19" s="60">
        <v>44767</v>
      </c>
      <c r="G19" s="60">
        <v>44768</v>
      </c>
      <c r="H19" s="60">
        <v>44769</v>
      </c>
      <c r="I19" s="60">
        <v>44770</v>
      </c>
      <c r="J19" s="60">
        <v>44771</v>
      </c>
      <c r="K19" s="30">
        <v>44772</v>
      </c>
      <c r="L19" s="30">
        <v>44773</v>
      </c>
      <c r="M19" s="26" t="s">
        <v>216</v>
      </c>
      <c r="N19" s="27">
        <v>44774</v>
      </c>
      <c r="O19" s="27">
        <v>44775</v>
      </c>
      <c r="P19" s="27">
        <v>44776</v>
      </c>
      <c r="Q19" s="27">
        <v>44777</v>
      </c>
      <c r="R19" s="27">
        <v>44778</v>
      </c>
      <c r="T19" s="41"/>
      <c r="V19" s="40" t="s">
        <v>63</v>
      </c>
      <c r="X19" s="40" t="s">
        <v>64</v>
      </c>
      <c r="Z19" s="40" t="s">
        <v>169</v>
      </c>
      <c r="AB19" s="40" t="s">
        <v>874</v>
      </c>
    </row>
    <row r="20" spans="1:29" ht="16.5" customHeight="1">
      <c r="A20" s="36">
        <v>1</v>
      </c>
      <c r="B20" s="19"/>
      <c r="C20" s="19"/>
      <c r="D20" s="19" t="s">
        <v>516</v>
      </c>
      <c r="E20" s="19" t="s">
        <v>312</v>
      </c>
      <c r="F20" s="19"/>
      <c r="G20" s="19"/>
      <c r="H20" s="19"/>
      <c r="I20" s="19"/>
      <c r="J20" s="19"/>
      <c r="K20" s="19" t="s">
        <v>107</v>
      </c>
      <c r="L20" s="19" t="s">
        <v>7</v>
      </c>
      <c r="M20" s="28">
        <v>1</v>
      </c>
      <c r="N20" s="19"/>
      <c r="O20" s="19"/>
      <c r="P20" s="19"/>
      <c r="Q20" s="19"/>
      <c r="R20" s="19"/>
      <c r="T20" s="41"/>
      <c r="V20" s="40" t="s">
        <v>25</v>
      </c>
      <c r="W20" s="40">
        <v>2</v>
      </c>
      <c r="X20" s="40" t="s">
        <v>45</v>
      </c>
      <c r="Y20" s="40">
        <v>2</v>
      </c>
      <c r="Z20" s="40" t="s">
        <v>153</v>
      </c>
      <c r="AA20" s="40">
        <v>2</v>
      </c>
      <c r="AB20" s="40" t="s">
        <v>37</v>
      </c>
      <c r="AC20" s="40">
        <v>2</v>
      </c>
    </row>
    <row r="21" spans="1:29" ht="16.5" customHeight="1">
      <c r="A21" s="36">
        <v>2</v>
      </c>
      <c r="B21" s="19"/>
      <c r="C21" s="19"/>
      <c r="D21" s="19" t="s">
        <v>153</v>
      </c>
      <c r="E21" s="19" t="s">
        <v>313</v>
      </c>
      <c r="F21" s="19"/>
      <c r="G21" s="19"/>
      <c r="H21" s="19"/>
      <c r="I21" s="19"/>
      <c r="J21" s="19"/>
      <c r="K21" s="19" t="s">
        <v>6</v>
      </c>
      <c r="L21" s="61" t="s">
        <v>864</v>
      </c>
      <c r="M21" s="28">
        <v>2</v>
      </c>
      <c r="N21" s="19"/>
      <c r="O21" s="19"/>
      <c r="P21" s="19"/>
      <c r="Q21" s="19"/>
      <c r="R21" s="19"/>
      <c r="T21" s="41"/>
      <c r="V21" s="40" t="s">
        <v>2</v>
      </c>
      <c r="W21" s="40">
        <v>2</v>
      </c>
      <c r="X21" s="40" t="s">
        <v>14</v>
      </c>
      <c r="Y21" s="40">
        <v>1</v>
      </c>
      <c r="Z21" s="40" t="s">
        <v>26</v>
      </c>
      <c r="AA21" s="40">
        <v>3.9</v>
      </c>
      <c r="AB21" s="40" t="s">
        <v>863</v>
      </c>
      <c r="AC21" s="40">
        <v>4</v>
      </c>
    </row>
    <row r="22" spans="1:29" ht="16.5" customHeight="1">
      <c r="A22" s="36">
        <v>3</v>
      </c>
      <c r="B22" s="19"/>
      <c r="C22" s="19"/>
      <c r="D22" s="19" t="s">
        <v>916</v>
      </c>
      <c r="E22" s="19" t="s">
        <v>915</v>
      </c>
      <c r="F22" s="19"/>
      <c r="G22" s="19"/>
      <c r="H22" s="19"/>
      <c r="I22" s="19"/>
      <c r="J22" s="19"/>
      <c r="K22" s="19" t="s">
        <v>916</v>
      </c>
      <c r="L22" s="19" t="s">
        <v>915</v>
      </c>
      <c r="M22" s="28">
        <v>3</v>
      </c>
      <c r="N22" s="19"/>
      <c r="O22" s="19"/>
      <c r="P22" s="19"/>
      <c r="Q22" s="19"/>
      <c r="R22" s="19"/>
      <c r="T22" s="41"/>
      <c r="V22" s="40" t="s">
        <v>516</v>
      </c>
      <c r="W22" s="40">
        <v>1</v>
      </c>
      <c r="X22" s="40" t="s">
        <v>6</v>
      </c>
      <c r="Y22" s="40">
        <v>2</v>
      </c>
      <c r="Z22" s="40" t="s">
        <v>6</v>
      </c>
      <c r="AA22" s="40">
        <v>1.8</v>
      </c>
      <c r="AB22" s="40" t="s">
        <v>864</v>
      </c>
      <c r="AC22" s="40">
        <v>8</v>
      </c>
    </row>
    <row r="23" spans="1:29" ht="16.5" customHeight="1">
      <c r="A23" s="36" t="s">
        <v>20</v>
      </c>
      <c r="B23" s="19" t="s">
        <v>769</v>
      </c>
      <c r="C23" s="19" t="s">
        <v>13</v>
      </c>
      <c r="D23" s="19" t="s">
        <v>13</v>
      </c>
      <c r="E23" s="19" t="s">
        <v>13</v>
      </c>
      <c r="F23" s="19" t="s">
        <v>774</v>
      </c>
      <c r="G23" s="19" t="s">
        <v>13</v>
      </c>
      <c r="H23" s="19" t="s">
        <v>13</v>
      </c>
      <c r="I23" s="19" t="s">
        <v>13</v>
      </c>
      <c r="J23" s="19" t="s">
        <v>13</v>
      </c>
      <c r="K23" s="19" t="s">
        <v>13</v>
      </c>
      <c r="L23" s="19" t="s">
        <v>13</v>
      </c>
      <c r="M23" s="28" t="s">
        <v>20</v>
      </c>
      <c r="N23" s="19" t="s">
        <v>516</v>
      </c>
      <c r="O23" s="19" t="s">
        <v>13</v>
      </c>
      <c r="P23" s="19" t="s">
        <v>13</v>
      </c>
      <c r="Q23" s="19" t="s">
        <v>13</v>
      </c>
      <c r="R23" s="19" t="s">
        <v>13</v>
      </c>
      <c r="T23" s="41"/>
      <c r="V23" s="40" t="s">
        <v>7</v>
      </c>
      <c r="W23" s="40">
        <v>2</v>
      </c>
      <c r="X23" s="40" t="s">
        <v>23</v>
      </c>
      <c r="Y23" s="40">
        <v>2</v>
      </c>
      <c r="Z23" s="40" t="s">
        <v>23</v>
      </c>
      <c r="AA23" s="40">
        <v>5</v>
      </c>
      <c r="AB23" s="40" t="s">
        <v>875</v>
      </c>
      <c r="AC23" s="40">
        <v>6</v>
      </c>
    </row>
    <row r="24" spans="1:29" ht="16.5" customHeight="1">
      <c r="A24" s="36" t="s">
        <v>0</v>
      </c>
      <c r="B24" s="19" t="s">
        <v>356</v>
      </c>
      <c r="C24" s="19" t="s">
        <v>13</v>
      </c>
      <c r="D24" s="19" t="s">
        <v>9</v>
      </c>
      <c r="E24" s="19" t="s">
        <v>9</v>
      </c>
      <c r="F24" s="19" t="s">
        <v>875</v>
      </c>
      <c r="G24" s="19" t="s">
        <v>13</v>
      </c>
      <c r="H24" s="19" t="s">
        <v>13</v>
      </c>
      <c r="I24" s="19" t="s">
        <v>13</v>
      </c>
      <c r="J24" s="19" t="s">
        <v>13</v>
      </c>
      <c r="K24" s="19" t="s">
        <v>9</v>
      </c>
      <c r="L24" s="19" t="s">
        <v>9</v>
      </c>
      <c r="M24" s="28" t="s">
        <v>0</v>
      </c>
      <c r="N24" s="19" t="s">
        <v>356</v>
      </c>
      <c r="O24" s="19" t="s">
        <v>13</v>
      </c>
      <c r="P24" s="19" t="s">
        <v>13</v>
      </c>
      <c r="Q24" s="19" t="s">
        <v>13</v>
      </c>
      <c r="R24" s="19" t="s">
        <v>13</v>
      </c>
      <c r="T24" s="41"/>
      <c r="V24" s="40" t="s">
        <v>21</v>
      </c>
      <c r="W24" s="40">
        <v>2</v>
      </c>
      <c r="X24" s="40" t="s">
        <v>153</v>
      </c>
      <c r="Y24" s="40">
        <v>1</v>
      </c>
      <c r="Z24" s="40" t="s">
        <v>25</v>
      </c>
      <c r="AA24" s="40">
        <v>4</v>
      </c>
      <c r="AB24" s="40" t="s">
        <v>356</v>
      </c>
      <c r="AC24" s="40" t="s">
        <v>917</v>
      </c>
    </row>
    <row r="25" spans="1:29" ht="16.5" customHeight="1">
      <c r="A25" s="36" t="s">
        <v>1</v>
      </c>
      <c r="B25" s="19"/>
      <c r="C25" s="19"/>
      <c r="D25" s="19"/>
      <c r="E25" s="19"/>
      <c r="F25" s="19"/>
      <c r="G25" s="19"/>
      <c r="H25" s="19"/>
      <c r="I25" s="19"/>
      <c r="J25" s="19"/>
      <c r="K25" s="19"/>
      <c r="L25" s="19"/>
      <c r="M25" s="28" t="s">
        <v>1</v>
      </c>
      <c r="N25" s="19"/>
      <c r="O25" s="19"/>
      <c r="P25" s="19"/>
      <c r="Q25" s="19"/>
      <c r="R25" s="19"/>
      <c r="T25" s="41"/>
      <c r="V25" s="40" t="s">
        <v>26</v>
      </c>
      <c r="W25" s="40">
        <v>1</v>
      </c>
      <c r="X25" s="40" t="s">
        <v>327</v>
      </c>
      <c r="Y25" s="40">
        <v>2</v>
      </c>
      <c r="Z25" s="40" t="s">
        <v>327</v>
      </c>
      <c r="AA25" s="40">
        <v>6</v>
      </c>
    </row>
    <row r="26" spans="1:29" ht="16.5" customHeight="1">
      <c r="A26" s="36" t="s">
        <v>366</v>
      </c>
      <c r="B26" s="19"/>
      <c r="C26" s="19"/>
      <c r="D26" s="19"/>
      <c r="E26" s="19"/>
      <c r="F26" s="19"/>
      <c r="G26" s="19"/>
      <c r="H26" s="19"/>
      <c r="I26" s="19"/>
      <c r="J26" s="19"/>
      <c r="K26" s="19"/>
      <c r="L26" s="19"/>
      <c r="M26" s="28" t="s">
        <v>366</v>
      </c>
      <c r="N26" s="19"/>
      <c r="O26" s="19"/>
      <c r="P26" s="19"/>
      <c r="Q26" s="19"/>
      <c r="R26" s="19"/>
      <c r="T26" s="41"/>
      <c r="V26" s="40" t="s">
        <v>27</v>
      </c>
      <c r="W26" s="40">
        <v>2</v>
      </c>
      <c r="X26" s="40" t="s">
        <v>28</v>
      </c>
      <c r="Y26" s="40">
        <v>2</v>
      </c>
      <c r="Z26" s="40" t="s">
        <v>516</v>
      </c>
      <c r="AA26" s="40">
        <v>7</v>
      </c>
    </row>
    <row r="27" spans="1:29" ht="16.5" customHeight="1">
      <c r="A27" s="26" t="s">
        <v>216</v>
      </c>
      <c r="B27" s="31">
        <v>44779</v>
      </c>
      <c r="C27" s="31">
        <v>44780</v>
      </c>
      <c r="D27" s="27">
        <v>44781</v>
      </c>
      <c r="E27" s="27">
        <v>44782</v>
      </c>
      <c r="F27" s="27">
        <v>44783</v>
      </c>
      <c r="G27" s="27">
        <v>44784</v>
      </c>
      <c r="H27" s="31">
        <v>44785</v>
      </c>
      <c r="I27" s="31">
        <v>44786</v>
      </c>
      <c r="J27" s="31">
        <v>44787</v>
      </c>
      <c r="K27" s="31">
        <v>44788</v>
      </c>
      <c r="L27" s="31">
        <v>44789</v>
      </c>
      <c r="M27" s="27">
        <v>44790</v>
      </c>
      <c r="N27" s="27">
        <v>44791</v>
      </c>
      <c r="O27" s="27">
        <v>44792</v>
      </c>
      <c r="P27" s="31">
        <v>44793</v>
      </c>
      <c r="Q27" s="19"/>
      <c r="R27" s="19"/>
      <c r="T27" s="41"/>
      <c r="V27" s="40" t="s">
        <v>533</v>
      </c>
      <c r="W27" s="40">
        <v>1</v>
      </c>
      <c r="X27" s="40" t="s">
        <v>152</v>
      </c>
      <c r="Y27" s="40">
        <v>0</v>
      </c>
    </row>
    <row r="28" spans="1:29" ht="16.5" customHeight="1">
      <c r="A28" s="28">
        <v>1</v>
      </c>
      <c r="B28" s="19" t="s">
        <v>312</v>
      </c>
      <c r="C28" s="19" t="s">
        <v>25</v>
      </c>
      <c r="D28" s="19"/>
      <c r="E28" s="19"/>
      <c r="F28" s="19"/>
      <c r="G28" s="19"/>
      <c r="H28" s="19"/>
      <c r="I28" s="19"/>
      <c r="J28" s="19"/>
      <c r="K28" s="19"/>
      <c r="L28" s="19"/>
      <c r="M28" s="19"/>
      <c r="N28" s="19"/>
      <c r="O28" s="19"/>
      <c r="P28" s="19" t="s">
        <v>314</v>
      </c>
      <c r="Q28" s="19"/>
      <c r="R28" s="19"/>
      <c r="T28" s="41"/>
      <c r="V28" s="40" t="s">
        <v>314</v>
      </c>
      <c r="W28" s="40">
        <v>2</v>
      </c>
      <c r="X28" s="40" t="s">
        <v>516</v>
      </c>
      <c r="Y28" s="40">
        <v>1</v>
      </c>
    </row>
    <row r="29" spans="1:29" ht="16.5" customHeight="1">
      <c r="A29" s="28">
        <v>2</v>
      </c>
      <c r="B29" s="19" t="s">
        <v>93</v>
      </c>
      <c r="C29" s="19" t="s">
        <v>769</v>
      </c>
      <c r="D29" s="19"/>
      <c r="E29" s="19"/>
      <c r="F29" s="19"/>
      <c r="G29" s="19"/>
      <c r="H29" s="19"/>
      <c r="I29" s="19"/>
      <c r="J29" s="19"/>
      <c r="K29" s="19"/>
      <c r="L29" s="19"/>
      <c r="M29" s="19"/>
      <c r="N29" s="19"/>
      <c r="O29" s="19"/>
      <c r="P29" s="19" t="s">
        <v>774</v>
      </c>
      <c r="Q29" s="19"/>
      <c r="R29" s="19"/>
      <c r="T29" s="41"/>
      <c r="X29" s="40" t="s">
        <v>864</v>
      </c>
      <c r="Y29" s="40">
        <v>2</v>
      </c>
    </row>
    <row r="30" spans="1:29" ht="16.5" customHeight="1">
      <c r="A30" s="28">
        <v>3</v>
      </c>
      <c r="B30" s="19" t="s">
        <v>915</v>
      </c>
      <c r="C30" s="19" t="s">
        <v>916</v>
      </c>
      <c r="D30" s="19"/>
      <c r="E30" s="19"/>
      <c r="F30" s="19"/>
      <c r="G30" s="19"/>
      <c r="H30" s="19"/>
      <c r="I30" s="19"/>
      <c r="J30" s="19"/>
      <c r="K30" s="19"/>
      <c r="L30" s="19"/>
      <c r="M30" s="19"/>
      <c r="N30" s="19"/>
      <c r="O30" s="19"/>
      <c r="P30" s="19" t="s">
        <v>916</v>
      </c>
      <c r="Q30" s="19"/>
      <c r="R30" s="19"/>
      <c r="T30" s="41"/>
    </row>
    <row r="31" spans="1:29" ht="16.5" customHeight="1">
      <c r="A31" s="28" t="s">
        <v>20</v>
      </c>
      <c r="B31" s="19" t="s">
        <v>516</v>
      </c>
      <c r="C31" s="19" t="s">
        <v>13</v>
      </c>
      <c r="D31" s="19" t="s">
        <v>6</v>
      </c>
      <c r="E31" s="19" t="s">
        <v>13</v>
      </c>
      <c r="F31" s="19" t="s">
        <v>13</v>
      </c>
      <c r="G31" s="19" t="s">
        <v>13</v>
      </c>
      <c r="H31" s="19"/>
      <c r="I31" s="19"/>
      <c r="J31" s="19"/>
      <c r="K31" s="19"/>
      <c r="L31" s="19"/>
      <c r="M31" s="19" t="s">
        <v>312</v>
      </c>
      <c r="N31" s="19" t="s">
        <v>13</v>
      </c>
      <c r="O31" s="19" t="s">
        <v>13</v>
      </c>
      <c r="P31" s="19" t="s">
        <v>13</v>
      </c>
      <c r="Q31" s="19"/>
      <c r="R31" s="19"/>
      <c r="T31" s="41"/>
    </row>
    <row r="32" spans="1:29" ht="16.5" customHeight="1">
      <c r="A32" s="28" t="s">
        <v>0</v>
      </c>
      <c r="B32" s="19" t="s">
        <v>9</v>
      </c>
      <c r="C32" s="19" t="s">
        <v>9</v>
      </c>
      <c r="D32" s="19" t="s">
        <v>356</v>
      </c>
      <c r="E32" s="19" t="s">
        <v>13</v>
      </c>
      <c r="F32" s="19" t="s">
        <v>13</v>
      </c>
      <c r="G32" s="19" t="s">
        <v>13</v>
      </c>
      <c r="H32" s="19"/>
      <c r="I32" s="19"/>
      <c r="J32" s="19"/>
      <c r="K32" s="19"/>
      <c r="L32" s="19"/>
      <c r="M32" s="19" t="s">
        <v>356</v>
      </c>
      <c r="N32" s="19" t="s">
        <v>13</v>
      </c>
      <c r="O32" s="19" t="s">
        <v>13</v>
      </c>
      <c r="P32" s="19" t="s">
        <v>9</v>
      </c>
      <c r="Q32" s="19"/>
      <c r="R32" s="19"/>
      <c r="T32" s="41"/>
      <c r="V32" s="40" t="s">
        <v>602</v>
      </c>
      <c r="W32" s="40">
        <f>SUM(W19:W31)</f>
        <v>15</v>
      </c>
      <c r="Y32" s="40">
        <f>SUM(Y19:Y31)</f>
        <v>15</v>
      </c>
    </row>
    <row r="33" spans="1:20" ht="16.5" customHeight="1">
      <c r="A33" s="28" t="s">
        <v>1</v>
      </c>
      <c r="B33" s="19"/>
      <c r="C33" s="19"/>
      <c r="D33" s="19"/>
      <c r="E33" s="19"/>
      <c r="F33" s="19"/>
      <c r="G33" s="19"/>
      <c r="H33" s="19"/>
      <c r="I33" s="19"/>
      <c r="J33" s="19"/>
      <c r="K33" s="19"/>
      <c r="L33" s="19"/>
      <c r="M33" s="19"/>
      <c r="N33" s="19"/>
      <c r="O33" s="19"/>
      <c r="P33" s="19"/>
      <c r="Q33" s="19"/>
      <c r="R33" s="19"/>
    </row>
    <row r="34" spans="1:20" ht="16.5" customHeight="1">
      <c r="A34" s="28" t="s">
        <v>366</v>
      </c>
      <c r="B34" s="19"/>
      <c r="C34" s="19"/>
      <c r="D34" s="19"/>
      <c r="E34" s="19"/>
      <c r="F34" s="19"/>
      <c r="G34" s="19"/>
      <c r="H34" s="19"/>
      <c r="I34" s="19"/>
      <c r="J34" s="19"/>
      <c r="K34" s="19"/>
      <c r="L34" s="19"/>
      <c r="M34" s="19"/>
      <c r="N34" s="19"/>
      <c r="O34" s="19"/>
      <c r="P34" s="19"/>
      <c r="Q34" s="19"/>
      <c r="R34" s="19"/>
    </row>
    <row r="35" spans="1:20" ht="12.75" customHeight="1">
      <c r="Q35" s="145" t="s">
        <v>82</v>
      </c>
      <c r="R35" s="145"/>
      <c r="T35" s="41"/>
    </row>
    <row r="36" spans="1:20">
      <c r="A36" s="40" t="s">
        <v>322</v>
      </c>
      <c r="B36" s="49"/>
      <c r="C36" s="49"/>
      <c r="D36" s="49"/>
      <c r="E36" s="49"/>
      <c r="F36" s="49"/>
      <c r="G36" s="49"/>
      <c r="H36" s="55"/>
      <c r="I36" s="49"/>
      <c r="J36" s="49"/>
      <c r="K36" s="49"/>
      <c r="L36" s="49"/>
      <c r="M36" s="49"/>
      <c r="N36" s="49"/>
      <c r="O36" s="49"/>
      <c r="T36" s="41"/>
    </row>
    <row r="37" spans="1:20">
      <c r="A37" s="43" t="s">
        <v>901</v>
      </c>
      <c r="B37" s="55" t="s">
        <v>902</v>
      </c>
      <c r="C37" s="55"/>
      <c r="D37" s="55"/>
      <c r="E37" s="55"/>
      <c r="F37" s="55"/>
      <c r="G37" s="55"/>
      <c r="H37" s="55"/>
      <c r="I37" s="55"/>
      <c r="J37" s="55"/>
      <c r="K37" s="55"/>
      <c r="L37" s="55"/>
      <c r="M37" s="55"/>
      <c r="N37" s="55"/>
      <c r="O37" s="55"/>
      <c r="P37" s="43"/>
      <c r="Q37" s="43"/>
      <c r="R37" s="43"/>
      <c r="T37" s="41"/>
    </row>
    <row r="38" spans="1:20">
      <c r="A38" s="43" t="s">
        <v>903</v>
      </c>
      <c r="B38" s="55" t="s">
        <v>904</v>
      </c>
      <c r="C38" s="55"/>
      <c r="D38" s="55"/>
      <c r="E38" s="55"/>
      <c r="F38" s="55"/>
      <c r="G38" s="55"/>
      <c r="H38" s="55"/>
      <c r="I38" s="55"/>
      <c r="J38" s="55"/>
      <c r="K38" s="55"/>
      <c r="L38" s="55"/>
      <c r="M38" s="55"/>
      <c r="N38" s="55"/>
      <c r="O38" s="55"/>
      <c r="P38" s="43"/>
      <c r="Q38" s="43"/>
      <c r="R38" s="43"/>
      <c r="T38" s="41"/>
    </row>
    <row r="39" spans="1:20">
      <c r="A39" s="43" t="s">
        <v>893</v>
      </c>
      <c r="B39" s="55" t="s">
        <v>905</v>
      </c>
      <c r="C39" s="55"/>
      <c r="D39" s="55"/>
      <c r="E39" s="55"/>
      <c r="F39" s="55"/>
      <c r="G39" s="55"/>
      <c r="H39" s="55"/>
      <c r="I39" s="55"/>
      <c r="J39" s="55"/>
      <c r="K39" s="55"/>
      <c r="L39" s="55"/>
      <c r="M39" s="55"/>
      <c r="N39" s="55"/>
      <c r="O39" s="55"/>
      <c r="P39" s="43"/>
      <c r="Q39" s="43"/>
      <c r="R39" s="43"/>
      <c r="T39" s="41"/>
    </row>
    <row r="40" spans="1:20">
      <c r="A40" s="43" t="s">
        <v>883</v>
      </c>
      <c r="B40" s="55" t="s">
        <v>906</v>
      </c>
      <c r="C40" s="55"/>
      <c r="D40" s="55"/>
      <c r="E40" s="55"/>
      <c r="F40" s="55"/>
      <c r="G40" s="55"/>
      <c r="H40" s="55"/>
      <c r="I40" s="55"/>
      <c r="J40" s="55"/>
      <c r="K40" s="55"/>
      <c r="L40" s="55"/>
      <c r="M40" s="55"/>
      <c r="N40" s="55"/>
      <c r="O40" s="55"/>
      <c r="P40" s="43"/>
      <c r="Q40" s="43"/>
      <c r="R40" s="43"/>
    </row>
    <row r="41" spans="1:20">
      <c r="A41" s="43" t="s">
        <v>907</v>
      </c>
      <c r="B41" s="55" t="s">
        <v>908</v>
      </c>
      <c r="C41" s="55"/>
      <c r="D41" s="55"/>
      <c r="E41" s="55"/>
      <c r="F41" s="55"/>
      <c r="G41" s="55"/>
      <c r="H41" s="55"/>
      <c r="I41" s="55"/>
      <c r="J41" s="55"/>
      <c r="K41" s="55"/>
      <c r="L41" s="55"/>
      <c r="M41" s="55"/>
      <c r="N41" s="55"/>
      <c r="O41" s="55"/>
      <c r="P41" s="43"/>
      <c r="Q41" s="43"/>
      <c r="R41" s="43"/>
    </row>
    <row r="42" spans="1:20">
      <c r="A42" s="43" t="s">
        <v>909</v>
      </c>
      <c r="B42" s="55">
        <v>44793</v>
      </c>
      <c r="C42" s="55"/>
      <c r="D42" s="55"/>
      <c r="E42" s="55"/>
      <c r="F42" s="55"/>
      <c r="G42" s="55"/>
      <c r="H42" s="59"/>
      <c r="I42" s="55"/>
      <c r="J42" s="55"/>
      <c r="K42" s="55"/>
      <c r="L42" s="55"/>
      <c r="M42" s="55"/>
      <c r="N42" s="55"/>
      <c r="O42" s="55"/>
      <c r="P42" s="43"/>
      <c r="Q42" s="43"/>
      <c r="R42" s="43"/>
      <c r="T42" s="41"/>
    </row>
    <row r="43" spans="1:20">
      <c r="A43" s="43" t="s">
        <v>887</v>
      </c>
      <c r="B43" s="55" t="s">
        <v>910</v>
      </c>
      <c r="C43" s="55"/>
      <c r="D43" s="55"/>
      <c r="E43" s="55"/>
      <c r="F43" s="55"/>
      <c r="G43" s="55"/>
      <c r="H43" s="55"/>
      <c r="I43" s="55"/>
      <c r="J43" s="55"/>
      <c r="K43" s="55"/>
      <c r="L43" s="55"/>
      <c r="M43" s="55"/>
      <c r="N43" s="55"/>
      <c r="O43" s="55"/>
      <c r="P43" s="43"/>
      <c r="Q43" s="43"/>
      <c r="R43" s="43"/>
      <c r="T43" s="41"/>
    </row>
    <row r="44" spans="1:20">
      <c r="A44" s="40" t="s">
        <v>891</v>
      </c>
      <c r="B44" s="55" t="s">
        <v>911</v>
      </c>
      <c r="C44" s="55"/>
      <c r="D44" s="55"/>
      <c r="E44" s="55"/>
      <c r="F44" s="55"/>
      <c r="G44" s="55"/>
      <c r="H44" s="55"/>
      <c r="I44" s="55"/>
      <c r="J44" s="55"/>
      <c r="K44" s="55"/>
      <c r="L44" s="55"/>
      <c r="M44" s="55"/>
      <c r="N44" s="55"/>
      <c r="O44" s="55"/>
      <c r="P44" s="43"/>
      <c r="Q44" s="43"/>
      <c r="R44" s="43"/>
      <c r="T44" s="41"/>
    </row>
    <row r="45" spans="1:20">
      <c r="A45" s="43" t="s">
        <v>912</v>
      </c>
      <c r="B45" s="43" t="s">
        <v>914</v>
      </c>
      <c r="C45" s="43"/>
      <c r="D45" s="43"/>
      <c r="E45" s="43"/>
      <c r="F45" s="43"/>
      <c r="G45" s="43"/>
      <c r="H45" s="43"/>
      <c r="I45" s="43"/>
      <c r="J45" s="43"/>
      <c r="K45" s="43"/>
      <c r="L45" s="43"/>
      <c r="M45" s="43"/>
      <c r="N45" s="43"/>
      <c r="O45" s="43"/>
      <c r="P45" s="43"/>
      <c r="Q45" s="43"/>
      <c r="R45" s="43"/>
    </row>
    <row r="46" spans="1:20">
      <c r="A46" s="43" t="s">
        <v>889</v>
      </c>
      <c r="B46" s="55" t="s">
        <v>913</v>
      </c>
      <c r="C46" s="43"/>
      <c r="D46" s="43"/>
      <c r="E46" s="43"/>
      <c r="F46" s="43"/>
      <c r="G46" s="43"/>
      <c r="H46" s="43"/>
      <c r="I46" s="43"/>
      <c r="J46" s="43"/>
      <c r="K46" s="43"/>
      <c r="L46" s="43"/>
      <c r="M46" s="43"/>
      <c r="N46" s="43"/>
      <c r="O46" s="43"/>
      <c r="P46" s="43"/>
      <c r="Q46" s="43"/>
      <c r="R46" s="43"/>
      <c r="T46" s="41"/>
    </row>
    <row r="47" spans="1:20">
      <c r="A47" s="43"/>
      <c r="B47" s="43"/>
      <c r="C47" s="43"/>
      <c r="D47" s="43"/>
      <c r="E47" s="43"/>
      <c r="F47" s="43"/>
      <c r="G47" s="43"/>
      <c r="H47" s="43"/>
      <c r="I47" s="43"/>
      <c r="J47" s="43"/>
      <c r="K47" s="43"/>
      <c r="L47" s="43"/>
      <c r="M47" s="43"/>
      <c r="N47" s="43"/>
      <c r="O47" s="43"/>
      <c r="P47" s="43"/>
      <c r="Q47" s="43"/>
      <c r="R47" s="43"/>
      <c r="T47" s="41"/>
    </row>
    <row r="48" spans="1:20">
      <c r="A48" s="43"/>
      <c r="B48" s="43"/>
      <c r="C48" s="43"/>
      <c r="D48" s="43"/>
      <c r="E48" s="43"/>
      <c r="F48" s="43"/>
      <c r="G48" s="43"/>
      <c r="H48" s="43"/>
      <c r="I48" s="43"/>
      <c r="J48" s="43"/>
      <c r="K48" s="43"/>
      <c r="L48" s="43"/>
      <c r="M48" s="43"/>
      <c r="N48" s="43"/>
      <c r="O48" s="43"/>
      <c r="P48" s="43"/>
      <c r="Q48" s="43"/>
      <c r="R48" s="43"/>
      <c r="T48" s="41"/>
    </row>
    <row r="49" spans="1:18">
      <c r="A49" s="43"/>
      <c r="B49" s="43"/>
      <c r="C49" s="43"/>
      <c r="D49" s="43"/>
      <c r="E49" s="43"/>
      <c r="F49" s="43"/>
      <c r="G49" s="43"/>
      <c r="H49" s="43"/>
      <c r="I49" s="43"/>
      <c r="J49" s="43"/>
      <c r="K49" s="43"/>
      <c r="L49" s="43"/>
      <c r="M49" s="43"/>
      <c r="N49" s="43"/>
      <c r="O49" s="43"/>
      <c r="P49" s="43"/>
      <c r="Q49" s="43"/>
      <c r="R49" s="43"/>
    </row>
    <row r="50" spans="1:18">
      <c r="A50" s="43"/>
      <c r="B50" s="43"/>
      <c r="C50" s="43"/>
      <c r="D50" s="43"/>
      <c r="E50" s="43"/>
      <c r="F50" s="43"/>
      <c r="G50" s="43"/>
      <c r="H50" s="43"/>
      <c r="I50" s="43"/>
      <c r="J50" s="43"/>
      <c r="K50" s="43"/>
      <c r="L50" s="43"/>
      <c r="M50" s="43"/>
      <c r="N50" s="43"/>
      <c r="O50" s="43"/>
      <c r="P50" s="43"/>
      <c r="Q50" s="43"/>
      <c r="R50" s="43"/>
    </row>
    <row r="51" spans="1:18">
      <c r="A51" s="43"/>
      <c r="B51" s="43"/>
      <c r="C51" s="43"/>
      <c r="D51" s="43"/>
      <c r="E51" s="43"/>
      <c r="F51" s="43"/>
      <c r="G51" s="43"/>
      <c r="H51" s="43"/>
      <c r="I51" s="43"/>
      <c r="J51" s="43"/>
      <c r="K51" s="43"/>
      <c r="L51" s="43"/>
      <c r="M51" s="43"/>
      <c r="N51" s="43"/>
      <c r="O51" s="43"/>
      <c r="P51" s="43"/>
      <c r="Q51" s="43"/>
      <c r="R51" s="43"/>
    </row>
  </sheetData>
  <mergeCells count="2">
    <mergeCell ref="A1:R1"/>
    <mergeCell ref="Q35:R35"/>
  </mergeCells>
  <phoneticPr fontId="2"/>
  <pageMargins left="0.70866141732283472" right="0.70866141732283472" top="0" bottom="0" header="0.31496062992125984" footer="0.31496062992125984"/>
  <pageSetup paperSize="9" orientation="landscape" r:id="rId1"/>
  <drawing r:id="rId2"/>
  <legacyDrawing r:id="rId3"/>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795A0-9D77-4196-9237-0216FE264940}">
  <dimension ref="A1:AC51"/>
  <sheetViews>
    <sheetView zoomScaleNormal="100" workbookViewId="0">
      <selection activeCell="Z24" sqref="Z24"/>
    </sheetView>
  </sheetViews>
  <sheetFormatPr defaultColWidth="9" defaultRowHeight="18.75"/>
  <cols>
    <col min="1" max="18" width="6.625" style="40" customWidth="1"/>
    <col min="19" max="19" width="3.625" style="40" customWidth="1"/>
    <col min="20" max="20" width="6.625" style="40" customWidth="1"/>
    <col min="21" max="21" width="3.625" style="40" customWidth="1"/>
    <col min="22" max="37" width="6.625" style="40" customWidth="1"/>
    <col min="38" max="38" width="3.625" style="40" customWidth="1"/>
    <col min="39" max="16384" width="9" style="40"/>
  </cols>
  <sheetData>
    <row r="1" spans="1:29">
      <c r="A1" s="147" t="s">
        <v>882</v>
      </c>
      <c r="B1" s="147"/>
      <c r="C1" s="147"/>
      <c r="D1" s="147"/>
      <c r="E1" s="147"/>
      <c r="F1" s="147"/>
      <c r="G1" s="147"/>
      <c r="H1" s="147"/>
      <c r="I1" s="147"/>
      <c r="J1" s="147"/>
      <c r="K1" s="147"/>
      <c r="L1" s="147"/>
      <c r="M1" s="147"/>
      <c r="N1" s="147"/>
      <c r="O1" s="147"/>
      <c r="P1" s="147"/>
      <c r="Q1" s="147"/>
      <c r="R1" s="147"/>
      <c r="X1" s="40" t="s">
        <v>779</v>
      </c>
    </row>
    <row r="2" spans="1:29" ht="16.5" customHeight="1">
      <c r="A2" s="26" t="s">
        <v>325</v>
      </c>
      <c r="B2" s="27">
        <v>44672</v>
      </c>
      <c r="C2" s="27">
        <v>44673</v>
      </c>
      <c r="D2" s="31">
        <v>44674</v>
      </c>
      <c r="E2" s="31">
        <v>44675</v>
      </c>
      <c r="F2" s="27">
        <v>44676</v>
      </c>
      <c r="G2" s="27">
        <v>44677</v>
      </c>
      <c r="H2" s="27">
        <v>44678</v>
      </c>
      <c r="I2" s="27">
        <v>44679</v>
      </c>
      <c r="J2" s="27">
        <v>44680</v>
      </c>
      <c r="K2" s="31">
        <v>44681</v>
      </c>
      <c r="L2" s="27"/>
      <c r="M2" s="23" t="s">
        <v>354</v>
      </c>
      <c r="N2" s="30">
        <v>44682</v>
      </c>
      <c r="O2" s="30">
        <v>44683</v>
      </c>
      <c r="P2" s="30">
        <v>44684</v>
      </c>
      <c r="Q2" s="30">
        <v>44685</v>
      </c>
      <c r="R2" s="25">
        <v>44686</v>
      </c>
      <c r="V2" s="40" t="s">
        <v>63</v>
      </c>
      <c r="X2" s="40" t="s">
        <v>64</v>
      </c>
      <c r="Z2" s="40" t="s">
        <v>169</v>
      </c>
      <c r="AB2" s="40" t="s">
        <v>874</v>
      </c>
    </row>
    <row r="3" spans="1:29" ht="16.5" customHeight="1">
      <c r="A3" s="28">
        <v>1</v>
      </c>
      <c r="B3" s="19"/>
      <c r="C3" s="19"/>
      <c r="D3" s="19" t="s">
        <v>312</v>
      </c>
      <c r="E3" s="19" t="s">
        <v>533</v>
      </c>
      <c r="F3" s="19"/>
      <c r="G3" s="19"/>
      <c r="H3" s="19"/>
      <c r="I3" s="19"/>
      <c r="J3" s="19"/>
      <c r="K3" s="19"/>
      <c r="L3" s="19"/>
      <c r="M3" s="36">
        <v>1</v>
      </c>
      <c r="N3" s="19"/>
      <c r="O3" s="19"/>
      <c r="P3" s="19"/>
      <c r="Q3" s="19"/>
      <c r="R3" s="19"/>
      <c r="V3" s="40" t="s">
        <v>25</v>
      </c>
      <c r="W3" s="40">
        <v>2</v>
      </c>
      <c r="X3" s="40" t="s">
        <v>45</v>
      </c>
      <c r="Y3" s="40">
        <v>3</v>
      </c>
      <c r="Z3" s="40" t="s">
        <v>153</v>
      </c>
      <c r="AA3" s="40">
        <v>5</v>
      </c>
      <c r="AB3" s="40" t="s">
        <v>37</v>
      </c>
      <c r="AC3" s="40" t="s">
        <v>881</v>
      </c>
    </row>
    <row r="4" spans="1:29" ht="16.5" customHeight="1">
      <c r="A4" s="28">
        <v>2</v>
      </c>
      <c r="B4" s="19"/>
      <c r="C4" s="19"/>
      <c r="D4" s="19" t="s">
        <v>6</v>
      </c>
      <c r="E4" s="19" t="s">
        <v>814</v>
      </c>
      <c r="F4" s="19"/>
      <c r="G4" s="19"/>
      <c r="H4" s="19"/>
      <c r="I4" s="19"/>
      <c r="J4" s="19"/>
      <c r="K4" s="19"/>
      <c r="L4" s="19"/>
      <c r="M4" s="36">
        <v>2</v>
      </c>
      <c r="N4" s="19"/>
      <c r="O4" s="19"/>
      <c r="P4" s="19"/>
      <c r="Q4" s="19"/>
      <c r="R4" s="19"/>
      <c r="T4" s="41"/>
      <c r="U4" s="41"/>
      <c r="V4" s="40" t="s">
        <v>2</v>
      </c>
      <c r="W4" s="40">
        <v>2</v>
      </c>
      <c r="X4" s="40" t="s">
        <v>14</v>
      </c>
      <c r="Y4" s="40">
        <v>2</v>
      </c>
      <c r="Z4" s="40" t="s">
        <v>26</v>
      </c>
      <c r="AA4" s="40">
        <v>7</v>
      </c>
      <c r="AB4" s="40" t="s">
        <v>863</v>
      </c>
      <c r="AC4" s="40">
        <v>2.6</v>
      </c>
    </row>
    <row r="5" spans="1:29" ht="16.5" customHeight="1">
      <c r="A5" s="28">
        <v>3</v>
      </c>
      <c r="B5" s="19"/>
      <c r="C5" s="19"/>
      <c r="D5" s="19" t="s">
        <v>855</v>
      </c>
      <c r="E5" s="19" t="s">
        <v>855</v>
      </c>
      <c r="F5" s="19"/>
      <c r="G5" s="19"/>
      <c r="H5" s="19"/>
      <c r="I5" s="19"/>
      <c r="J5" s="19"/>
      <c r="K5" s="19"/>
      <c r="L5" s="19"/>
      <c r="M5" s="36">
        <v>3</v>
      </c>
      <c r="N5" s="19"/>
      <c r="O5" s="19"/>
      <c r="P5" s="19"/>
      <c r="Q5" s="19"/>
      <c r="R5" s="19"/>
      <c r="T5" s="41"/>
      <c r="U5" s="41"/>
      <c r="V5" s="40" t="s">
        <v>516</v>
      </c>
      <c r="W5" s="40">
        <v>0</v>
      </c>
      <c r="X5" s="40" t="s">
        <v>6</v>
      </c>
      <c r="Y5" s="40">
        <v>1</v>
      </c>
      <c r="Z5" s="40" t="s">
        <v>6</v>
      </c>
      <c r="AA5" s="40">
        <v>4</v>
      </c>
      <c r="AB5" s="40" t="s">
        <v>864</v>
      </c>
      <c r="AC5" s="40">
        <v>3.7</v>
      </c>
    </row>
    <row r="6" spans="1:29" ht="16.5" customHeight="1">
      <c r="A6" s="28" t="s">
        <v>20</v>
      </c>
      <c r="B6" s="19" t="s">
        <v>774</v>
      </c>
      <c r="C6" s="19" t="s">
        <v>13</v>
      </c>
      <c r="D6" s="19" t="s">
        <v>13</v>
      </c>
      <c r="E6" s="19" t="s">
        <v>13</v>
      </c>
      <c r="F6" s="19" t="s">
        <v>516</v>
      </c>
      <c r="G6" s="19" t="s">
        <v>13</v>
      </c>
      <c r="H6" s="19" t="s">
        <v>13</v>
      </c>
      <c r="I6" s="19" t="s">
        <v>13</v>
      </c>
      <c r="J6" s="19" t="s">
        <v>13</v>
      </c>
      <c r="K6" s="19"/>
      <c r="L6" s="19"/>
      <c r="M6" s="36" t="s">
        <v>20</v>
      </c>
      <c r="N6" s="19"/>
      <c r="O6" s="19"/>
      <c r="P6" s="19"/>
      <c r="Q6" s="19"/>
      <c r="R6" s="19" t="s">
        <v>6</v>
      </c>
      <c r="T6" s="41"/>
      <c r="U6" s="41"/>
      <c r="V6" s="40" t="s">
        <v>7</v>
      </c>
      <c r="W6" s="40">
        <v>3</v>
      </c>
      <c r="X6" s="40" t="s">
        <v>23</v>
      </c>
      <c r="Y6" s="40">
        <v>2</v>
      </c>
      <c r="Z6" s="40" t="s">
        <v>23</v>
      </c>
      <c r="AA6" s="40">
        <v>1.8</v>
      </c>
      <c r="AB6" s="40" t="s">
        <v>875</v>
      </c>
      <c r="AC6" s="40">
        <v>4.8</v>
      </c>
    </row>
    <row r="7" spans="1:29" ht="16.5" customHeight="1">
      <c r="A7" s="28" t="s">
        <v>0</v>
      </c>
      <c r="B7" s="19" t="s">
        <v>37</v>
      </c>
      <c r="C7" s="19" t="s">
        <v>13</v>
      </c>
      <c r="D7" s="19" t="s">
        <v>9</v>
      </c>
      <c r="E7" s="19" t="s">
        <v>13</v>
      </c>
      <c r="F7" s="19" t="s">
        <v>356</v>
      </c>
      <c r="G7" s="19" t="s">
        <v>13</v>
      </c>
      <c r="H7" s="19" t="s">
        <v>13</v>
      </c>
      <c r="I7" s="19" t="s">
        <v>13</v>
      </c>
      <c r="J7" s="19" t="s">
        <v>13</v>
      </c>
      <c r="K7" s="19"/>
      <c r="L7" s="19"/>
      <c r="M7" s="36" t="s">
        <v>0</v>
      </c>
      <c r="N7" s="19"/>
      <c r="O7" s="19"/>
      <c r="P7" s="19"/>
      <c r="Q7" s="19"/>
      <c r="R7" s="19" t="s">
        <v>875</v>
      </c>
      <c r="T7" s="41"/>
      <c r="U7" s="41"/>
      <c r="V7" s="40" t="s">
        <v>21</v>
      </c>
      <c r="W7" s="40">
        <v>2</v>
      </c>
      <c r="X7" s="40" t="s">
        <v>153</v>
      </c>
      <c r="Y7" s="40">
        <v>2</v>
      </c>
      <c r="Z7" s="40" t="s">
        <v>25</v>
      </c>
      <c r="AA7" s="40">
        <v>6</v>
      </c>
    </row>
    <row r="8" spans="1:29" ht="16.5" customHeight="1">
      <c r="A8" s="28" t="s">
        <v>1</v>
      </c>
      <c r="B8" s="19"/>
      <c r="C8" s="19"/>
      <c r="D8" s="19"/>
      <c r="E8" s="19"/>
      <c r="F8" s="19"/>
      <c r="G8" s="19"/>
      <c r="H8" s="19"/>
      <c r="I8" s="19"/>
      <c r="J8" s="19"/>
      <c r="K8" s="19"/>
      <c r="L8" s="19"/>
      <c r="M8" s="36" t="s">
        <v>1</v>
      </c>
      <c r="N8" s="19"/>
      <c r="O8" s="19"/>
      <c r="P8" s="19"/>
      <c r="Q8" s="19"/>
      <c r="R8" s="19"/>
      <c r="T8" s="41"/>
      <c r="V8" s="40" t="s">
        <v>26</v>
      </c>
      <c r="W8" s="40">
        <v>2</v>
      </c>
      <c r="X8" s="40" t="s">
        <v>327</v>
      </c>
      <c r="Y8" s="40">
        <v>1</v>
      </c>
      <c r="Z8" s="40" t="s">
        <v>327</v>
      </c>
      <c r="AA8" s="40">
        <v>2.9</v>
      </c>
    </row>
    <row r="9" spans="1:29" ht="16.5" customHeight="1">
      <c r="A9" s="28" t="s">
        <v>366</v>
      </c>
      <c r="B9" s="19"/>
      <c r="C9" s="19"/>
      <c r="D9" s="19"/>
      <c r="E9" s="19"/>
      <c r="F9" s="19"/>
      <c r="G9" s="19"/>
      <c r="H9" s="19"/>
      <c r="I9" s="19"/>
      <c r="J9" s="19"/>
      <c r="K9" s="19"/>
      <c r="L9" s="19"/>
      <c r="M9" s="36" t="s">
        <v>366</v>
      </c>
      <c r="N9" s="19"/>
      <c r="O9" s="19"/>
      <c r="P9" s="19"/>
      <c r="Q9" s="19"/>
      <c r="R9" s="19"/>
      <c r="T9" s="41"/>
      <c r="V9" s="40" t="s">
        <v>27</v>
      </c>
      <c r="W9" s="40">
        <v>3</v>
      </c>
      <c r="X9" s="40" t="s">
        <v>28</v>
      </c>
      <c r="Y9" s="40">
        <v>2</v>
      </c>
      <c r="Z9" s="40" t="s">
        <v>516</v>
      </c>
      <c r="AA9" s="40">
        <v>3</v>
      </c>
    </row>
    <row r="10" spans="1:29" ht="16.5" customHeight="1">
      <c r="A10" s="23" t="s">
        <v>354</v>
      </c>
      <c r="B10" s="25">
        <v>44687</v>
      </c>
      <c r="C10" s="30">
        <v>44688</v>
      </c>
      <c r="D10" s="30">
        <v>44689</v>
      </c>
      <c r="E10" s="25">
        <v>44690</v>
      </c>
      <c r="F10" s="25">
        <v>44691</v>
      </c>
      <c r="G10" s="25">
        <v>44692</v>
      </c>
      <c r="H10" s="25">
        <v>44693</v>
      </c>
      <c r="I10" s="25">
        <v>44694</v>
      </c>
      <c r="J10" s="30">
        <v>44695</v>
      </c>
      <c r="K10" s="30">
        <v>44696</v>
      </c>
      <c r="L10" s="25">
        <v>44697</v>
      </c>
      <c r="M10" s="25">
        <v>44698</v>
      </c>
      <c r="N10" s="25">
        <v>44699</v>
      </c>
      <c r="O10" s="25">
        <v>44700</v>
      </c>
      <c r="P10" s="25">
        <v>44701</v>
      </c>
      <c r="Q10" s="19"/>
      <c r="R10" s="19"/>
      <c r="T10" s="41"/>
      <c r="V10" s="40" t="s">
        <v>533</v>
      </c>
      <c r="W10" s="40">
        <v>2</v>
      </c>
      <c r="X10" s="40" t="s">
        <v>152</v>
      </c>
      <c r="Y10" s="40">
        <v>2</v>
      </c>
    </row>
    <row r="11" spans="1:29" ht="16.5" customHeight="1">
      <c r="A11" s="36">
        <v>1</v>
      </c>
      <c r="B11" s="19"/>
      <c r="C11" s="19" t="s">
        <v>2</v>
      </c>
      <c r="D11" s="19" t="s">
        <v>315</v>
      </c>
      <c r="E11" s="19"/>
      <c r="F11" s="19"/>
      <c r="G11" s="19"/>
      <c r="H11" s="19"/>
      <c r="I11" s="19"/>
      <c r="J11" s="19" t="s">
        <v>516</v>
      </c>
      <c r="K11" s="19" t="s">
        <v>107</v>
      </c>
      <c r="L11" s="19"/>
      <c r="M11" s="19"/>
      <c r="N11" s="19"/>
      <c r="O11" s="19"/>
      <c r="P11" s="19"/>
      <c r="Q11" s="19"/>
      <c r="R11" s="19"/>
      <c r="T11" s="41"/>
      <c r="X11" s="40" t="s">
        <v>516</v>
      </c>
      <c r="Y11" s="40">
        <v>1</v>
      </c>
    </row>
    <row r="12" spans="1:29" ht="16.5" customHeight="1">
      <c r="A12" s="36">
        <v>2</v>
      </c>
      <c r="B12" s="19"/>
      <c r="C12" s="19" t="s">
        <v>774</v>
      </c>
      <c r="D12" s="19" t="s">
        <v>93</v>
      </c>
      <c r="E12" s="19"/>
      <c r="F12" s="19"/>
      <c r="G12" s="19"/>
      <c r="H12" s="19"/>
      <c r="I12" s="19"/>
      <c r="J12" s="19" t="s">
        <v>769</v>
      </c>
      <c r="K12" s="19" t="s">
        <v>313</v>
      </c>
      <c r="L12" s="19"/>
      <c r="M12" s="19"/>
      <c r="N12" s="19"/>
      <c r="O12" s="19"/>
      <c r="P12" s="19"/>
      <c r="Q12" s="19"/>
      <c r="R12" s="19"/>
      <c r="T12" s="41"/>
    </row>
    <row r="13" spans="1:29" ht="16.5" customHeight="1">
      <c r="A13" s="36">
        <v>3</v>
      </c>
      <c r="B13" s="19"/>
      <c r="C13" s="19" t="s">
        <v>855</v>
      </c>
      <c r="D13" s="19" t="s">
        <v>855</v>
      </c>
      <c r="E13" s="19"/>
      <c r="F13" s="19"/>
      <c r="G13" s="19"/>
      <c r="H13" s="19"/>
      <c r="I13" s="19"/>
      <c r="J13" s="19" t="s">
        <v>855</v>
      </c>
      <c r="K13" s="19" t="s">
        <v>855</v>
      </c>
      <c r="L13" s="19"/>
      <c r="M13" s="19"/>
      <c r="N13" s="19"/>
      <c r="O13" s="19"/>
      <c r="P13" s="19"/>
      <c r="Q13" s="19"/>
      <c r="R13" s="19"/>
      <c r="T13" s="41"/>
    </row>
    <row r="14" spans="1:29" ht="16.5" customHeight="1">
      <c r="A14" s="36" t="s">
        <v>20</v>
      </c>
      <c r="B14" s="19" t="s">
        <v>6</v>
      </c>
      <c r="C14" s="19" t="s">
        <v>13</v>
      </c>
      <c r="D14" s="19" t="s">
        <v>13</v>
      </c>
      <c r="E14" s="19" t="s">
        <v>153</v>
      </c>
      <c r="F14" s="19" t="s">
        <v>13</v>
      </c>
      <c r="G14" s="19" t="s">
        <v>13</v>
      </c>
      <c r="H14" s="19" t="s">
        <v>13</v>
      </c>
      <c r="I14" s="19" t="s">
        <v>13</v>
      </c>
      <c r="J14" s="19" t="s">
        <v>13</v>
      </c>
      <c r="K14" s="19" t="s">
        <v>13</v>
      </c>
      <c r="L14" s="19" t="s">
        <v>25</v>
      </c>
      <c r="M14" s="19" t="s">
        <v>13</v>
      </c>
      <c r="N14" s="19" t="s">
        <v>13</v>
      </c>
      <c r="O14" s="19" t="s">
        <v>13</v>
      </c>
      <c r="P14" s="19" t="s">
        <v>13</v>
      </c>
      <c r="Q14" s="19"/>
      <c r="R14" s="19"/>
      <c r="T14" s="41"/>
    </row>
    <row r="15" spans="1:29" ht="16.5" customHeight="1">
      <c r="A15" s="36" t="s">
        <v>0</v>
      </c>
      <c r="B15" s="19" t="s">
        <v>875</v>
      </c>
      <c r="C15" s="19" t="s">
        <v>9</v>
      </c>
      <c r="D15" s="19" t="s">
        <v>13</v>
      </c>
      <c r="E15" s="19" t="s">
        <v>356</v>
      </c>
      <c r="F15" s="19" t="s">
        <v>13</v>
      </c>
      <c r="G15" s="19" t="s">
        <v>13</v>
      </c>
      <c r="H15" s="19" t="s">
        <v>13</v>
      </c>
      <c r="I15" s="19" t="s">
        <v>13</v>
      </c>
      <c r="J15" s="19" t="s">
        <v>9</v>
      </c>
      <c r="K15" s="19" t="s">
        <v>13</v>
      </c>
      <c r="L15" s="19" t="s">
        <v>863</v>
      </c>
      <c r="M15" s="19" t="s">
        <v>13</v>
      </c>
      <c r="N15" s="19" t="s">
        <v>13</v>
      </c>
      <c r="O15" s="19" t="s">
        <v>13</v>
      </c>
      <c r="P15" s="19" t="s">
        <v>13</v>
      </c>
      <c r="Q15" s="19"/>
      <c r="R15" s="19"/>
      <c r="T15" s="41"/>
      <c r="V15" s="40" t="s">
        <v>696</v>
      </c>
      <c r="W15" s="40">
        <f>SUM(W2:W14)</f>
        <v>16</v>
      </c>
      <c r="Y15" s="40">
        <f>SUM(Y2:Y14)</f>
        <v>16</v>
      </c>
    </row>
    <row r="16" spans="1:29" ht="16.5" customHeight="1">
      <c r="A16" s="36" t="s">
        <v>1</v>
      </c>
      <c r="B16" s="19"/>
      <c r="C16" s="19"/>
      <c r="D16" s="19"/>
      <c r="E16" s="19"/>
      <c r="F16" s="19"/>
      <c r="G16" s="19"/>
      <c r="H16" s="19"/>
      <c r="I16" s="19"/>
      <c r="J16" s="19"/>
      <c r="K16" s="19"/>
      <c r="L16" s="19"/>
      <c r="M16" s="19"/>
      <c r="N16" s="19"/>
      <c r="O16" s="19"/>
      <c r="P16" s="19"/>
      <c r="Q16" s="19"/>
      <c r="R16" s="19"/>
      <c r="T16" s="41"/>
    </row>
    <row r="17" spans="1:29" ht="16.5" customHeight="1">
      <c r="A17" s="36" t="s">
        <v>366</v>
      </c>
      <c r="B17" s="19"/>
      <c r="C17" s="19"/>
      <c r="D17" s="19"/>
      <c r="E17" s="19"/>
      <c r="F17" s="19"/>
      <c r="G17" s="19"/>
      <c r="H17" s="19"/>
      <c r="I17" s="19"/>
      <c r="J17" s="19"/>
      <c r="K17" s="19"/>
      <c r="L17" s="19"/>
      <c r="M17" s="19"/>
      <c r="N17" s="19"/>
      <c r="O17" s="19"/>
      <c r="P17" s="19"/>
      <c r="Q17" s="19"/>
      <c r="R17" s="19"/>
      <c r="T17" s="41"/>
    </row>
    <row r="18" spans="1:29" ht="11.25" customHeight="1">
      <c r="A18" s="42"/>
      <c r="B18" s="37"/>
      <c r="C18" s="37"/>
      <c r="D18" s="37"/>
      <c r="E18" s="37"/>
      <c r="F18" s="37"/>
      <c r="G18" s="37"/>
      <c r="H18" s="38"/>
      <c r="I18" s="38"/>
      <c r="J18" s="38"/>
      <c r="K18" s="38"/>
      <c r="L18" s="38"/>
      <c r="M18" s="38"/>
      <c r="N18" s="38"/>
      <c r="O18" s="38"/>
      <c r="P18" s="37"/>
      <c r="Q18" s="37"/>
      <c r="R18" s="39"/>
      <c r="T18" s="41"/>
      <c r="X18" s="40" t="s">
        <v>116</v>
      </c>
    </row>
    <row r="19" spans="1:29" ht="16.5" customHeight="1">
      <c r="A19" s="23" t="s">
        <v>354</v>
      </c>
      <c r="B19" s="30">
        <v>44702</v>
      </c>
      <c r="C19" s="30">
        <v>44703</v>
      </c>
      <c r="D19" s="25">
        <v>44704</v>
      </c>
      <c r="E19" s="25">
        <v>44705</v>
      </c>
      <c r="F19" s="25">
        <v>44706</v>
      </c>
      <c r="G19" s="25">
        <v>44707</v>
      </c>
      <c r="H19" s="25">
        <v>44708</v>
      </c>
      <c r="I19" s="30">
        <v>44709</v>
      </c>
      <c r="J19" s="30">
        <v>44710</v>
      </c>
      <c r="K19" s="25">
        <v>44711</v>
      </c>
      <c r="L19" s="25">
        <v>44712</v>
      </c>
      <c r="M19" s="26" t="s">
        <v>355</v>
      </c>
      <c r="N19" s="27">
        <v>44713</v>
      </c>
      <c r="O19" s="27">
        <v>44714</v>
      </c>
      <c r="P19" s="27">
        <v>44715</v>
      </c>
      <c r="Q19" s="31">
        <v>44716</v>
      </c>
      <c r="R19" s="31">
        <v>44717</v>
      </c>
      <c r="T19" s="41"/>
      <c r="V19" s="40" t="s">
        <v>63</v>
      </c>
      <c r="X19" s="40" t="s">
        <v>64</v>
      </c>
      <c r="Z19" s="40" t="s">
        <v>169</v>
      </c>
      <c r="AB19" s="40" t="s">
        <v>874</v>
      </c>
    </row>
    <row r="20" spans="1:29" ht="16.5" customHeight="1">
      <c r="A20" s="36">
        <v>1</v>
      </c>
      <c r="B20" s="19" t="s">
        <v>533</v>
      </c>
      <c r="C20" s="19" t="s">
        <v>7</v>
      </c>
      <c r="D20" s="19"/>
      <c r="E20" s="19"/>
      <c r="F20" s="19"/>
      <c r="G20" s="19"/>
      <c r="H20" s="19"/>
      <c r="I20" s="19" t="s">
        <v>899</v>
      </c>
      <c r="J20" s="19" t="s">
        <v>2</v>
      </c>
      <c r="K20" s="19"/>
      <c r="L20" s="19"/>
      <c r="M20" s="28">
        <v>1</v>
      </c>
      <c r="N20" s="19"/>
      <c r="O20" s="19"/>
      <c r="P20" s="19"/>
      <c r="Q20" s="19" t="s">
        <v>107</v>
      </c>
      <c r="R20" s="19" t="s">
        <v>25</v>
      </c>
      <c r="T20" s="41"/>
      <c r="V20" s="40" t="s">
        <v>25</v>
      </c>
      <c r="W20" s="40">
        <v>1</v>
      </c>
      <c r="X20" s="40" t="s">
        <v>45</v>
      </c>
      <c r="Y20" s="40">
        <v>2</v>
      </c>
      <c r="Z20" s="40" t="s">
        <v>153</v>
      </c>
      <c r="AA20" s="40">
        <v>4</v>
      </c>
      <c r="AB20" s="40" t="s">
        <v>37</v>
      </c>
      <c r="AC20" s="40">
        <v>1</v>
      </c>
    </row>
    <row r="21" spans="1:29" ht="16.5" customHeight="1">
      <c r="A21" s="36">
        <v>2</v>
      </c>
      <c r="B21" s="19" t="s">
        <v>857</v>
      </c>
      <c r="C21" s="19" t="s">
        <v>6</v>
      </c>
      <c r="D21" s="19"/>
      <c r="E21" s="19"/>
      <c r="F21" s="19"/>
      <c r="G21" s="19"/>
      <c r="H21" s="19"/>
      <c r="I21" s="19" t="s">
        <v>153</v>
      </c>
      <c r="J21" s="19" t="s">
        <v>814</v>
      </c>
      <c r="K21" s="19"/>
      <c r="L21" s="19"/>
      <c r="M21" s="28">
        <v>2</v>
      </c>
      <c r="N21" s="19"/>
      <c r="O21" s="19"/>
      <c r="P21" s="19"/>
      <c r="Q21" s="19" t="s">
        <v>93</v>
      </c>
      <c r="R21" s="19" t="s">
        <v>516</v>
      </c>
      <c r="T21" s="41"/>
      <c r="V21" s="40" t="s">
        <v>2</v>
      </c>
      <c r="W21" s="40">
        <v>3</v>
      </c>
      <c r="X21" s="40" t="s">
        <v>14</v>
      </c>
      <c r="Y21" s="40">
        <v>2</v>
      </c>
      <c r="Z21" s="40" t="s">
        <v>26</v>
      </c>
      <c r="AA21" s="40">
        <v>6</v>
      </c>
      <c r="AB21" s="40" t="s">
        <v>863</v>
      </c>
      <c r="AC21" s="40">
        <v>5</v>
      </c>
    </row>
    <row r="22" spans="1:29" ht="16.5" customHeight="1">
      <c r="A22" s="36">
        <v>3</v>
      </c>
      <c r="B22" s="19" t="s">
        <v>855</v>
      </c>
      <c r="C22" s="19" t="s">
        <v>855</v>
      </c>
      <c r="D22" s="19"/>
      <c r="E22" s="19"/>
      <c r="F22" s="19"/>
      <c r="G22" s="19"/>
      <c r="H22" s="19"/>
      <c r="I22" s="19" t="s">
        <v>855</v>
      </c>
      <c r="J22" s="19" t="s">
        <v>855</v>
      </c>
      <c r="K22" s="19"/>
      <c r="L22" s="19"/>
      <c r="M22" s="28">
        <v>3</v>
      </c>
      <c r="N22" s="19"/>
      <c r="O22" s="19"/>
      <c r="P22" s="19"/>
      <c r="Q22" s="19" t="s">
        <v>855</v>
      </c>
      <c r="R22" s="19" t="s">
        <v>855</v>
      </c>
      <c r="T22" s="41"/>
      <c r="V22" s="40" t="s">
        <v>516</v>
      </c>
      <c r="W22" s="40">
        <v>1</v>
      </c>
      <c r="X22" s="40" t="s">
        <v>6</v>
      </c>
      <c r="Y22" s="40">
        <v>2</v>
      </c>
      <c r="Z22" s="40" t="s">
        <v>6</v>
      </c>
      <c r="AA22" s="40" t="s">
        <v>898</v>
      </c>
      <c r="AB22" s="40" t="s">
        <v>864</v>
      </c>
      <c r="AC22" s="40">
        <v>7</v>
      </c>
    </row>
    <row r="23" spans="1:29" ht="16.5" customHeight="1">
      <c r="A23" s="36" t="s">
        <v>20</v>
      </c>
      <c r="B23" s="19" t="s">
        <v>25</v>
      </c>
      <c r="C23" s="19" t="s">
        <v>13</v>
      </c>
      <c r="D23" s="19" t="s">
        <v>312</v>
      </c>
      <c r="E23" s="19" t="s">
        <v>13</v>
      </c>
      <c r="F23" s="19" t="s">
        <v>13</v>
      </c>
      <c r="G23" s="19" t="s">
        <v>13</v>
      </c>
      <c r="H23" s="19" t="s">
        <v>13</v>
      </c>
      <c r="I23" s="19" t="s">
        <v>13</v>
      </c>
      <c r="J23" s="19" t="s">
        <v>13</v>
      </c>
      <c r="K23" s="19" t="s">
        <v>769</v>
      </c>
      <c r="L23" s="19" t="s">
        <v>13</v>
      </c>
      <c r="M23" s="28" t="s">
        <v>20</v>
      </c>
      <c r="N23" s="19" t="s">
        <v>13</v>
      </c>
      <c r="O23" s="19" t="s">
        <v>13</v>
      </c>
      <c r="P23" s="19" t="s">
        <v>13</v>
      </c>
      <c r="Q23" s="19" t="s">
        <v>13</v>
      </c>
      <c r="R23" s="19" t="s">
        <v>13</v>
      </c>
      <c r="T23" s="41"/>
      <c r="V23" s="40" t="s">
        <v>7</v>
      </c>
      <c r="W23" s="40">
        <v>2</v>
      </c>
      <c r="X23" s="40" t="s">
        <v>23</v>
      </c>
      <c r="Y23" s="40">
        <v>2</v>
      </c>
      <c r="Z23" s="40" t="s">
        <v>23</v>
      </c>
      <c r="AA23" s="40">
        <v>7</v>
      </c>
      <c r="AB23" s="40" t="s">
        <v>875</v>
      </c>
      <c r="AC23" s="40" t="s">
        <v>895</v>
      </c>
    </row>
    <row r="24" spans="1:29" ht="16.5" customHeight="1">
      <c r="A24" s="36" t="s">
        <v>0</v>
      </c>
      <c r="B24" s="19" t="s">
        <v>9</v>
      </c>
      <c r="C24" s="19" t="s">
        <v>13</v>
      </c>
      <c r="D24" s="19" t="s">
        <v>356</v>
      </c>
      <c r="E24" s="19" t="s">
        <v>13</v>
      </c>
      <c r="F24" s="19" t="s">
        <v>13</v>
      </c>
      <c r="G24" s="19" t="s">
        <v>13</v>
      </c>
      <c r="H24" s="19" t="s">
        <v>13</v>
      </c>
      <c r="I24" s="19" t="s">
        <v>9</v>
      </c>
      <c r="J24" s="19" t="s">
        <v>13</v>
      </c>
      <c r="K24" s="19" t="s">
        <v>864</v>
      </c>
      <c r="L24" s="19" t="s">
        <v>13</v>
      </c>
      <c r="M24" s="28" t="s">
        <v>0</v>
      </c>
      <c r="N24" s="19" t="s">
        <v>13</v>
      </c>
      <c r="O24" s="19" t="s">
        <v>13</v>
      </c>
      <c r="P24" s="19" t="s">
        <v>13</v>
      </c>
      <c r="Q24" s="19" t="s">
        <v>9</v>
      </c>
      <c r="R24" s="19" t="s">
        <v>13</v>
      </c>
      <c r="T24" s="41"/>
      <c r="V24" s="40" t="s">
        <v>21</v>
      </c>
      <c r="W24" s="40">
        <v>2</v>
      </c>
      <c r="X24" s="40" t="s">
        <v>153</v>
      </c>
      <c r="Y24" s="40">
        <v>1</v>
      </c>
      <c r="Z24" s="40" t="s">
        <v>25</v>
      </c>
      <c r="AA24" s="40">
        <v>5</v>
      </c>
      <c r="AB24" s="40" t="s">
        <v>356</v>
      </c>
      <c r="AC24" s="40" t="s">
        <v>896</v>
      </c>
    </row>
    <row r="25" spans="1:29" ht="16.5" customHeight="1">
      <c r="A25" s="36" t="s">
        <v>1</v>
      </c>
      <c r="B25" s="19"/>
      <c r="C25" s="19"/>
      <c r="D25" s="19"/>
      <c r="E25" s="19"/>
      <c r="F25" s="19"/>
      <c r="G25" s="19"/>
      <c r="H25" s="19"/>
      <c r="I25" s="19"/>
      <c r="J25" s="19"/>
      <c r="K25" s="19"/>
      <c r="L25" s="19"/>
      <c r="M25" s="28" t="s">
        <v>1</v>
      </c>
      <c r="N25" s="19"/>
      <c r="O25" s="19"/>
      <c r="P25" s="19"/>
      <c r="Q25" s="19"/>
      <c r="R25" s="19"/>
      <c r="T25" s="41"/>
      <c r="V25" s="40" t="s">
        <v>26</v>
      </c>
      <c r="W25" s="40">
        <v>2</v>
      </c>
      <c r="X25" s="40" t="s">
        <v>327</v>
      </c>
      <c r="Y25" s="40">
        <v>1</v>
      </c>
      <c r="Z25" s="40" t="s">
        <v>327</v>
      </c>
      <c r="AA25" s="40" t="s">
        <v>897</v>
      </c>
    </row>
    <row r="26" spans="1:29" ht="16.5" customHeight="1">
      <c r="A26" s="36" t="s">
        <v>366</v>
      </c>
      <c r="B26" s="19"/>
      <c r="C26" s="19"/>
      <c r="D26" s="19"/>
      <c r="E26" s="19"/>
      <c r="F26" s="19"/>
      <c r="G26" s="19"/>
      <c r="H26" s="19"/>
      <c r="I26" s="19"/>
      <c r="J26" s="19"/>
      <c r="K26" s="19"/>
      <c r="L26" s="19"/>
      <c r="M26" s="28" t="s">
        <v>366</v>
      </c>
      <c r="N26" s="19"/>
      <c r="O26" s="19"/>
      <c r="P26" s="19"/>
      <c r="Q26" s="19"/>
      <c r="R26" s="19"/>
      <c r="T26" s="41"/>
      <c r="V26" s="40" t="s">
        <v>27</v>
      </c>
      <c r="W26" s="40">
        <v>2</v>
      </c>
      <c r="X26" s="40" t="s">
        <v>28</v>
      </c>
      <c r="Y26" s="40">
        <v>2</v>
      </c>
      <c r="Z26" s="40" t="s">
        <v>516</v>
      </c>
      <c r="AA26" s="40" t="s">
        <v>846</v>
      </c>
    </row>
    <row r="27" spans="1:29" ht="16.5" customHeight="1">
      <c r="A27" s="26" t="s">
        <v>355</v>
      </c>
      <c r="B27" s="27">
        <v>44718</v>
      </c>
      <c r="C27" s="27">
        <v>44719</v>
      </c>
      <c r="D27" s="27">
        <v>44720</v>
      </c>
      <c r="E27" s="27">
        <v>44721</v>
      </c>
      <c r="F27" s="27">
        <v>44722</v>
      </c>
      <c r="G27" s="31">
        <v>44723</v>
      </c>
      <c r="H27" s="31">
        <v>44724</v>
      </c>
      <c r="I27" s="27">
        <v>44725</v>
      </c>
      <c r="J27" s="27">
        <v>44726</v>
      </c>
      <c r="K27" s="27">
        <v>44727</v>
      </c>
      <c r="L27" s="27">
        <v>44728</v>
      </c>
      <c r="M27" s="27">
        <v>44729</v>
      </c>
      <c r="N27" s="31">
        <v>44730</v>
      </c>
      <c r="O27" s="31">
        <v>44731</v>
      </c>
      <c r="P27" s="27">
        <v>44732</v>
      </c>
      <c r="Q27" s="19"/>
      <c r="R27" s="19"/>
      <c r="T27" s="41"/>
      <c r="V27" s="40" t="s">
        <v>533</v>
      </c>
      <c r="W27" s="40">
        <v>3</v>
      </c>
      <c r="X27" s="40" t="s">
        <v>152</v>
      </c>
      <c r="Y27" s="40">
        <v>3</v>
      </c>
    </row>
    <row r="28" spans="1:29" ht="16.5" customHeight="1">
      <c r="A28" s="28">
        <v>1</v>
      </c>
      <c r="B28" s="19"/>
      <c r="C28" s="19"/>
      <c r="D28" s="19"/>
      <c r="E28" s="19"/>
      <c r="F28" s="19"/>
      <c r="G28" s="19" t="s">
        <v>7</v>
      </c>
      <c r="H28" s="19" t="s">
        <v>312</v>
      </c>
      <c r="I28" s="19"/>
      <c r="J28" s="19"/>
      <c r="K28" s="19"/>
      <c r="L28" s="19"/>
      <c r="M28" s="19"/>
      <c r="N28" s="19" t="s">
        <v>2</v>
      </c>
      <c r="O28" s="19" t="s">
        <v>533</v>
      </c>
      <c r="P28" s="19"/>
      <c r="Q28" s="19"/>
      <c r="R28" s="19"/>
      <c r="T28" s="41"/>
      <c r="X28" s="40" t="s">
        <v>516</v>
      </c>
      <c r="Y28" s="40">
        <v>1</v>
      </c>
    </row>
    <row r="29" spans="1:29" ht="16.5" customHeight="1">
      <c r="A29" s="28">
        <v>2</v>
      </c>
      <c r="B29" s="19"/>
      <c r="C29" s="19"/>
      <c r="D29" s="19"/>
      <c r="E29" s="19"/>
      <c r="F29" s="19"/>
      <c r="G29" s="19" t="s">
        <v>313</v>
      </c>
      <c r="H29" s="19" t="s">
        <v>857</v>
      </c>
      <c r="I29" s="19"/>
      <c r="J29" s="19"/>
      <c r="K29" s="19"/>
      <c r="L29" s="19"/>
      <c r="M29" s="19"/>
      <c r="N29" s="19" t="s">
        <v>814</v>
      </c>
      <c r="O29" s="19" t="s">
        <v>769</v>
      </c>
      <c r="P29" s="19"/>
      <c r="Q29" s="19"/>
      <c r="R29" s="19"/>
      <c r="T29" s="41"/>
    </row>
    <row r="30" spans="1:29" ht="16.5" customHeight="1">
      <c r="A30" s="28">
        <v>3</v>
      </c>
      <c r="B30" s="19"/>
      <c r="C30" s="19"/>
      <c r="D30" s="19"/>
      <c r="E30" s="19"/>
      <c r="F30" s="19"/>
      <c r="G30" s="19" t="s">
        <v>855</v>
      </c>
      <c r="H30" s="19" t="s">
        <v>855</v>
      </c>
      <c r="I30" s="19"/>
      <c r="J30" s="19"/>
      <c r="K30" s="19"/>
      <c r="L30" s="19"/>
      <c r="M30" s="19"/>
      <c r="N30" s="19" t="s">
        <v>855</v>
      </c>
      <c r="O30" s="19" t="s">
        <v>855</v>
      </c>
      <c r="P30" s="19"/>
      <c r="Q30" s="19"/>
      <c r="R30" s="19"/>
      <c r="T30" s="41"/>
    </row>
    <row r="31" spans="1:29" ht="16.5" customHeight="1">
      <c r="A31" s="28" t="s">
        <v>20</v>
      </c>
      <c r="B31" s="19" t="s">
        <v>774</v>
      </c>
      <c r="C31" s="19" t="s">
        <v>13</v>
      </c>
      <c r="D31" s="19" t="s">
        <v>13</v>
      </c>
      <c r="E31" s="19" t="s">
        <v>13</v>
      </c>
      <c r="F31" s="19" t="s">
        <v>13</v>
      </c>
      <c r="G31" s="19" t="s">
        <v>13</v>
      </c>
      <c r="H31" s="19" t="s">
        <v>13</v>
      </c>
      <c r="I31" s="19" t="s">
        <v>516</v>
      </c>
      <c r="J31" s="19" t="s">
        <v>13</v>
      </c>
      <c r="K31" s="19" t="s">
        <v>13</v>
      </c>
      <c r="L31" s="19" t="s">
        <v>13</v>
      </c>
      <c r="M31" s="19" t="s">
        <v>13</v>
      </c>
      <c r="N31" s="19" t="s">
        <v>13</v>
      </c>
      <c r="O31" s="19" t="s">
        <v>13</v>
      </c>
      <c r="P31" s="19" t="s">
        <v>6</v>
      </c>
      <c r="Q31" s="19"/>
      <c r="R31" s="19"/>
      <c r="T31" s="41"/>
    </row>
    <row r="32" spans="1:29" ht="16.5" customHeight="1">
      <c r="A32" s="28" t="s">
        <v>0</v>
      </c>
      <c r="B32" s="19" t="s">
        <v>356</v>
      </c>
      <c r="C32" s="19" t="s">
        <v>13</v>
      </c>
      <c r="D32" s="19" t="s">
        <v>13</v>
      </c>
      <c r="E32" s="19" t="s">
        <v>13</v>
      </c>
      <c r="F32" s="19" t="s">
        <v>13</v>
      </c>
      <c r="G32" s="19" t="s">
        <v>9</v>
      </c>
      <c r="H32" s="19" t="s">
        <v>13</v>
      </c>
      <c r="I32" s="19" t="s">
        <v>875</v>
      </c>
      <c r="J32" s="19" t="s">
        <v>13</v>
      </c>
      <c r="K32" s="19" t="s">
        <v>13</v>
      </c>
      <c r="L32" s="19" t="s">
        <v>13</v>
      </c>
      <c r="M32" s="19" t="s">
        <v>13</v>
      </c>
      <c r="N32" s="19" t="s">
        <v>9</v>
      </c>
      <c r="O32" s="19" t="s">
        <v>13</v>
      </c>
      <c r="P32" s="19" t="s">
        <v>356</v>
      </c>
      <c r="Q32" s="19"/>
      <c r="R32" s="19"/>
      <c r="T32" s="41"/>
      <c r="V32" s="40" t="s">
        <v>696</v>
      </c>
      <c r="W32" s="40">
        <f>SUM(W19:W31)</f>
        <v>16</v>
      </c>
      <c r="Y32" s="40">
        <f>SUM(Y19:Y31)</f>
        <v>16</v>
      </c>
    </row>
    <row r="33" spans="1:20" ht="16.5" customHeight="1">
      <c r="A33" s="28" t="s">
        <v>1</v>
      </c>
      <c r="B33" s="19"/>
      <c r="C33" s="19"/>
      <c r="D33" s="19"/>
      <c r="E33" s="19"/>
      <c r="F33" s="19"/>
      <c r="G33" s="19"/>
      <c r="H33" s="19"/>
      <c r="I33" s="19"/>
      <c r="J33" s="19"/>
      <c r="K33" s="19"/>
      <c r="L33" s="19"/>
      <c r="M33" s="19"/>
      <c r="N33" s="19"/>
      <c r="O33" s="19"/>
      <c r="P33" s="19"/>
      <c r="Q33" s="19"/>
      <c r="R33" s="19"/>
    </row>
    <row r="34" spans="1:20" ht="16.5" customHeight="1">
      <c r="A34" s="28" t="s">
        <v>366</v>
      </c>
      <c r="B34" s="19"/>
      <c r="C34" s="19"/>
      <c r="D34" s="19"/>
      <c r="E34" s="19"/>
      <c r="F34" s="19"/>
      <c r="G34" s="19"/>
      <c r="H34" s="19"/>
      <c r="I34" s="19"/>
      <c r="J34" s="19"/>
      <c r="K34" s="19"/>
      <c r="L34" s="19"/>
      <c r="M34" s="19"/>
      <c r="N34" s="19"/>
      <c r="O34" s="19"/>
      <c r="P34" s="19"/>
      <c r="Q34" s="19"/>
      <c r="R34" s="19"/>
    </row>
    <row r="35" spans="1:20" ht="12.75" customHeight="1">
      <c r="Q35" s="145" t="s">
        <v>82</v>
      </c>
      <c r="R35" s="145"/>
      <c r="T35" s="41"/>
    </row>
    <row r="36" spans="1:20">
      <c r="A36" s="40" t="s">
        <v>322</v>
      </c>
      <c r="B36" s="49"/>
      <c r="C36" s="49"/>
      <c r="D36" s="49"/>
      <c r="E36" s="49"/>
      <c r="F36" s="49"/>
      <c r="G36" s="49"/>
      <c r="H36" s="55"/>
      <c r="I36" s="49"/>
      <c r="J36" s="49"/>
      <c r="K36" s="49"/>
      <c r="L36" s="49"/>
      <c r="M36" s="49"/>
      <c r="N36" s="49"/>
      <c r="O36" s="49"/>
      <c r="T36" s="41"/>
    </row>
    <row r="37" spans="1:20">
      <c r="A37" s="43" t="s">
        <v>883</v>
      </c>
      <c r="B37" s="55" t="s">
        <v>884</v>
      </c>
      <c r="C37" s="55"/>
      <c r="D37" s="55"/>
      <c r="E37" s="55"/>
      <c r="F37" s="55"/>
      <c r="G37" s="55"/>
      <c r="H37" s="55"/>
      <c r="I37" s="55"/>
      <c r="J37" s="55"/>
      <c r="K37" s="55"/>
      <c r="L37" s="55"/>
      <c r="M37" s="55"/>
      <c r="N37" s="55"/>
      <c r="O37" s="55"/>
      <c r="P37" s="43"/>
      <c r="Q37" s="43"/>
      <c r="R37" s="43"/>
      <c r="T37" s="41"/>
    </row>
    <row r="38" spans="1:20">
      <c r="A38" s="43" t="s">
        <v>885</v>
      </c>
      <c r="B38" s="55" t="s">
        <v>886</v>
      </c>
      <c r="C38" s="55"/>
      <c r="D38" s="55"/>
      <c r="E38" s="55"/>
      <c r="F38" s="55"/>
      <c r="G38" s="55"/>
      <c r="H38" s="55"/>
      <c r="I38" s="55"/>
      <c r="J38" s="55"/>
      <c r="K38" s="55"/>
      <c r="L38" s="55"/>
      <c r="M38" s="55"/>
      <c r="N38" s="55"/>
      <c r="O38" s="55"/>
      <c r="P38" s="43"/>
      <c r="Q38" s="43"/>
      <c r="R38" s="43"/>
      <c r="T38" s="41"/>
    </row>
    <row r="39" spans="1:20">
      <c r="A39" s="43" t="s">
        <v>887</v>
      </c>
      <c r="B39" s="55" t="s">
        <v>888</v>
      </c>
      <c r="C39" s="55"/>
      <c r="D39" s="55"/>
      <c r="E39" s="55"/>
      <c r="F39" s="55"/>
      <c r="G39" s="55"/>
      <c r="H39" s="55"/>
      <c r="I39" s="55"/>
      <c r="J39" s="55"/>
      <c r="K39" s="55"/>
      <c r="L39" s="55"/>
      <c r="M39" s="55"/>
      <c r="N39" s="55"/>
      <c r="O39" s="55"/>
      <c r="P39" s="43"/>
      <c r="Q39" s="43"/>
      <c r="R39" s="43"/>
      <c r="T39" s="41"/>
    </row>
    <row r="40" spans="1:20">
      <c r="A40" s="43" t="s">
        <v>889</v>
      </c>
      <c r="B40" s="55" t="s">
        <v>890</v>
      </c>
      <c r="C40" s="55"/>
      <c r="D40" s="55"/>
      <c r="E40" s="55"/>
      <c r="F40" s="55"/>
      <c r="G40" s="55"/>
      <c r="H40" s="55"/>
      <c r="I40" s="55"/>
      <c r="J40" s="55"/>
      <c r="K40" s="55"/>
      <c r="L40" s="55"/>
      <c r="M40" s="55"/>
      <c r="N40" s="55"/>
      <c r="O40" s="55"/>
      <c r="P40" s="43"/>
      <c r="Q40" s="43"/>
      <c r="R40" s="43"/>
    </row>
    <row r="41" spans="1:20">
      <c r="A41" s="43" t="s">
        <v>891</v>
      </c>
      <c r="B41" s="55" t="s">
        <v>892</v>
      </c>
      <c r="C41" s="55"/>
      <c r="D41" s="55"/>
      <c r="E41" s="55"/>
      <c r="F41" s="55"/>
      <c r="G41" s="55"/>
      <c r="H41" s="55"/>
      <c r="I41" s="55"/>
      <c r="J41" s="55"/>
      <c r="K41" s="55"/>
      <c r="L41" s="55"/>
      <c r="M41" s="55"/>
      <c r="N41" s="55"/>
      <c r="O41" s="55"/>
      <c r="P41" s="43"/>
      <c r="Q41" s="43"/>
      <c r="R41" s="43"/>
    </row>
    <row r="42" spans="1:20">
      <c r="A42" s="43" t="s">
        <v>893</v>
      </c>
      <c r="B42" s="55" t="s">
        <v>894</v>
      </c>
      <c r="C42" s="55"/>
      <c r="D42" s="55"/>
      <c r="E42" s="55"/>
      <c r="F42" s="55"/>
      <c r="G42" s="55"/>
      <c r="H42" s="59"/>
      <c r="I42" s="55"/>
      <c r="J42" s="55"/>
      <c r="K42" s="55"/>
      <c r="L42" s="55"/>
      <c r="M42" s="55"/>
      <c r="N42" s="55"/>
      <c r="O42" s="55"/>
      <c r="P42" s="43"/>
      <c r="Q42" s="43"/>
      <c r="R42" s="43"/>
      <c r="T42" s="41"/>
    </row>
    <row r="43" spans="1:20">
      <c r="A43" s="43"/>
      <c r="B43" s="55"/>
      <c r="C43" s="55"/>
      <c r="D43" s="55"/>
      <c r="E43" s="55"/>
      <c r="F43" s="55"/>
      <c r="G43" s="55"/>
      <c r="H43" s="55"/>
      <c r="I43" s="55"/>
      <c r="J43" s="55"/>
      <c r="K43" s="55"/>
      <c r="L43" s="55"/>
      <c r="M43" s="55"/>
      <c r="N43" s="55"/>
      <c r="O43" s="55"/>
      <c r="P43" s="43"/>
      <c r="Q43" s="43"/>
      <c r="R43" s="43"/>
      <c r="T43" s="41"/>
    </row>
    <row r="44" spans="1:20">
      <c r="B44" s="55"/>
      <c r="C44" s="55"/>
      <c r="D44" s="55"/>
      <c r="E44" s="55"/>
      <c r="F44" s="55"/>
      <c r="G44" s="55"/>
      <c r="H44" s="55"/>
      <c r="I44" s="55"/>
      <c r="J44" s="55"/>
      <c r="K44" s="55"/>
      <c r="L44" s="55"/>
      <c r="M44" s="55"/>
      <c r="N44" s="55"/>
      <c r="O44" s="55"/>
      <c r="P44" s="43"/>
      <c r="Q44" s="43"/>
      <c r="R44" s="43"/>
      <c r="T44" s="41"/>
    </row>
    <row r="45" spans="1:20">
      <c r="A45" s="43"/>
      <c r="B45" s="43"/>
      <c r="C45" s="43"/>
      <c r="D45" s="43"/>
      <c r="E45" s="43"/>
      <c r="F45" s="43"/>
      <c r="G45" s="43"/>
      <c r="H45" s="43"/>
      <c r="I45" s="43"/>
      <c r="J45" s="43"/>
      <c r="K45" s="43"/>
      <c r="L45" s="43"/>
      <c r="M45" s="43"/>
      <c r="N45" s="43"/>
      <c r="O45" s="43"/>
      <c r="P45" s="43"/>
      <c r="Q45" s="43"/>
      <c r="R45" s="43"/>
    </row>
    <row r="46" spans="1:20">
      <c r="A46" s="43"/>
      <c r="B46" s="43"/>
      <c r="C46" s="43"/>
      <c r="D46" s="43"/>
      <c r="E46" s="43"/>
      <c r="F46" s="43"/>
      <c r="G46" s="43"/>
      <c r="H46" s="43"/>
      <c r="I46" s="43"/>
      <c r="J46" s="43"/>
      <c r="K46" s="43"/>
      <c r="L46" s="43"/>
      <c r="M46" s="43"/>
      <c r="N46" s="43"/>
      <c r="O46" s="43"/>
      <c r="P46" s="43"/>
      <c r="Q46" s="43"/>
      <c r="R46" s="43"/>
      <c r="T46" s="41"/>
    </row>
    <row r="47" spans="1:20">
      <c r="A47" s="43"/>
      <c r="B47" s="43"/>
      <c r="C47" s="43"/>
      <c r="D47" s="43"/>
      <c r="E47" s="43"/>
      <c r="F47" s="43"/>
      <c r="G47" s="43"/>
      <c r="H47" s="43"/>
      <c r="I47" s="43"/>
      <c r="J47" s="43"/>
      <c r="K47" s="43"/>
      <c r="L47" s="43"/>
      <c r="M47" s="43"/>
      <c r="N47" s="43"/>
      <c r="O47" s="43"/>
      <c r="P47" s="43"/>
      <c r="Q47" s="43"/>
      <c r="R47" s="43"/>
      <c r="T47" s="41"/>
    </row>
    <row r="48" spans="1:20">
      <c r="A48" s="43"/>
      <c r="B48" s="43"/>
      <c r="C48" s="43"/>
      <c r="D48" s="43"/>
      <c r="E48" s="43"/>
      <c r="F48" s="43"/>
      <c r="G48" s="43"/>
      <c r="H48" s="43"/>
      <c r="I48" s="43"/>
      <c r="J48" s="43"/>
      <c r="K48" s="43"/>
      <c r="L48" s="43"/>
      <c r="M48" s="43"/>
      <c r="N48" s="43"/>
      <c r="O48" s="43"/>
      <c r="P48" s="43"/>
      <c r="Q48" s="43"/>
      <c r="R48" s="43"/>
      <c r="T48" s="41"/>
    </row>
    <row r="49" spans="1:18">
      <c r="A49" s="43"/>
      <c r="B49" s="43"/>
      <c r="C49" s="43"/>
      <c r="D49" s="43"/>
      <c r="E49" s="43"/>
      <c r="F49" s="43"/>
      <c r="G49" s="43"/>
      <c r="H49" s="43"/>
      <c r="I49" s="43"/>
      <c r="J49" s="43"/>
      <c r="K49" s="43"/>
      <c r="L49" s="43"/>
      <c r="M49" s="43"/>
      <c r="N49" s="43"/>
      <c r="O49" s="43"/>
      <c r="P49" s="43"/>
      <c r="Q49" s="43"/>
      <c r="R49" s="43"/>
    </row>
    <row r="50" spans="1:18">
      <c r="A50" s="43"/>
      <c r="B50" s="43"/>
      <c r="C50" s="43"/>
      <c r="D50" s="43"/>
      <c r="E50" s="43"/>
      <c r="F50" s="43"/>
      <c r="G50" s="43"/>
      <c r="H50" s="43"/>
      <c r="I50" s="43"/>
      <c r="J50" s="43"/>
      <c r="K50" s="43"/>
      <c r="L50" s="43"/>
      <c r="M50" s="43"/>
      <c r="N50" s="43"/>
      <c r="O50" s="43"/>
      <c r="P50" s="43"/>
      <c r="Q50" s="43"/>
      <c r="R50" s="43"/>
    </row>
    <row r="51" spans="1:18">
      <c r="A51" s="43"/>
      <c r="B51" s="43"/>
      <c r="C51" s="43"/>
      <c r="D51" s="43"/>
      <c r="E51" s="43"/>
      <c r="F51" s="43"/>
      <c r="G51" s="43"/>
      <c r="H51" s="43"/>
      <c r="I51" s="43"/>
      <c r="J51" s="43"/>
      <c r="K51" s="43"/>
      <c r="L51" s="43"/>
      <c r="M51" s="43"/>
      <c r="N51" s="43"/>
      <c r="O51" s="43"/>
      <c r="P51" s="43"/>
      <c r="Q51" s="43"/>
      <c r="R51" s="43"/>
    </row>
  </sheetData>
  <mergeCells count="2">
    <mergeCell ref="A1:R1"/>
    <mergeCell ref="Q35:R35"/>
  </mergeCells>
  <phoneticPr fontId="2"/>
  <pageMargins left="0.70866141732283472" right="0.70866141732283472" top="0" bottom="0" header="0.31496062992125984" footer="0.31496062992125984"/>
  <pageSetup paperSize="9" orientation="landscape" r:id="rId1"/>
  <drawing r:id="rId2"/>
  <legacyDrawing r:id="rId3"/>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A99F9-8A5B-4BE7-8207-28370E4878FD}">
  <dimension ref="A1:AC51"/>
  <sheetViews>
    <sheetView topLeftCell="A13" zoomScaleNormal="100" workbookViewId="0">
      <selection activeCell="G32" sqref="G32"/>
    </sheetView>
  </sheetViews>
  <sheetFormatPr defaultColWidth="9" defaultRowHeight="18.75"/>
  <cols>
    <col min="1" max="18" width="6.625" style="40" customWidth="1"/>
    <col min="19" max="19" width="3.625" style="40" customWidth="1"/>
    <col min="20" max="20" width="6.625" style="40" customWidth="1"/>
    <col min="21" max="21" width="3.625" style="40" customWidth="1"/>
    <col min="22" max="37" width="6.625" style="40" customWidth="1"/>
    <col min="38" max="38" width="3.625" style="40" customWidth="1"/>
    <col min="39" max="16384" width="9" style="40"/>
  </cols>
  <sheetData>
    <row r="1" spans="1:29">
      <c r="A1" s="147" t="s">
        <v>873</v>
      </c>
      <c r="B1" s="147"/>
      <c r="C1" s="147"/>
      <c r="D1" s="147"/>
      <c r="E1" s="147"/>
      <c r="F1" s="147"/>
      <c r="G1" s="147"/>
      <c r="H1" s="147"/>
      <c r="I1" s="147"/>
      <c r="J1" s="147"/>
      <c r="K1" s="147"/>
      <c r="L1" s="147"/>
      <c r="M1" s="147"/>
      <c r="N1" s="147"/>
      <c r="O1" s="147"/>
      <c r="P1" s="147"/>
      <c r="Q1" s="147"/>
      <c r="R1" s="147"/>
      <c r="X1" s="40" t="s">
        <v>495</v>
      </c>
    </row>
    <row r="2" spans="1:29" ht="16.5" customHeight="1">
      <c r="A2" s="26" t="s">
        <v>279</v>
      </c>
      <c r="B2" s="27">
        <v>44613</v>
      </c>
      <c r="C2" s="27">
        <v>44614</v>
      </c>
      <c r="D2" s="27">
        <v>44615</v>
      </c>
      <c r="E2" s="27">
        <v>44616</v>
      </c>
      <c r="F2" s="27">
        <v>44617</v>
      </c>
      <c r="G2" s="31">
        <v>44618</v>
      </c>
      <c r="H2" s="31">
        <v>44619</v>
      </c>
      <c r="I2" s="27">
        <v>44620</v>
      </c>
      <c r="J2" s="27"/>
      <c r="K2" s="27"/>
      <c r="L2" s="27"/>
      <c r="M2" s="23" t="s">
        <v>324</v>
      </c>
      <c r="N2" s="25">
        <v>44621</v>
      </c>
      <c r="O2" s="25">
        <v>44622</v>
      </c>
      <c r="P2" s="25">
        <v>44623</v>
      </c>
      <c r="Q2" s="25">
        <v>44624</v>
      </c>
      <c r="R2" s="30">
        <v>44625</v>
      </c>
      <c r="V2" s="40" t="s">
        <v>63</v>
      </c>
      <c r="X2" s="40" t="s">
        <v>64</v>
      </c>
      <c r="AB2" s="40" t="s">
        <v>169</v>
      </c>
    </row>
    <row r="3" spans="1:29" ht="16.5" customHeight="1">
      <c r="A3" s="28">
        <v>1</v>
      </c>
      <c r="B3" s="19"/>
      <c r="C3" s="19"/>
      <c r="D3" s="19"/>
      <c r="E3" s="19"/>
      <c r="F3" s="19"/>
      <c r="G3" s="19" t="s">
        <v>107</v>
      </c>
      <c r="H3" s="19" t="s">
        <v>25</v>
      </c>
      <c r="I3" s="19"/>
      <c r="J3" s="19"/>
      <c r="K3" s="19"/>
      <c r="L3" s="19"/>
      <c r="M3" s="36">
        <v>1</v>
      </c>
      <c r="N3" s="19"/>
      <c r="O3" s="19"/>
      <c r="P3" s="19"/>
      <c r="Q3" s="19"/>
      <c r="R3" s="19" t="s">
        <v>7</v>
      </c>
      <c r="V3" s="40" t="s">
        <v>25</v>
      </c>
      <c r="W3" s="40">
        <v>2</v>
      </c>
      <c r="X3" s="40" t="s">
        <v>45</v>
      </c>
      <c r="Y3" s="40">
        <v>2</v>
      </c>
      <c r="AB3" s="40" t="s">
        <v>153</v>
      </c>
      <c r="AC3" s="40">
        <v>6</v>
      </c>
    </row>
    <row r="4" spans="1:29" ht="16.5" customHeight="1">
      <c r="A4" s="28">
        <v>2</v>
      </c>
      <c r="B4" s="19"/>
      <c r="C4" s="19"/>
      <c r="D4" s="19"/>
      <c r="E4" s="19"/>
      <c r="F4" s="19"/>
      <c r="G4" s="19" t="s">
        <v>93</v>
      </c>
      <c r="H4" s="19" t="s">
        <v>314</v>
      </c>
      <c r="I4" s="19"/>
      <c r="J4" s="19"/>
      <c r="K4" s="19"/>
      <c r="L4" s="19"/>
      <c r="M4" s="36">
        <v>2</v>
      </c>
      <c r="N4" s="19"/>
      <c r="O4" s="19"/>
      <c r="P4" s="19"/>
      <c r="Q4" s="19"/>
      <c r="R4" s="19" t="s">
        <v>313</v>
      </c>
      <c r="T4" s="41"/>
      <c r="U4" s="41"/>
      <c r="V4" s="40" t="s">
        <v>2</v>
      </c>
      <c r="W4" s="40">
        <v>2</v>
      </c>
      <c r="X4" s="40" t="s">
        <v>14</v>
      </c>
      <c r="Y4" s="40">
        <v>2</v>
      </c>
      <c r="AB4" s="40" t="s">
        <v>26</v>
      </c>
      <c r="AC4" s="40">
        <v>1.8</v>
      </c>
    </row>
    <row r="5" spans="1:29" ht="16.5" customHeight="1">
      <c r="A5" s="28">
        <v>3</v>
      </c>
      <c r="B5" s="19"/>
      <c r="C5" s="19"/>
      <c r="D5" s="19"/>
      <c r="E5" s="19"/>
      <c r="F5" s="19"/>
      <c r="G5" s="19" t="s">
        <v>855</v>
      </c>
      <c r="H5" s="19" t="s">
        <v>855</v>
      </c>
      <c r="I5" s="19"/>
      <c r="J5" s="19"/>
      <c r="K5" s="19"/>
      <c r="L5" s="19"/>
      <c r="M5" s="36">
        <v>3</v>
      </c>
      <c r="N5" s="19"/>
      <c r="O5" s="19"/>
      <c r="P5" s="19"/>
      <c r="Q5" s="19"/>
      <c r="R5" s="19" t="s">
        <v>855</v>
      </c>
      <c r="T5" s="41"/>
      <c r="U5" s="41"/>
      <c r="V5" s="40" t="s">
        <v>516</v>
      </c>
      <c r="W5" s="40">
        <v>1</v>
      </c>
      <c r="X5" s="40" t="s">
        <v>6</v>
      </c>
      <c r="Y5" s="40">
        <v>2</v>
      </c>
      <c r="AB5" s="40" t="s">
        <v>6</v>
      </c>
      <c r="AC5" s="40">
        <v>5</v>
      </c>
    </row>
    <row r="6" spans="1:29" ht="16.5" customHeight="1">
      <c r="A6" s="28" t="s">
        <v>20</v>
      </c>
      <c r="B6" s="19" t="s">
        <v>769</v>
      </c>
      <c r="C6" s="19" t="s">
        <v>13</v>
      </c>
      <c r="D6" s="19" t="s">
        <v>13</v>
      </c>
      <c r="E6" s="19" t="s">
        <v>13</v>
      </c>
      <c r="F6" s="19" t="s">
        <v>13</v>
      </c>
      <c r="G6" s="19" t="s">
        <v>13</v>
      </c>
      <c r="H6" s="19" t="s">
        <v>13</v>
      </c>
      <c r="I6" s="19" t="s">
        <v>774</v>
      </c>
      <c r="J6" s="19"/>
      <c r="K6" s="19"/>
      <c r="L6" s="19"/>
      <c r="M6" s="36" t="s">
        <v>20</v>
      </c>
      <c r="N6" s="19" t="s">
        <v>774</v>
      </c>
      <c r="O6" s="19" t="s">
        <v>13</v>
      </c>
      <c r="P6" s="19" t="s">
        <v>13</v>
      </c>
      <c r="Q6" s="19" t="s">
        <v>13</v>
      </c>
      <c r="R6" s="19" t="s">
        <v>13</v>
      </c>
      <c r="T6" s="41"/>
      <c r="U6" s="41"/>
      <c r="V6" s="40" t="s">
        <v>7</v>
      </c>
      <c r="W6" s="40">
        <v>2</v>
      </c>
      <c r="X6" s="40" t="s">
        <v>23</v>
      </c>
      <c r="Y6" s="40">
        <v>2</v>
      </c>
      <c r="AB6" s="40" t="s">
        <v>23</v>
      </c>
      <c r="AC6" s="40">
        <v>2</v>
      </c>
    </row>
    <row r="7" spans="1:29" ht="16.5" customHeight="1">
      <c r="A7" s="28" t="s">
        <v>0</v>
      </c>
      <c r="B7" s="19" t="s">
        <v>37</v>
      </c>
      <c r="C7" s="19" t="s">
        <v>13</v>
      </c>
      <c r="D7" s="19" t="s">
        <v>13</v>
      </c>
      <c r="E7" s="19" t="s">
        <v>13</v>
      </c>
      <c r="F7" s="19" t="s">
        <v>13</v>
      </c>
      <c r="G7" s="19" t="s">
        <v>9</v>
      </c>
      <c r="H7" s="19" t="s">
        <v>13</v>
      </c>
      <c r="I7" s="19" t="s">
        <v>863</v>
      </c>
      <c r="J7" s="19"/>
      <c r="K7" s="19"/>
      <c r="L7" s="19"/>
      <c r="M7" s="36" t="s">
        <v>0</v>
      </c>
      <c r="N7" s="19" t="s">
        <v>863</v>
      </c>
      <c r="O7" s="19" t="s">
        <v>13</v>
      </c>
      <c r="P7" s="19" t="s">
        <v>13</v>
      </c>
      <c r="Q7" s="19" t="s">
        <v>13</v>
      </c>
      <c r="R7" s="19" t="s">
        <v>9</v>
      </c>
      <c r="T7" s="41"/>
      <c r="U7" s="41"/>
      <c r="V7" s="40" t="s">
        <v>21</v>
      </c>
      <c r="W7" s="40">
        <v>3</v>
      </c>
      <c r="X7" s="40" t="s">
        <v>153</v>
      </c>
      <c r="Y7" s="40">
        <v>1</v>
      </c>
      <c r="AB7" s="40" t="s">
        <v>25</v>
      </c>
      <c r="AC7" s="40">
        <v>7</v>
      </c>
    </row>
    <row r="8" spans="1:29" ht="16.5" customHeight="1">
      <c r="A8" s="28" t="s">
        <v>1</v>
      </c>
      <c r="B8" s="19"/>
      <c r="C8" s="19"/>
      <c r="D8" s="19"/>
      <c r="E8" s="19"/>
      <c r="F8" s="19"/>
      <c r="G8" s="19"/>
      <c r="H8" s="19"/>
      <c r="I8" s="19"/>
      <c r="J8" s="19"/>
      <c r="K8" s="19"/>
      <c r="L8" s="19"/>
      <c r="M8" s="36" t="s">
        <v>1</v>
      </c>
      <c r="N8" s="19"/>
      <c r="O8" s="19"/>
      <c r="P8" s="19"/>
      <c r="Q8" s="19"/>
      <c r="R8" s="19"/>
      <c r="T8" s="41"/>
      <c r="V8" s="40" t="s">
        <v>26</v>
      </c>
      <c r="W8" s="40">
        <v>2</v>
      </c>
      <c r="X8" s="40" t="s">
        <v>327</v>
      </c>
      <c r="Y8" s="40">
        <v>2</v>
      </c>
      <c r="AB8" s="40" t="s">
        <v>327</v>
      </c>
      <c r="AC8" s="40">
        <v>3</v>
      </c>
    </row>
    <row r="9" spans="1:29" ht="16.5" customHeight="1">
      <c r="A9" s="28" t="s">
        <v>366</v>
      </c>
      <c r="B9" s="19"/>
      <c r="C9" s="19"/>
      <c r="D9" s="19"/>
      <c r="E9" s="19"/>
      <c r="F9" s="19"/>
      <c r="G9" s="19"/>
      <c r="H9" s="19"/>
      <c r="I9" s="19"/>
      <c r="J9" s="19"/>
      <c r="K9" s="19"/>
      <c r="L9" s="19"/>
      <c r="M9" s="36" t="s">
        <v>366</v>
      </c>
      <c r="N9" s="19"/>
      <c r="O9" s="19"/>
      <c r="P9" s="19"/>
      <c r="Q9" s="19"/>
      <c r="R9" s="19"/>
      <c r="T9" s="41"/>
      <c r="V9" s="40" t="s">
        <v>27</v>
      </c>
      <c r="W9" s="40">
        <v>2</v>
      </c>
      <c r="X9" s="40" t="s">
        <v>28</v>
      </c>
      <c r="Y9" s="40">
        <v>2</v>
      </c>
      <c r="AB9" s="40" t="s">
        <v>516</v>
      </c>
      <c r="AC9" s="40">
        <v>4</v>
      </c>
    </row>
    <row r="10" spans="1:29" ht="16.5" customHeight="1">
      <c r="A10" s="23" t="s">
        <v>324</v>
      </c>
      <c r="B10" s="30">
        <v>44626</v>
      </c>
      <c r="C10" s="25">
        <v>44627</v>
      </c>
      <c r="D10" s="25">
        <v>44628</v>
      </c>
      <c r="E10" s="25">
        <v>44629</v>
      </c>
      <c r="F10" s="25">
        <v>44630</v>
      </c>
      <c r="G10" s="25">
        <v>44631</v>
      </c>
      <c r="H10" s="30">
        <v>44632</v>
      </c>
      <c r="I10" s="30">
        <v>44633</v>
      </c>
      <c r="J10" s="25">
        <v>44634</v>
      </c>
      <c r="K10" s="25">
        <v>44635</v>
      </c>
      <c r="L10" s="25">
        <v>44636</v>
      </c>
      <c r="M10" s="25">
        <v>44637</v>
      </c>
      <c r="N10" s="25">
        <v>44638</v>
      </c>
      <c r="O10" s="30">
        <v>44639</v>
      </c>
      <c r="P10" s="30">
        <v>44640</v>
      </c>
      <c r="Q10" s="19"/>
      <c r="R10" s="19"/>
      <c r="T10" s="41"/>
      <c r="V10" s="40" t="s">
        <v>533</v>
      </c>
      <c r="W10" s="40">
        <v>2</v>
      </c>
      <c r="X10" s="40" t="s">
        <v>152</v>
      </c>
      <c r="Y10" s="40">
        <v>2</v>
      </c>
    </row>
    <row r="11" spans="1:29" ht="16.5" customHeight="1">
      <c r="A11" s="36">
        <v>1</v>
      </c>
      <c r="B11" s="19" t="s">
        <v>312</v>
      </c>
      <c r="C11" s="19"/>
      <c r="D11" s="19"/>
      <c r="E11" s="19"/>
      <c r="F11" s="19"/>
      <c r="G11" s="19"/>
      <c r="H11" s="19" t="s">
        <v>2</v>
      </c>
      <c r="I11" s="19" t="s">
        <v>533</v>
      </c>
      <c r="J11" s="19"/>
      <c r="K11" s="19"/>
      <c r="L11" s="19"/>
      <c r="M11" s="19"/>
      <c r="N11" s="19"/>
      <c r="O11" s="19" t="s">
        <v>315</v>
      </c>
      <c r="P11" s="19" t="s">
        <v>107</v>
      </c>
      <c r="Q11" s="19"/>
      <c r="R11" s="19"/>
      <c r="T11" s="41"/>
      <c r="X11" s="40" t="s">
        <v>516</v>
      </c>
      <c r="Y11" s="40">
        <v>1</v>
      </c>
    </row>
    <row r="12" spans="1:29" ht="16.5" customHeight="1">
      <c r="A12" s="36">
        <v>2</v>
      </c>
      <c r="B12" s="19" t="s">
        <v>153</v>
      </c>
      <c r="C12" s="19"/>
      <c r="D12" s="19"/>
      <c r="E12" s="19"/>
      <c r="F12" s="19"/>
      <c r="G12" s="19"/>
      <c r="H12" s="19" t="s">
        <v>14</v>
      </c>
      <c r="I12" s="19" t="s">
        <v>769</v>
      </c>
      <c r="J12" s="19"/>
      <c r="K12" s="19"/>
      <c r="L12" s="19"/>
      <c r="M12" s="19"/>
      <c r="N12" s="19"/>
      <c r="O12" s="19" t="s">
        <v>774</v>
      </c>
      <c r="P12" s="19" t="s">
        <v>93</v>
      </c>
      <c r="Q12" s="19"/>
      <c r="R12" s="19"/>
      <c r="T12" s="41"/>
    </row>
    <row r="13" spans="1:29" ht="16.5" customHeight="1">
      <c r="A13" s="36">
        <v>3</v>
      </c>
      <c r="B13" s="19" t="s">
        <v>855</v>
      </c>
      <c r="C13" s="19"/>
      <c r="D13" s="19"/>
      <c r="E13" s="19"/>
      <c r="F13" s="19"/>
      <c r="G13" s="19"/>
      <c r="H13" s="19" t="s">
        <v>855</v>
      </c>
      <c r="I13" s="19" t="s">
        <v>855</v>
      </c>
      <c r="J13" s="19"/>
      <c r="K13" s="19"/>
      <c r="L13" s="19"/>
      <c r="M13" s="19"/>
      <c r="N13" s="19"/>
      <c r="O13" s="19" t="s">
        <v>855</v>
      </c>
      <c r="P13" s="19" t="s">
        <v>855</v>
      </c>
      <c r="Q13" s="19"/>
      <c r="R13" s="19"/>
      <c r="T13" s="41"/>
    </row>
    <row r="14" spans="1:29" ht="16.5" customHeight="1">
      <c r="A14" s="36" t="s">
        <v>20</v>
      </c>
      <c r="B14" s="19" t="s">
        <v>774</v>
      </c>
      <c r="C14" s="19" t="s">
        <v>516</v>
      </c>
      <c r="D14" s="19" t="s">
        <v>13</v>
      </c>
      <c r="E14" s="19" t="s">
        <v>13</v>
      </c>
      <c r="F14" s="19" t="s">
        <v>13</v>
      </c>
      <c r="G14" s="19" t="s">
        <v>13</v>
      </c>
      <c r="H14" s="19" t="s">
        <v>13</v>
      </c>
      <c r="I14" s="19" t="s">
        <v>13</v>
      </c>
      <c r="J14" s="19" t="s">
        <v>6</v>
      </c>
      <c r="K14" s="19" t="s">
        <v>13</v>
      </c>
      <c r="L14" s="19" t="s">
        <v>13</v>
      </c>
      <c r="M14" s="19" t="s">
        <v>13</v>
      </c>
      <c r="N14" s="19" t="s">
        <v>13</v>
      </c>
      <c r="O14" s="19" t="s">
        <v>13</v>
      </c>
      <c r="P14" s="19" t="s">
        <v>13</v>
      </c>
      <c r="Q14" s="19"/>
      <c r="R14" s="19"/>
      <c r="T14" s="41"/>
    </row>
    <row r="15" spans="1:29" ht="16.5" customHeight="1">
      <c r="A15" s="36" t="s">
        <v>0</v>
      </c>
      <c r="B15" s="19" t="s">
        <v>9</v>
      </c>
      <c r="C15" s="19" t="s">
        <v>864</v>
      </c>
      <c r="D15" s="19" t="s">
        <v>13</v>
      </c>
      <c r="E15" s="19" t="s">
        <v>13</v>
      </c>
      <c r="F15" s="19" t="s">
        <v>13</v>
      </c>
      <c r="G15" s="19" t="s">
        <v>13</v>
      </c>
      <c r="H15" s="19" t="s">
        <v>9</v>
      </c>
      <c r="I15" s="19" t="s">
        <v>13</v>
      </c>
      <c r="J15" s="19" t="s">
        <v>875</v>
      </c>
      <c r="K15" s="19" t="s">
        <v>13</v>
      </c>
      <c r="L15" s="19" t="s">
        <v>13</v>
      </c>
      <c r="M15" s="19" t="s">
        <v>13</v>
      </c>
      <c r="N15" s="19" t="s">
        <v>13</v>
      </c>
      <c r="O15" s="19" t="s">
        <v>9</v>
      </c>
      <c r="P15" s="19" t="s">
        <v>13</v>
      </c>
      <c r="Q15" s="19"/>
      <c r="R15" s="19"/>
      <c r="T15" s="41"/>
      <c r="V15" s="40" t="s">
        <v>696</v>
      </c>
      <c r="W15" s="40">
        <f>SUM(W2:W14)</f>
        <v>16</v>
      </c>
      <c r="Y15" s="40">
        <f>SUM(Y2:Y14)</f>
        <v>16</v>
      </c>
    </row>
    <row r="16" spans="1:29" ht="16.5" customHeight="1">
      <c r="A16" s="36" t="s">
        <v>1</v>
      </c>
      <c r="B16" s="19"/>
      <c r="C16" s="19"/>
      <c r="D16" s="19"/>
      <c r="E16" s="19"/>
      <c r="F16" s="19"/>
      <c r="G16" s="19"/>
      <c r="H16" s="19"/>
      <c r="I16" s="19"/>
      <c r="J16" s="19"/>
      <c r="K16" s="19"/>
      <c r="L16" s="19"/>
      <c r="M16" s="19"/>
      <c r="N16" s="19"/>
      <c r="O16" s="19"/>
      <c r="P16" s="19"/>
      <c r="Q16" s="19"/>
      <c r="R16" s="19"/>
      <c r="T16" s="41"/>
    </row>
    <row r="17" spans="1:29" ht="16.5" customHeight="1">
      <c r="A17" s="36" t="s">
        <v>366</v>
      </c>
      <c r="B17" s="19"/>
      <c r="C17" s="19"/>
      <c r="D17" s="19"/>
      <c r="E17" s="19"/>
      <c r="F17" s="19"/>
      <c r="G17" s="19"/>
      <c r="H17" s="19"/>
      <c r="I17" s="19"/>
      <c r="J17" s="19"/>
      <c r="K17" s="19"/>
      <c r="L17" s="19"/>
      <c r="M17" s="19"/>
      <c r="N17" s="19"/>
      <c r="O17" s="19"/>
      <c r="P17" s="19"/>
      <c r="Q17" s="19"/>
      <c r="R17" s="19"/>
      <c r="T17" s="41"/>
    </row>
    <row r="18" spans="1:29" ht="11.25" customHeight="1">
      <c r="A18" s="42"/>
      <c r="B18" s="37"/>
      <c r="C18" s="37"/>
      <c r="D18" s="37"/>
      <c r="E18" s="37"/>
      <c r="F18" s="37"/>
      <c r="G18" s="37"/>
      <c r="H18" s="38"/>
      <c r="I18" s="38"/>
      <c r="J18" s="38"/>
      <c r="K18" s="38"/>
      <c r="L18" s="38"/>
      <c r="M18" s="38"/>
      <c r="N18" s="38"/>
      <c r="O18" s="38"/>
      <c r="P18" s="37"/>
      <c r="Q18" s="37"/>
      <c r="R18" s="39"/>
      <c r="T18" s="41"/>
      <c r="X18" s="40" t="s">
        <v>779</v>
      </c>
    </row>
    <row r="19" spans="1:29" ht="16.5" customHeight="1">
      <c r="A19" s="23" t="s">
        <v>324</v>
      </c>
      <c r="B19" s="25">
        <v>44641</v>
      </c>
      <c r="C19" s="25">
        <v>44642</v>
      </c>
      <c r="D19" s="25">
        <v>44643</v>
      </c>
      <c r="E19" s="25">
        <v>44644</v>
      </c>
      <c r="F19" s="25">
        <v>44645</v>
      </c>
      <c r="G19" s="30">
        <v>44646</v>
      </c>
      <c r="H19" s="30">
        <v>44647</v>
      </c>
      <c r="I19" s="25">
        <v>44648</v>
      </c>
      <c r="J19" s="25">
        <v>44649</v>
      </c>
      <c r="K19" s="25">
        <v>44650</v>
      </c>
      <c r="L19" s="25">
        <v>44651</v>
      </c>
      <c r="M19" s="26" t="s">
        <v>325</v>
      </c>
      <c r="N19" s="27">
        <v>44652</v>
      </c>
      <c r="O19" s="31">
        <v>44653</v>
      </c>
      <c r="P19" s="31">
        <v>44654</v>
      </c>
      <c r="Q19" s="27">
        <v>44655</v>
      </c>
      <c r="R19" s="27">
        <v>44656</v>
      </c>
      <c r="T19" s="41"/>
      <c r="V19" s="40" t="s">
        <v>63</v>
      </c>
      <c r="X19" s="40" t="s">
        <v>64</v>
      </c>
      <c r="Z19" s="40" t="s">
        <v>169</v>
      </c>
      <c r="AB19" s="40" t="s">
        <v>874</v>
      </c>
    </row>
    <row r="20" spans="1:29" ht="16.5" customHeight="1">
      <c r="A20" s="36">
        <v>1</v>
      </c>
      <c r="B20" s="19"/>
      <c r="C20" s="19"/>
      <c r="D20" s="19"/>
      <c r="E20" s="19"/>
      <c r="F20" s="19"/>
      <c r="G20" s="19" t="s">
        <v>312</v>
      </c>
      <c r="H20" s="19" t="s">
        <v>7</v>
      </c>
      <c r="I20" s="19"/>
      <c r="J20" s="19"/>
      <c r="K20" s="19"/>
      <c r="L20" s="19"/>
      <c r="M20" s="28">
        <v>1</v>
      </c>
      <c r="N20" s="19"/>
      <c r="O20" s="19" t="s">
        <v>533</v>
      </c>
      <c r="P20" s="19" t="s">
        <v>2</v>
      </c>
      <c r="Q20" s="19"/>
      <c r="R20" s="19"/>
      <c r="T20" s="41"/>
      <c r="V20" s="40" t="s">
        <v>25</v>
      </c>
      <c r="W20" s="40">
        <v>2</v>
      </c>
      <c r="X20" s="40" t="s">
        <v>45</v>
      </c>
      <c r="Y20" s="40">
        <v>3</v>
      </c>
      <c r="Z20" s="40" t="s">
        <v>153</v>
      </c>
      <c r="AA20" s="40">
        <v>5</v>
      </c>
      <c r="AB20" s="40" t="s">
        <v>37</v>
      </c>
      <c r="AC20" s="40" t="s">
        <v>881</v>
      </c>
    </row>
    <row r="21" spans="1:29" ht="16.5" customHeight="1">
      <c r="A21" s="36">
        <v>2</v>
      </c>
      <c r="B21" s="19"/>
      <c r="C21" s="19"/>
      <c r="D21" s="19"/>
      <c r="E21" s="19"/>
      <c r="F21" s="19"/>
      <c r="G21" s="19" t="s">
        <v>314</v>
      </c>
      <c r="H21" s="19" t="s">
        <v>516</v>
      </c>
      <c r="I21" s="19"/>
      <c r="J21" s="19"/>
      <c r="K21" s="19"/>
      <c r="L21" s="19"/>
      <c r="M21" s="28">
        <v>2</v>
      </c>
      <c r="N21" s="19"/>
      <c r="O21" s="19" t="s">
        <v>769</v>
      </c>
      <c r="P21" s="19" t="s">
        <v>6</v>
      </c>
      <c r="Q21" s="19"/>
      <c r="R21" s="19"/>
      <c r="T21" s="41"/>
      <c r="V21" s="40" t="s">
        <v>2</v>
      </c>
      <c r="W21" s="40">
        <v>2</v>
      </c>
      <c r="X21" s="40" t="s">
        <v>14</v>
      </c>
      <c r="Y21" s="40">
        <v>2</v>
      </c>
      <c r="Z21" s="40" t="s">
        <v>26</v>
      </c>
      <c r="AA21" s="40">
        <v>7</v>
      </c>
      <c r="AB21" s="40" t="s">
        <v>863</v>
      </c>
      <c r="AC21" s="40">
        <v>2.6</v>
      </c>
    </row>
    <row r="22" spans="1:29" ht="16.5" customHeight="1">
      <c r="A22" s="36">
        <v>3</v>
      </c>
      <c r="B22" s="19"/>
      <c r="C22" s="19"/>
      <c r="D22" s="19"/>
      <c r="E22" s="19"/>
      <c r="F22" s="19"/>
      <c r="G22" s="19" t="s">
        <v>855</v>
      </c>
      <c r="H22" s="19" t="s">
        <v>855</v>
      </c>
      <c r="I22" s="19"/>
      <c r="J22" s="19"/>
      <c r="K22" s="19"/>
      <c r="L22" s="19"/>
      <c r="M22" s="28">
        <v>3</v>
      </c>
      <c r="N22" s="19"/>
      <c r="O22" s="19" t="s">
        <v>855</v>
      </c>
      <c r="P22" s="19" t="s">
        <v>855</v>
      </c>
      <c r="Q22" s="19"/>
      <c r="R22" s="19"/>
      <c r="T22" s="41"/>
      <c r="V22" s="40" t="s">
        <v>516</v>
      </c>
      <c r="W22" s="40">
        <v>0</v>
      </c>
      <c r="X22" s="40" t="s">
        <v>6</v>
      </c>
      <c r="Y22" s="40">
        <v>1</v>
      </c>
      <c r="Z22" s="40" t="s">
        <v>6</v>
      </c>
      <c r="AA22" s="40">
        <v>4</v>
      </c>
      <c r="AB22" s="40" t="s">
        <v>864</v>
      </c>
      <c r="AC22" s="40">
        <v>3.7</v>
      </c>
    </row>
    <row r="23" spans="1:29" ht="16.5" customHeight="1">
      <c r="A23" s="36" t="s">
        <v>20</v>
      </c>
      <c r="B23" s="19" t="s">
        <v>153</v>
      </c>
      <c r="C23" s="19" t="s">
        <v>13</v>
      </c>
      <c r="D23" s="19" t="s">
        <v>13</v>
      </c>
      <c r="E23" s="19" t="s">
        <v>13</v>
      </c>
      <c r="F23" s="19" t="s">
        <v>13</v>
      </c>
      <c r="G23" s="19" t="s">
        <v>13</v>
      </c>
      <c r="H23" s="19" t="s">
        <v>13</v>
      </c>
      <c r="I23" s="19" t="s">
        <v>25</v>
      </c>
      <c r="J23" s="19" t="s">
        <v>13</v>
      </c>
      <c r="K23" s="19" t="s">
        <v>13</v>
      </c>
      <c r="L23" s="19" t="s">
        <v>13</v>
      </c>
      <c r="M23" s="28" t="s">
        <v>20</v>
      </c>
      <c r="N23" s="19" t="s">
        <v>25</v>
      </c>
      <c r="O23" s="19" t="s">
        <v>13</v>
      </c>
      <c r="P23" s="19" t="s">
        <v>13</v>
      </c>
      <c r="Q23" s="19" t="s">
        <v>312</v>
      </c>
      <c r="R23" s="19" t="s">
        <v>13</v>
      </c>
      <c r="T23" s="41"/>
      <c r="V23" s="40" t="s">
        <v>7</v>
      </c>
      <c r="W23" s="40">
        <v>3</v>
      </c>
      <c r="X23" s="40" t="s">
        <v>23</v>
      </c>
      <c r="Y23" s="40">
        <v>2</v>
      </c>
      <c r="Z23" s="40" t="s">
        <v>23</v>
      </c>
      <c r="AA23" s="40">
        <v>1.8</v>
      </c>
      <c r="AB23" s="40" t="s">
        <v>875</v>
      </c>
      <c r="AC23" s="40">
        <v>4.8</v>
      </c>
    </row>
    <row r="24" spans="1:29" ht="16.5" customHeight="1">
      <c r="A24" s="36" t="s">
        <v>0</v>
      </c>
      <c r="B24" s="19" t="s">
        <v>37</v>
      </c>
      <c r="C24" s="19" t="s">
        <v>13</v>
      </c>
      <c r="D24" s="19" t="s">
        <v>13</v>
      </c>
      <c r="E24" s="19" t="s">
        <v>13</v>
      </c>
      <c r="F24" s="19" t="s">
        <v>13</v>
      </c>
      <c r="G24" s="19" t="s">
        <v>9</v>
      </c>
      <c r="H24" s="19" t="s">
        <v>13</v>
      </c>
      <c r="I24" s="19" t="s">
        <v>863</v>
      </c>
      <c r="J24" s="19" t="s">
        <v>13</v>
      </c>
      <c r="K24" s="19" t="s">
        <v>13</v>
      </c>
      <c r="L24" s="19" t="s">
        <v>13</v>
      </c>
      <c r="M24" s="28" t="s">
        <v>0</v>
      </c>
      <c r="N24" s="19" t="s">
        <v>863</v>
      </c>
      <c r="O24" s="19" t="s">
        <v>9</v>
      </c>
      <c r="P24" s="19" t="s">
        <v>13</v>
      </c>
      <c r="Q24" s="19" t="s">
        <v>864</v>
      </c>
      <c r="R24" s="19" t="s">
        <v>13</v>
      </c>
      <c r="T24" s="41"/>
      <c r="V24" s="40" t="s">
        <v>21</v>
      </c>
      <c r="W24" s="40">
        <v>2</v>
      </c>
      <c r="X24" s="40" t="s">
        <v>153</v>
      </c>
      <c r="Y24" s="40">
        <v>2</v>
      </c>
      <c r="Z24" s="40" t="s">
        <v>25</v>
      </c>
      <c r="AA24" s="40">
        <v>6</v>
      </c>
    </row>
    <row r="25" spans="1:29" ht="16.5" customHeight="1">
      <c r="A25" s="36" t="s">
        <v>1</v>
      </c>
      <c r="B25" s="19"/>
      <c r="C25" s="19"/>
      <c r="D25" s="19"/>
      <c r="E25" s="19"/>
      <c r="F25" s="19"/>
      <c r="G25" s="19"/>
      <c r="H25" s="19"/>
      <c r="I25" s="19"/>
      <c r="J25" s="19"/>
      <c r="K25" s="19"/>
      <c r="L25" s="19"/>
      <c r="M25" s="28" t="s">
        <v>1</v>
      </c>
      <c r="N25" s="19"/>
      <c r="O25" s="19"/>
      <c r="P25" s="19"/>
      <c r="Q25" s="19"/>
      <c r="R25" s="19"/>
      <c r="T25" s="41"/>
      <c r="V25" s="40" t="s">
        <v>26</v>
      </c>
      <c r="W25" s="40">
        <v>2</v>
      </c>
      <c r="X25" s="40" t="s">
        <v>327</v>
      </c>
      <c r="Y25" s="40">
        <v>1</v>
      </c>
      <c r="Z25" s="40" t="s">
        <v>327</v>
      </c>
      <c r="AA25" s="40">
        <v>2.9</v>
      </c>
    </row>
    <row r="26" spans="1:29" ht="16.5" customHeight="1">
      <c r="A26" s="36" t="s">
        <v>366</v>
      </c>
      <c r="B26" s="19"/>
      <c r="C26" s="19"/>
      <c r="D26" s="19"/>
      <c r="E26" s="19"/>
      <c r="F26" s="19"/>
      <c r="G26" s="19"/>
      <c r="H26" s="19"/>
      <c r="I26" s="19"/>
      <c r="J26" s="19"/>
      <c r="K26" s="19"/>
      <c r="L26" s="19"/>
      <c r="M26" s="28" t="s">
        <v>366</v>
      </c>
      <c r="N26" s="19"/>
      <c r="O26" s="19"/>
      <c r="P26" s="19"/>
      <c r="Q26" s="19"/>
      <c r="R26" s="19"/>
      <c r="T26" s="41"/>
      <c r="V26" s="40" t="s">
        <v>27</v>
      </c>
      <c r="W26" s="40">
        <v>3</v>
      </c>
      <c r="X26" s="40" t="s">
        <v>28</v>
      </c>
      <c r="Y26" s="40">
        <v>2</v>
      </c>
      <c r="Z26" s="40" t="s">
        <v>516</v>
      </c>
      <c r="AA26" s="40">
        <v>3</v>
      </c>
    </row>
    <row r="27" spans="1:29" ht="16.5" customHeight="1">
      <c r="A27" s="26" t="s">
        <v>325</v>
      </c>
      <c r="B27" s="27">
        <v>44657</v>
      </c>
      <c r="C27" s="27">
        <v>44658</v>
      </c>
      <c r="D27" s="27">
        <v>44659</v>
      </c>
      <c r="E27" s="31">
        <v>44660</v>
      </c>
      <c r="F27" s="31">
        <v>44661</v>
      </c>
      <c r="G27" s="27">
        <v>44662</v>
      </c>
      <c r="H27" s="27">
        <v>44663</v>
      </c>
      <c r="I27" s="27">
        <v>44664</v>
      </c>
      <c r="J27" s="27">
        <v>44665</v>
      </c>
      <c r="K27" s="27">
        <v>44666</v>
      </c>
      <c r="L27" s="31">
        <v>44667</v>
      </c>
      <c r="M27" s="31">
        <v>44668</v>
      </c>
      <c r="N27" s="27">
        <v>44669</v>
      </c>
      <c r="O27" s="27">
        <v>44670</v>
      </c>
      <c r="P27" s="27">
        <v>44671</v>
      </c>
      <c r="Q27" s="19"/>
      <c r="R27" s="19"/>
      <c r="T27" s="41"/>
      <c r="V27" s="40" t="s">
        <v>533</v>
      </c>
      <c r="W27" s="40">
        <v>2</v>
      </c>
      <c r="X27" s="40" t="s">
        <v>152</v>
      </c>
      <c r="Y27" s="40">
        <v>2</v>
      </c>
    </row>
    <row r="28" spans="1:29" ht="16.5" customHeight="1">
      <c r="A28" s="28">
        <v>1</v>
      </c>
      <c r="B28" s="19"/>
      <c r="C28" s="19"/>
      <c r="D28" s="19"/>
      <c r="E28" s="19" t="s">
        <v>107</v>
      </c>
      <c r="F28" s="19" t="s">
        <v>315</v>
      </c>
      <c r="G28" s="19"/>
      <c r="H28" s="19"/>
      <c r="I28" s="19"/>
      <c r="J28" s="19"/>
      <c r="K28" s="19"/>
      <c r="L28" s="19" t="s">
        <v>7</v>
      </c>
      <c r="M28" s="19" t="s">
        <v>25</v>
      </c>
      <c r="N28" s="19"/>
      <c r="O28" s="19"/>
      <c r="P28" s="19"/>
      <c r="Q28" s="19"/>
      <c r="R28" s="19"/>
      <c r="T28" s="41"/>
      <c r="X28" s="40" t="s">
        <v>516</v>
      </c>
      <c r="Y28" s="40">
        <v>1</v>
      </c>
    </row>
    <row r="29" spans="1:29" ht="16.5" customHeight="1">
      <c r="A29" s="28">
        <v>2</v>
      </c>
      <c r="B29" s="19"/>
      <c r="C29" s="19"/>
      <c r="D29" s="19"/>
      <c r="E29" s="19" t="s">
        <v>313</v>
      </c>
      <c r="F29" s="19" t="s">
        <v>153</v>
      </c>
      <c r="G29" s="19"/>
      <c r="H29" s="19"/>
      <c r="I29" s="19"/>
      <c r="J29" s="19"/>
      <c r="K29" s="19"/>
      <c r="L29" s="19" t="s">
        <v>14</v>
      </c>
      <c r="M29" s="19" t="s">
        <v>93</v>
      </c>
      <c r="N29" s="19"/>
      <c r="O29" s="19"/>
      <c r="P29" s="19"/>
      <c r="Q29" s="19"/>
      <c r="R29" s="19"/>
      <c r="T29" s="41"/>
    </row>
    <row r="30" spans="1:29" ht="16.5" customHeight="1">
      <c r="A30" s="28">
        <v>3</v>
      </c>
      <c r="B30" s="19"/>
      <c r="C30" s="19"/>
      <c r="D30" s="19"/>
      <c r="E30" s="19" t="s">
        <v>855</v>
      </c>
      <c r="F30" s="19" t="s">
        <v>855</v>
      </c>
      <c r="G30" s="19"/>
      <c r="H30" s="19"/>
      <c r="I30" s="19"/>
      <c r="J30" s="19"/>
      <c r="K30" s="19"/>
      <c r="L30" s="19" t="s">
        <v>855</v>
      </c>
      <c r="M30" s="19" t="s">
        <v>855</v>
      </c>
      <c r="N30" s="19"/>
      <c r="O30" s="19"/>
      <c r="P30" s="19"/>
      <c r="Q30" s="19"/>
      <c r="R30" s="19"/>
      <c r="T30" s="41"/>
    </row>
    <row r="31" spans="1:29" ht="16.5" customHeight="1">
      <c r="A31" s="28" t="s">
        <v>20</v>
      </c>
      <c r="B31" s="19" t="s">
        <v>312</v>
      </c>
      <c r="C31" s="19" t="s">
        <v>13</v>
      </c>
      <c r="D31" s="19" t="s">
        <v>13</v>
      </c>
      <c r="E31" s="19" t="s">
        <v>13</v>
      </c>
      <c r="F31" s="19" t="s">
        <v>13</v>
      </c>
      <c r="G31" s="19" t="s">
        <v>769</v>
      </c>
      <c r="H31" s="19" t="s">
        <v>13</v>
      </c>
      <c r="I31" s="19" t="s">
        <v>13</v>
      </c>
      <c r="J31" s="19" t="s">
        <v>13</v>
      </c>
      <c r="K31" s="19" t="s">
        <v>13</v>
      </c>
      <c r="L31" s="19" t="s">
        <v>13</v>
      </c>
      <c r="M31" s="19" t="s">
        <v>13</v>
      </c>
      <c r="N31" s="19" t="s">
        <v>774</v>
      </c>
      <c r="O31" s="19" t="s">
        <v>13</v>
      </c>
      <c r="P31" s="19" t="s">
        <v>13</v>
      </c>
      <c r="Q31" s="19"/>
      <c r="R31" s="19"/>
      <c r="T31" s="41"/>
    </row>
    <row r="32" spans="1:29" ht="16.5" customHeight="1">
      <c r="A32" s="28" t="s">
        <v>0</v>
      </c>
      <c r="B32" s="19" t="s">
        <v>864</v>
      </c>
      <c r="C32" s="19" t="s">
        <v>13</v>
      </c>
      <c r="D32" s="19" t="s">
        <v>13</v>
      </c>
      <c r="E32" s="19" t="s">
        <v>9</v>
      </c>
      <c r="F32" s="19" t="s">
        <v>13</v>
      </c>
      <c r="G32" s="19" t="s">
        <v>875</v>
      </c>
      <c r="H32" s="19" t="s">
        <v>13</v>
      </c>
      <c r="I32" s="19" t="s">
        <v>13</v>
      </c>
      <c r="J32" s="19" t="s">
        <v>13</v>
      </c>
      <c r="K32" s="19" t="s">
        <v>13</v>
      </c>
      <c r="L32" s="19" t="s">
        <v>9</v>
      </c>
      <c r="M32" s="19" t="s">
        <v>13</v>
      </c>
      <c r="N32" s="19" t="s">
        <v>37</v>
      </c>
      <c r="O32" s="19" t="s">
        <v>13</v>
      </c>
      <c r="P32" s="19" t="s">
        <v>13</v>
      </c>
      <c r="Q32" s="19"/>
      <c r="R32" s="19"/>
      <c r="T32" s="41"/>
      <c r="V32" s="40" t="s">
        <v>696</v>
      </c>
      <c r="W32" s="40">
        <f>SUM(W19:W31)</f>
        <v>16</v>
      </c>
      <c r="Y32" s="40">
        <f>SUM(Y19:Y31)</f>
        <v>16</v>
      </c>
    </row>
    <row r="33" spans="1:20" ht="16.5" customHeight="1">
      <c r="A33" s="28" t="s">
        <v>1</v>
      </c>
      <c r="B33" s="19"/>
      <c r="C33" s="19"/>
      <c r="D33" s="19"/>
      <c r="E33" s="19"/>
      <c r="F33" s="19"/>
      <c r="G33" s="19"/>
      <c r="H33" s="19"/>
      <c r="I33" s="19"/>
      <c r="J33" s="19"/>
      <c r="K33" s="19"/>
      <c r="L33" s="19"/>
      <c r="M33" s="19"/>
      <c r="N33" s="19"/>
      <c r="O33" s="19"/>
      <c r="P33" s="19"/>
      <c r="Q33" s="19"/>
      <c r="R33" s="19"/>
    </row>
    <row r="34" spans="1:20" ht="16.5" customHeight="1">
      <c r="A34" s="28" t="s">
        <v>366</v>
      </c>
      <c r="B34" s="19"/>
      <c r="C34" s="19"/>
      <c r="D34" s="19"/>
      <c r="E34" s="19"/>
      <c r="F34" s="19"/>
      <c r="G34" s="19"/>
      <c r="H34" s="19"/>
      <c r="I34" s="19"/>
      <c r="J34" s="19"/>
      <c r="K34" s="19"/>
      <c r="L34" s="19"/>
      <c r="M34" s="19"/>
      <c r="N34" s="19"/>
      <c r="O34" s="19"/>
      <c r="P34" s="19"/>
      <c r="Q34" s="19"/>
      <c r="R34" s="19"/>
    </row>
    <row r="35" spans="1:20" ht="12.75" customHeight="1">
      <c r="Q35" s="145" t="s">
        <v>82</v>
      </c>
      <c r="R35" s="145"/>
      <c r="T35" s="41"/>
    </row>
    <row r="36" spans="1:20">
      <c r="A36" s="40" t="s">
        <v>322</v>
      </c>
      <c r="B36" s="49"/>
      <c r="C36" s="49"/>
      <c r="D36" s="49"/>
      <c r="E36" s="49"/>
      <c r="F36" s="49"/>
      <c r="G36" s="49"/>
      <c r="H36" s="55"/>
      <c r="I36" s="49"/>
      <c r="J36" s="49"/>
      <c r="K36" s="49"/>
      <c r="L36" s="49"/>
      <c r="M36" s="49"/>
      <c r="N36" s="49"/>
      <c r="O36" s="49"/>
      <c r="T36" s="41"/>
    </row>
    <row r="37" spans="1:20">
      <c r="A37" s="43" t="s">
        <v>107</v>
      </c>
      <c r="B37" s="55">
        <v>44625</v>
      </c>
      <c r="C37" s="55">
        <v>44626</v>
      </c>
      <c r="D37" s="55"/>
      <c r="E37" s="55"/>
      <c r="F37" s="55"/>
      <c r="G37" s="55"/>
      <c r="H37" s="55"/>
      <c r="I37" s="55"/>
      <c r="J37" s="55"/>
      <c r="K37" s="55"/>
      <c r="L37" s="55"/>
      <c r="M37" s="55"/>
      <c r="N37" s="55"/>
      <c r="O37" s="55"/>
      <c r="P37" s="43"/>
      <c r="Q37" s="43"/>
      <c r="R37" s="43"/>
      <c r="T37" s="41"/>
    </row>
    <row r="38" spans="1:20">
      <c r="A38" s="43" t="s">
        <v>313</v>
      </c>
      <c r="B38" s="55">
        <v>44632</v>
      </c>
      <c r="C38" s="55">
        <v>44633</v>
      </c>
      <c r="D38" s="55">
        <v>44653</v>
      </c>
      <c r="E38" s="55">
        <v>44654</v>
      </c>
      <c r="F38" s="55"/>
      <c r="G38" s="55"/>
      <c r="H38" s="55" t="s">
        <v>876</v>
      </c>
      <c r="I38" s="55"/>
      <c r="J38" s="55"/>
      <c r="K38" s="55"/>
      <c r="L38" s="55"/>
      <c r="M38" s="55"/>
      <c r="N38" s="55"/>
      <c r="O38" s="55"/>
      <c r="P38" s="43"/>
      <c r="Q38" s="43"/>
      <c r="R38" s="43"/>
      <c r="T38" s="41"/>
    </row>
    <row r="39" spans="1:20">
      <c r="A39" s="43" t="s">
        <v>312</v>
      </c>
      <c r="B39" s="55">
        <v>44618</v>
      </c>
      <c r="C39" s="55">
        <v>44639</v>
      </c>
      <c r="D39" s="55">
        <v>44660</v>
      </c>
      <c r="E39" s="55"/>
      <c r="F39" s="55"/>
      <c r="G39" s="55"/>
      <c r="H39" s="55" t="s">
        <v>877</v>
      </c>
      <c r="I39" s="55"/>
      <c r="J39" s="55"/>
      <c r="K39" s="55"/>
      <c r="L39" s="55"/>
      <c r="M39" s="55"/>
      <c r="N39" s="55"/>
      <c r="O39" s="55"/>
      <c r="P39" s="43"/>
      <c r="Q39" s="43"/>
      <c r="R39" s="43"/>
      <c r="T39" s="41"/>
    </row>
    <row r="40" spans="1:20">
      <c r="A40" s="43" t="s">
        <v>153</v>
      </c>
      <c r="B40" s="55">
        <v>44618</v>
      </c>
      <c r="C40" s="55">
        <v>44619</v>
      </c>
      <c r="D40" s="55">
        <v>44639</v>
      </c>
      <c r="E40" s="55">
        <v>44667</v>
      </c>
      <c r="F40" s="55">
        <v>44668</v>
      </c>
      <c r="G40" s="55"/>
      <c r="H40" s="55" t="s">
        <v>878</v>
      </c>
      <c r="I40" s="55"/>
      <c r="J40" s="55"/>
      <c r="K40" s="55"/>
      <c r="L40" s="55"/>
      <c r="M40" s="55"/>
      <c r="N40" s="55"/>
      <c r="O40" s="55"/>
      <c r="P40" s="43"/>
      <c r="Q40" s="43"/>
      <c r="R40" s="43"/>
    </row>
    <row r="41" spans="1:20">
      <c r="A41" s="43" t="s">
        <v>2</v>
      </c>
      <c r="B41" s="55">
        <v>44639</v>
      </c>
      <c r="C41" s="55">
        <v>44640</v>
      </c>
      <c r="D41" s="55">
        <v>44660</v>
      </c>
      <c r="E41" s="55"/>
      <c r="F41" s="55"/>
      <c r="G41" s="55"/>
      <c r="H41" s="55" t="s">
        <v>879</v>
      </c>
      <c r="I41" s="55"/>
      <c r="J41" s="55"/>
      <c r="K41" s="55"/>
      <c r="L41" s="55"/>
      <c r="M41" s="55"/>
      <c r="N41" s="55"/>
      <c r="O41" s="55"/>
      <c r="P41" s="43"/>
      <c r="Q41" s="43"/>
      <c r="R41" s="43"/>
    </row>
    <row r="42" spans="1:20">
      <c r="A42" s="43" t="s">
        <v>25</v>
      </c>
      <c r="B42" s="55">
        <v>44618</v>
      </c>
      <c r="C42" s="55">
        <v>44625</v>
      </c>
      <c r="D42" s="55">
        <v>44632</v>
      </c>
      <c r="E42" s="55">
        <v>44639</v>
      </c>
      <c r="F42" s="55">
        <v>44667</v>
      </c>
      <c r="G42" s="55"/>
      <c r="H42" s="59" t="s">
        <v>880</v>
      </c>
      <c r="I42" s="55"/>
      <c r="J42" s="55"/>
      <c r="K42" s="55"/>
      <c r="L42" s="55"/>
      <c r="M42" s="55"/>
      <c r="N42" s="55"/>
      <c r="O42" s="55"/>
      <c r="P42" s="43"/>
      <c r="Q42" s="43"/>
      <c r="R42" s="43"/>
      <c r="T42" s="41"/>
    </row>
    <row r="43" spans="1:20">
      <c r="A43" s="43"/>
      <c r="B43" s="55"/>
      <c r="C43" s="55"/>
      <c r="D43" s="55"/>
      <c r="E43" s="55"/>
      <c r="F43" s="55"/>
      <c r="G43" s="55"/>
      <c r="H43" s="55"/>
      <c r="I43" s="55"/>
      <c r="J43" s="55"/>
      <c r="K43" s="55"/>
      <c r="L43" s="55"/>
      <c r="M43" s="55"/>
      <c r="N43" s="55"/>
      <c r="O43" s="55"/>
      <c r="P43" s="43"/>
      <c r="Q43" s="43"/>
      <c r="R43" s="43"/>
      <c r="T43" s="41"/>
    </row>
    <row r="44" spans="1:20">
      <c r="B44" s="55"/>
      <c r="C44" s="55"/>
      <c r="D44" s="55"/>
      <c r="E44" s="55"/>
      <c r="F44" s="55"/>
      <c r="G44" s="55"/>
      <c r="H44" s="55"/>
      <c r="I44" s="55"/>
      <c r="J44" s="55"/>
      <c r="K44" s="55"/>
      <c r="L44" s="55"/>
      <c r="M44" s="55"/>
      <c r="N44" s="55"/>
      <c r="O44" s="55"/>
      <c r="P44" s="43"/>
      <c r="Q44" s="43"/>
      <c r="R44" s="43"/>
      <c r="T44" s="41"/>
    </row>
    <row r="45" spans="1:20">
      <c r="A45" s="43"/>
      <c r="B45" s="43"/>
      <c r="C45" s="43"/>
      <c r="D45" s="43"/>
      <c r="E45" s="43"/>
      <c r="F45" s="43"/>
      <c r="G45" s="43"/>
      <c r="H45" s="43"/>
      <c r="I45" s="43"/>
      <c r="J45" s="43"/>
      <c r="K45" s="43"/>
      <c r="L45" s="43"/>
      <c r="M45" s="43"/>
      <c r="N45" s="43"/>
      <c r="O45" s="43"/>
      <c r="P45" s="43"/>
      <c r="Q45" s="43"/>
      <c r="R45" s="43"/>
    </row>
    <row r="46" spans="1:20">
      <c r="A46" s="43"/>
      <c r="B46" s="43"/>
      <c r="C46" s="43"/>
      <c r="D46" s="43"/>
      <c r="E46" s="43"/>
      <c r="F46" s="43"/>
      <c r="G46" s="43"/>
      <c r="H46" s="43"/>
      <c r="I46" s="43"/>
      <c r="J46" s="43"/>
      <c r="K46" s="43"/>
      <c r="L46" s="43"/>
      <c r="M46" s="43"/>
      <c r="N46" s="43"/>
      <c r="O46" s="43"/>
      <c r="P46" s="43"/>
      <c r="Q46" s="43"/>
      <c r="R46" s="43"/>
      <c r="T46" s="41"/>
    </row>
    <row r="47" spans="1:20">
      <c r="A47" s="43"/>
      <c r="B47" s="43"/>
      <c r="C47" s="43"/>
      <c r="D47" s="43"/>
      <c r="E47" s="43"/>
      <c r="F47" s="43"/>
      <c r="G47" s="43"/>
      <c r="H47" s="43"/>
      <c r="I47" s="43"/>
      <c r="J47" s="43"/>
      <c r="K47" s="43"/>
      <c r="L47" s="43"/>
      <c r="M47" s="43"/>
      <c r="N47" s="43"/>
      <c r="O47" s="43"/>
      <c r="P47" s="43"/>
      <c r="Q47" s="43"/>
      <c r="R47" s="43"/>
      <c r="T47" s="41"/>
    </row>
    <row r="48" spans="1:20">
      <c r="A48" s="43"/>
      <c r="B48" s="43"/>
      <c r="C48" s="43"/>
      <c r="D48" s="43"/>
      <c r="E48" s="43"/>
      <c r="F48" s="43"/>
      <c r="G48" s="43"/>
      <c r="H48" s="43"/>
      <c r="I48" s="43"/>
      <c r="J48" s="43"/>
      <c r="K48" s="43"/>
      <c r="L48" s="43"/>
      <c r="M48" s="43"/>
      <c r="N48" s="43"/>
      <c r="O48" s="43"/>
      <c r="P48" s="43"/>
      <c r="Q48" s="43"/>
      <c r="R48" s="43"/>
      <c r="T48" s="41"/>
    </row>
    <row r="49" spans="1:18">
      <c r="A49" s="43"/>
      <c r="B49" s="43"/>
      <c r="C49" s="43"/>
      <c r="D49" s="43"/>
      <c r="E49" s="43"/>
      <c r="F49" s="43"/>
      <c r="G49" s="43"/>
      <c r="H49" s="43"/>
      <c r="I49" s="43"/>
      <c r="J49" s="43"/>
      <c r="K49" s="43"/>
      <c r="L49" s="43"/>
      <c r="M49" s="43"/>
      <c r="N49" s="43"/>
      <c r="O49" s="43"/>
      <c r="P49" s="43"/>
      <c r="Q49" s="43"/>
      <c r="R49" s="43"/>
    </row>
    <row r="50" spans="1:18">
      <c r="A50" s="43"/>
      <c r="B50" s="43"/>
      <c r="C50" s="43"/>
      <c r="D50" s="43"/>
      <c r="E50" s="43"/>
      <c r="F50" s="43"/>
      <c r="G50" s="43"/>
      <c r="H50" s="43"/>
      <c r="I50" s="43"/>
      <c r="J50" s="43"/>
      <c r="K50" s="43"/>
      <c r="L50" s="43"/>
      <c r="M50" s="43"/>
      <c r="N50" s="43"/>
      <c r="O50" s="43"/>
      <c r="P50" s="43"/>
      <c r="Q50" s="43"/>
      <c r="R50" s="43"/>
    </row>
    <row r="51" spans="1:18">
      <c r="A51" s="43"/>
      <c r="B51" s="43"/>
      <c r="C51" s="43"/>
      <c r="D51" s="43"/>
      <c r="E51" s="43"/>
      <c r="F51" s="43"/>
      <c r="G51" s="43"/>
      <c r="H51" s="43"/>
      <c r="I51" s="43"/>
      <c r="J51" s="43"/>
      <c r="K51" s="43"/>
      <c r="L51" s="43"/>
      <c r="M51" s="43"/>
      <c r="N51" s="43"/>
      <c r="O51" s="43"/>
      <c r="P51" s="43"/>
      <c r="Q51" s="43"/>
      <c r="R51" s="43"/>
    </row>
  </sheetData>
  <mergeCells count="2">
    <mergeCell ref="A1:R1"/>
    <mergeCell ref="Q35:R35"/>
  </mergeCells>
  <phoneticPr fontId="2"/>
  <pageMargins left="0.70866141732283472" right="0.70866141732283472" top="0" bottom="0" header="0.31496062992125984" footer="0.31496062992125984"/>
  <pageSetup paperSize="9" orientation="landscape" r:id="rId1"/>
  <drawing r:id="rId2"/>
  <legacyDrawing r:id="rId3"/>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AD02D-950B-4B48-9E22-10622600355E}">
  <dimension ref="A1:AC51"/>
  <sheetViews>
    <sheetView zoomScaleNormal="100" workbookViewId="0">
      <selection activeCell="AD2" sqref="AD2:AD7"/>
    </sheetView>
  </sheetViews>
  <sheetFormatPr defaultColWidth="9" defaultRowHeight="18.75"/>
  <cols>
    <col min="1" max="18" width="6.625" style="40" customWidth="1"/>
    <col min="19" max="19" width="3.625" style="40" customWidth="1"/>
    <col min="20" max="20" width="6.625" style="40" customWidth="1"/>
    <col min="21" max="21" width="3.625" style="40" customWidth="1"/>
    <col min="22" max="37" width="6.625" style="40" customWidth="1"/>
    <col min="38" max="38" width="3.625" style="40" customWidth="1"/>
    <col min="39" max="16384" width="9" style="40"/>
  </cols>
  <sheetData>
    <row r="1" spans="1:28">
      <c r="A1" s="147" t="s">
        <v>865</v>
      </c>
      <c r="B1" s="147"/>
      <c r="C1" s="147"/>
      <c r="D1" s="147"/>
      <c r="E1" s="147"/>
      <c r="F1" s="147"/>
      <c r="G1" s="147"/>
      <c r="H1" s="147"/>
      <c r="I1" s="147"/>
      <c r="J1" s="147"/>
      <c r="K1" s="147"/>
      <c r="L1" s="147"/>
      <c r="M1" s="147"/>
      <c r="N1" s="147"/>
      <c r="O1" s="147"/>
      <c r="P1" s="147"/>
      <c r="Q1" s="147"/>
      <c r="R1" s="147"/>
      <c r="X1" s="40" t="s">
        <v>669</v>
      </c>
    </row>
    <row r="2" spans="1:28" ht="16.5" customHeight="1">
      <c r="A2" s="26" t="s">
        <v>244</v>
      </c>
      <c r="B2" s="27">
        <v>44551</v>
      </c>
      <c r="C2" s="27">
        <v>44552</v>
      </c>
      <c r="D2" s="27">
        <v>44553</v>
      </c>
      <c r="E2" s="27">
        <v>44554</v>
      </c>
      <c r="F2" s="31">
        <v>44555</v>
      </c>
      <c r="G2" s="31">
        <v>44556</v>
      </c>
      <c r="H2" s="27">
        <v>44557</v>
      </c>
      <c r="I2" s="27">
        <v>44558</v>
      </c>
      <c r="J2" s="27">
        <v>44559</v>
      </c>
      <c r="K2" s="31">
        <v>44560</v>
      </c>
      <c r="L2" s="31">
        <v>44561</v>
      </c>
      <c r="M2" s="23" t="s">
        <v>278</v>
      </c>
      <c r="N2" s="30">
        <v>44562</v>
      </c>
      <c r="O2" s="30">
        <v>44563</v>
      </c>
      <c r="P2" s="30">
        <v>44564</v>
      </c>
      <c r="Q2" s="30">
        <v>44565</v>
      </c>
      <c r="R2" s="25">
        <v>44566</v>
      </c>
      <c r="V2" s="40" t="s">
        <v>63</v>
      </c>
      <c r="X2" s="40" t="s">
        <v>64</v>
      </c>
      <c r="AB2" s="40" t="s">
        <v>169</v>
      </c>
    </row>
    <row r="3" spans="1:28" ht="16.5" customHeight="1">
      <c r="A3" s="28">
        <v>1</v>
      </c>
      <c r="B3" s="19"/>
      <c r="C3" s="19"/>
      <c r="D3" s="19"/>
      <c r="E3" s="19"/>
      <c r="F3" s="19" t="s">
        <v>315</v>
      </c>
      <c r="G3" s="19" t="s">
        <v>25</v>
      </c>
      <c r="H3" s="19"/>
      <c r="I3" s="19"/>
      <c r="J3" s="19"/>
      <c r="K3" s="19"/>
      <c r="L3" s="19"/>
      <c r="M3" s="36">
        <v>1</v>
      </c>
      <c r="N3" s="19"/>
      <c r="O3" s="19"/>
      <c r="P3" s="19"/>
      <c r="Q3" s="19"/>
      <c r="R3" s="19"/>
      <c r="V3" s="40" t="s">
        <v>25</v>
      </c>
      <c r="W3" s="40">
        <v>2</v>
      </c>
      <c r="X3" s="40" t="s">
        <v>45</v>
      </c>
      <c r="Y3" s="40">
        <v>2</v>
      </c>
      <c r="AB3" s="40" t="s">
        <v>153</v>
      </c>
    </row>
    <row r="4" spans="1:28" ht="16.5" customHeight="1">
      <c r="A4" s="28">
        <v>2</v>
      </c>
      <c r="B4" s="19"/>
      <c r="C4" s="19"/>
      <c r="D4" s="19"/>
      <c r="E4" s="19"/>
      <c r="F4" s="19" t="s">
        <v>6</v>
      </c>
      <c r="G4" s="19" t="s">
        <v>93</v>
      </c>
      <c r="H4" s="19"/>
      <c r="I4" s="19"/>
      <c r="J4" s="19"/>
      <c r="K4" s="19"/>
      <c r="L4" s="19"/>
      <c r="M4" s="36">
        <v>2</v>
      </c>
      <c r="N4" s="19"/>
      <c r="O4" s="19"/>
      <c r="P4" s="19"/>
      <c r="Q4" s="19"/>
      <c r="R4" s="19"/>
      <c r="T4" s="41"/>
      <c r="U4" s="41"/>
      <c r="V4" s="40" t="s">
        <v>2</v>
      </c>
      <c r="W4" s="40">
        <v>3</v>
      </c>
      <c r="X4" s="40" t="s">
        <v>14</v>
      </c>
      <c r="Y4" s="40">
        <v>2</v>
      </c>
      <c r="AB4" s="40" t="s">
        <v>26</v>
      </c>
    </row>
    <row r="5" spans="1:28" ht="16.5" customHeight="1">
      <c r="A5" s="28">
        <v>3</v>
      </c>
      <c r="B5" s="19"/>
      <c r="C5" s="19"/>
      <c r="D5" s="19"/>
      <c r="E5" s="19"/>
      <c r="F5" s="19" t="s">
        <v>843</v>
      </c>
      <c r="G5" s="19" t="s">
        <v>843</v>
      </c>
      <c r="H5" s="19"/>
      <c r="I5" s="19"/>
      <c r="J5" s="19"/>
      <c r="K5" s="19"/>
      <c r="L5" s="19"/>
      <c r="M5" s="36">
        <v>3</v>
      </c>
      <c r="N5" s="19"/>
      <c r="O5" s="19"/>
      <c r="P5" s="19"/>
      <c r="Q5" s="19"/>
      <c r="R5" s="19"/>
      <c r="T5" s="41"/>
      <c r="U5" s="41"/>
      <c r="V5" s="40" t="s">
        <v>516</v>
      </c>
      <c r="X5" s="40" t="s">
        <v>6</v>
      </c>
      <c r="Y5" s="40">
        <v>2</v>
      </c>
      <c r="AB5" s="40" t="s">
        <v>6</v>
      </c>
    </row>
    <row r="6" spans="1:28" ht="16.5" customHeight="1">
      <c r="A6" s="28" t="s">
        <v>20</v>
      </c>
      <c r="B6" s="19" t="s">
        <v>312</v>
      </c>
      <c r="C6" s="19" t="s">
        <v>13</v>
      </c>
      <c r="D6" s="19" t="s">
        <v>13</v>
      </c>
      <c r="E6" s="19" t="s">
        <v>13</v>
      </c>
      <c r="F6" s="19" t="s">
        <v>13</v>
      </c>
      <c r="G6" s="19" t="s">
        <v>13</v>
      </c>
      <c r="H6" s="19" t="s">
        <v>769</v>
      </c>
      <c r="I6" s="19" t="s">
        <v>13</v>
      </c>
      <c r="J6" s="19" t="s">
        <v>13</v>
      </c>
      <c r="K6" s="19"/>
      <c r="L6" s="19"/>
      <c r="M6" s="36" t="s">
        <v>20</v>
      </c>
      <c r="N6" s="19"/>
      <c r="O6" s="19"/>
      <c r="P6" s="19"/>
      <c r="Q6" s="19"/>
      <c r="R6" s="19" t="s">
        <v>769</v>
      </c>
      <c r="T6" s="41"/>
      <c r="U6" s="41"/>
      <c r="V6" s="40" t="s">
        <v>7</v>
      </c>
      <c r="W6" s="40">
        <v>3</v>
      </c>
      <c r="X6" s="40" t="s">
        <v>23</v>
      </c>
      <c r="Y6" s="40">
        <v>2</v>
      </c>
      <c r="AB6" s="40" t="s">
        <v>152</v>
      </c>
    </row>
    <row r="7" spans="1:28" ht="16.5" customHeight="1">
      <c r="A7" s="28" t="s">
        <v>0</v>
      </c>
      <c r="B7" s="19" t="s">
        <v>10</v>
      </c>
      <c r="C7" s="19" t="s">
        <v>13</v>
      </c>
      <c r="D7" s="19" t="s">
        <v>13</v>
      </c>
      <c r="E7" s="19" t="s">
        <v>13</v>
      </c>
      <c r="F7" s="19" t="s">
        <v>9</v>
      </c>
      <c r="G7" s="19" t="s">
        <v>13</v>
      </c>
      <c r="H7" s="19" t="s">
        <v>861</v>
      </c>
      <c r="I7" s="19" t="s">
        <v>13</v>
      </c>
      <c r="J7" s="19" t="s">
        <v>13</v>
      </c>
      <c r="K7" s="19"/>
      <c r="L7" s="19"/>
      <c r="M7" s="36" t="s">
        <v>0</v>
      </c>
      <c r="N7" s="19"/>
      <c r="O7" s="19"/>
      <c r="P7" s="19"/>
      <c r="Q7" s="19"/>
      <c r="R7" s="19" t="s">
        <v>861</v>
      </c>
      <c r="T7" s="41"/>
      <c r="U7" s="41"/>
      <c r="V7" s="40" t="s">
        <v>21</v>
      </c>
      <c r="W7" s="40">
        <v>3</v>
      </c>
      <c r="X7" s="40" t="s">
        <v>153</v>
      </c>
      <c r="Y7" s="40">
        <v>2</v>
      </c>
      <c r="AB7" s="40" t="s">
        <v>23</v>
      </c>
    </row>
    <row r="8" spans="1:28" ht="16.5" customHeight="1">
      <c r="A8" s="28" t="s">
        <v>1</v>
      </c>
      <c r="B8" s="19"/>
      <c r="C8" s="19"/>
      <c r="D8" s="19"/>
      <c r="E8" s="19"/>
      <c r="F8" s="19"/>
      <c r="G8" s="19"/>
      <c r="H8" s="19"/>
      <c r="I8" s="19"/>
      <c r="J8" s="19"/>
      <c r="K8" s="19"/>
      <c r="L8" s="19"/>
      <c r="M8" s="36" t="s">
        <v>1</v>
      </c>
      <c r="N8" s="19"/>
      <c r="O8" s="19"/>
      <c r="P8" s="19"/>
      <c r="Q8" s="19"/>
      <c r="R8" s="19"/>
      <c r="T8" s="41"/>
      <c r="V8" s="40" t="s">
        <v>26</v>
      </c>
      <c r="W8" s="40">
        <v>2</v>
      </c>
      <c r="X8" s="40" t="s">
        <v>327</v>
      </c>
      <c r="Y8" s="40">
        <v>2</v>
      </c>
      <c r="AB8" s="40" t="s">
        <v>25</v>
      </c>
    </row>
    <row r="9" spans="1:28" ht="16.5" customHeight="1">
      <c r="A9" s="28" t="s">
        <v>366</v>
      </c>
      <c r="B9" s="19"/>
      <c r="C9" s="19"/>
      <c r="D9" s="19"/>
      <c r="E9" s="19"/>
      <c r="F9" s="19"/>
      <c r="G9" s="19"/>
      <c r="H9" s="19"/>
      <c r="I9" s="19"/>
      <c r="J9" s="19"/>
      <c r="K9" s="19"/>
      <c r="L9" s="19"/>
      <c r="M9" s="36" t="s">
        <v>366</v>
      </c>
      <c r="N9" s="19"/>
      <c r="O9" s="19"/>
      <c r="P9" s="19"/>
      <c r="Q9" s="19"/>
      <c r="R9" s="19"/>
      <c r="T9" s="41"/>
      <c r="V9" s="40" t="s">
        <v>27</v>
      </c>
      <c r="W9" s="40">
        <v>3</v>
      </c>
      <c r="X9" s="40" t="s">
        <v>28</v>
      </c>
      <c r="Y9" s="40">
        <v>2</v>
      </c>
      <c r="AB9" s="40" t="s">
        <v>327</v>
      </c>
    </row>
    <row r="10" spans="1:28" ht="16.5" customHeight="1">
      <c r="A10" s="23" t="s">
        <v>278</v>
      </c>
      <c r="B10" s="25">
        <v>44567</v>
      </c>
      <c r="C10" s="25">
        <v>44568</v>
      </c>
      <c r="D10" s="30">
        <v>44569</v>
      </c>
      <c r="E10" s="30">
        <v>44570</v>
      </c>
      <c r="F10" s="25">
        <v>44571</v>
      </c>
      <c r="G10" s="25">
        <v>44572</v>
      </c>
      <c r="H10" s="25">
        <v>44573</v>
      </c>
      <c r="I10" s="25">
        <v>44574</v>
      </c>
      <c r="J10" s="25">
        <v>44575</v>
      </c>
      <c r="K10" s="30">
        <v>44576</v>
      </c>
      <c r="L10" s="30">
        <v>44577</v>
      </c>
      <c r="M10" s="25">
        <v>44578</v>
      </c>
      <c r="N10" s="25">
        <v>44579</v>
      </c>
      <c r="O10" s="25">
        <v>44580</v>
      </c>
      <c r="P10" s="25">
        <v>44581</v>
      </c>
      <c r="Q10" s="19"/>
      <c r="R10" s="19"/>
      <c r="T10" s="41"/>
      <c r="V10" s="40" t="s">
        <v>533</v>
      </c>
      <c r="W10" s="40">
        <v>3</v>
      </c>
      <c r="X10" s="40" t="s">
        <v>152</v>
      </c>
      <c r="Y10" s="40">
        <v>3</v>
      </c>
      <c r="AB10" s="40" t="s">
        <v>516</v>
      </c>
    </row>
    <row r="11" spans="1:28" ht="16.5" customHeight="1">
      <c r="A11" s="36">
        <v>1</v>
      </c>
      <c r="B11" s="19"/>
      <c r="C11" s="19"/>
      <c r="D11" s="19" t="s">
        <v>312</v>
      </c>
      <c r="E11" s="19" t="s">
        <v>107</v>
      </c>
      <c r="F11" s="19"/>
      <c r="G11" s="19"/>
      <c r="H11" s="19"/>
      <c r="I11" s="19"/>
      <c r="J11" s="19"/>
      <c r="K11" s="19" t="s">
        <v>7</v>
      </c>
      <c r="L11" s="19" t="s">
        <v>533</v>
      </c>
      <c r="M11" s="19"/>
      <c r="N11" s="19"/>
      <c r="O11" s="19"/>
      <c r="P11" s="19"/>
      <c r="Q11" s="19"/>
      <c r="R11" s="19"/>
      <c r="T11" s="41"/>
      <c r="X11" s="40" t="s">
        <v>516</v>
      </c>
      <c r="Y11" s="40">
        <v>2</v>
      </c>
    </row>
    <row r="12" spans="1:28" ht="16.5" customHeight="1">
      <c r="A12" s="36">
        <v>2</v>
      </c>
      <c r="B12" s="19"/>
      <c r="C12" s="19"/>
      <c r="D12" s="19" t="s">
        <v>14</v>
      </c>
      <c r="E12" s="19" t="s">
        <v>516</v>
      </c>
      <c r="F12" s="19"/>
      <c r="G12" s="19"/>
      <c r="H12" s="19"/>
      <c r="I12" s="19"/>
      <c r="J12" s="19"/>
      <c r="K12" s="19" t="s">
        <v>313</v>
      </c>
      <c r="L12" s="19" t="s">
        <v>314</v>
      </c>
      <c r="M12" s="19"/>
      <c r="N12" s="19"/>
      <c r="O12" s="19"/>
      <c r="P12" s="19"/>
      <c r="Q12" s="19"/>
      <c r="R12" s="19"/>
      <c r="T12" s="41"/>
    </row>
    <row r="13" spans="1:28" ht="16.5" customHeight="1">
      <c r="A13" s="36">
        <v>3</v>
      </c>
      <c r="B13" s="19"/>
      <c r="C13" s="19"/>
      <c r="D13" s="19" t="s">
        <v>843</v>
      </c>
      <c r="E13" s="19" t="s">
        <v>843</v>
      </c>
      <c r="F13" s="19"/>
      <c r="G13" s="19"/>
      <c r="H13" s="19"/>
      <c r="I13" s="19"/>
      <c r="J13" s="19"/>
      <c r="K13" s="19" t="s">
        <v>843</v>
      </c>
      <c r="L13" s="19" t="s">
        <v>843</v>
      </c>
      <c r="M13" s="19"/>
      <c r="N13" s="19"/>
      <c r="O13" s="19"/>
      <c r="P13" s="19"/>
      <c r="Q13" s="19"/>
      <c r="R13" s="19"/>
      <c r="T13" s="41"/>
    </row>
    <row r="14" spans="1:28" ht="16.5" customHeight="1">
      <c r="A14" s="36" t="s">
        <v>20</v>
      </c>
      <c r="B14" s="19" t="s">
        <v>769</v>
      </c>
      <c r="C14" s="19" t="s">
        <v>13</v>
      </c>
      <c r="D14" s="19" t="s">
        <v>13</v>
      </c>
      <c r="E14" s="19" t="s">
        <v>13</v>
      </c>
      <c r="F14" s="19" t="s">
        <v>774</v>
      </c>
      <c r="G14" s="19" t="s">
        <v>13</v>
      </c>
      <c r="H14" s="19" t="s">
        <v>13</v>
      </c>
      <c r="I14" s="19" t="s">
        <v>13</v>
      </c>
      <c r="J14" s="19" t="s">
        <v>13</v>
      </c>
      <c r="K14" s="19" t="s">
        <v>13</v>
      </c>
      <c r="L14" s="19" t="s">
        <v>13</v>
      </c>
      <c r="M14" s="19" t="s">
        <v>516</v>
      </c>
      <c r="N14" s="19" t="s">
        <v>13</v>
      </c>
      <c r="O14" s="19" t="s">
        <v>13</v>
      </c>
      <c r="P14" s="19" t="s">
        <v>13</v>
      </c>
      <c r="Q14" s="19"/>
      <c r="R14" s="19"/>
      <c r="T14" s="41"/>
    </row>
    <row r="15" spans="1:28" ht="16.5" customHeight="1">
      <c r="A15" s="36" t="s">
        <v>0</v>
      </c>
      <c r="B15" s="19" t="s">
        <v>861</v>
      </c>
      <c r="C15" s="19" t="s">
        <v>13</v>
      </c>
      <c r="D15" s="19" t="s">
        <v>9</v>
      </c>
      <c r="E15" s="19" t="s">
        <v>13</v>
      </c>
      <c r="F15" s="19" t="s">
        <v>861</v>
      </c>
      <c r="G15" s="19" t="s">
        <v>13</v>
      </c>
      <c r="H15" s="19" t="s">
        <v>13</v>
      </c>
      <c r="I15" s="19" t="s">
        <v>13</v>
      </c>
      <c r="J15" s="19" t="s">
        <v>13</v>
      </c>
      <c r="K15" s="19" t="s">
        <v>9</v>
      </c>
      <c r="L15" s="19" t="s">
        <v>13</v>
      </c>
      <c r="M15" s="19" t="s">
        <v>37</v>
      </c>
      <c r="N15" s="19" t="s">
        <v>13</v>
      </c>
      <c r="O15" s="19" t="s">
        <v>13</v>
      </c>
      <c r="P15" s="19" t="s">
        <v>13</v>
      </c>
      <c r="Q15" s="19"/>
      <c r="R15" s="19"/>
      <c r="T15" s="41"/>
      <c r="V15" s="40" t="s">
        <v>858</v>
      </c>
      <c r="W15" s="40">
        <f>SUM(W2:W14)</f>
        <v>19</v>
      </c>
      <c r="Y15" s="40">
        <f>SUM(Y2:Y14)</f>
        <v>19</v>
      </c>
    </row>
    <row r="16" spans="1:28" ht="16.5" customHeight="1">
      <c r="A16" s="36" t="s">
        <v>1</v>
      </c>
      <c r="B16" s="19"/>
      <c r="C16" s="19"/>
      <c r="D16" s="19"/>
      <c r="E16" s="19"/>
      <c r="F16" s="19"/>
      <c r="G16" s="19"/>
      <c r="H16" s="19"/>
      <c r="I16" s="19"/>
      <c r="J16" s="19"/>
      <c r="K16" s="19"/>
      <c r="L16" s="19"/>
      <c r="M16" s="19"/>
      <c r="N16" s="19"/>
      <c r="O16" s="19"/>
      <c r="P16" s="19"/>
      <c r="Q16" s="19"/>
      <c r="R16" s="19"/>
      <c r="T16" s="41"/>
    </row>
    <row r="17" spans="1:29" ht="16.5" customHeight="1">
      <c r="A17" s="36" t="s">
        <v>366</v>
      </c>
      <c r="B17" s="19"/>
      <c r="C17" s="19"/>
      <c r="D17" s="19"/>
      <c r="E17" s="19"/>
      <c r="F17" s="19"/>
      <c r="G17" s="19"/>
      <c r="H17" s="19"/>
      <c r="I17" s="19"/>
      <c r="J17" s="19"/>
      <c r="K17" s="19"/>
      <c r="L17" s="19"/>
      <c r="M17" s="19"/>
      <c r="N17" s="19"/>
      <c r="O17" s="19"/>
      <c r="P17" s="19"/>
      <c r="Q17" s="19"/>
      <c r="R17" s="19"/>
      <c r="T17" s="41"/>
    </row>
    <row r="18" spans="1:29" ht="11.25" customHeight="1">
      <c r="A18" s="42"/>
      <c r="B18" s="37"/>
      <c r="C18" s="37"/>
      <c r="D18" s="37"/>
      <c r="E18" s="37"/>
      <c r="F18" s="37"/>
      <c r="G18" s="37"/>
      <c r="H18" s="38"/>
      <c r="I18" s="38"/>
      <c r="J18" s="38"/>
      <c r="K18" s="38"/>
      <c r="L18" s="38"/>
      <c r="M18" s="38"/>
      <c r="N18" s="38"/>
      <c r="O18" s="38"/>
      <c r="P18" s="37"/>
      <c r="Q18" s="37"/>
      <c r="R18" s="39"/>
      <c r="T18" s="41"/>
      <c r="X18" s="40" t="s">
        <v>495</v>
      </c>
    </row>
    <row r="19" spans="1:29" ht="16.5" customHeight="1">
      <c r="A19" s="23" t="s">
        <v>278</v>
      </c>
      <c r="B19" s="25">
        <v>44582</v>
      </c>
      <c r="C19" s="30">
        <v>44583</v>
      </c>
      <c r="D19" s="30">
        <v>44584</v>
      </c>
      <c r="E19" s="25">
        <v>44585</v>
      </c>
      <c r="F19" s="25">
        <v>44586</v>
      </c>
      <c r="G19" s="25">
        <v>44587</v>
      </c>
      <c r="H19" s="25">
        <v>44588</v>
      </c>
      <c r="I19" s="25">
        <v>44589</v>
      </c>
      <c r="J19" s="30">
        <v>44590</v>
      </c>
      <c r="K19" s="30">
        <v>44591</v>
      </c>
      <c r="L19" s="25">
        <v>44592</v>
      </c>
      <c r="M19" s="26" t="s">
        <v>279</v>
      </c>
      <c r="N19" s="27">
        <v>44593</v>
      </c>
      <c r="O19" s="27">
        <v>44594</v>
      </c>
      <c r="P19" s="27">
        <v>44595</v>
      </c>
      <c r="Q19" s="27">
        <v>44596</v>
      </c>
      <c r="R19" s="31">
        <v>44597</v>
      </c>
      <c r="T19" s="41"/>
      <c r="V19" s="40" t="s">
        <v>63</v>
      </c>
      <c r="X19" s="40" t="s">
        <v>64</v>
      </c>
      <c r="AB19" s="40" t="s">
        <v>169</v>
      </c>
    </row>
    <row r="20" spans="1:29" ht="16.5" customHeight="1">
      <c r="A20" s="36">
        <v>1</v>
      </c>
      <c r="B20" s="19"/>
      <c r="C20" s="19" t="s">
        <v>2</v>
      </c>
      <c r="D20" s="19" t="s">
        <v>315</v>
      </c>
      <c r="E20" s="19"/>
      <c r="F20" s="19"/>
      <c r="G20" s="19"/>
      <c r="H20" s="19"/>
      <c r="I20" s="19"/>
      <c r="J20" s="19" t="s">
        <v>107</v>
      </c>
      <c r="K20" s="19" t="s">
        <v>25</v>
      </c>
      <c r="L20" s="19"/>
      <c r="M20" s="28">
        <v>1</v>
      </c>
      <c r="N20" s="19"/>
      <c r="O20" s="19"/>
      <c r="P20" s="19"/>
      <c r="Q20" s="19"/>
      <c r="R20" s="19" t="s">
        <v>312</v>
      </c>
      <c r="T20" s="41"/>
      <c r="V20" s="40" t="s">
        <v>25</v>
      </c>
      <c r="W20" s="40">
        <v>2</v>
      </c>
      <c r="X20" s="40" t="s">
        <v>45</v>
      </c>
      <c r="Y20" s="40">
        <v>2</v>
      </c>
      <c r="AB20" s="40" t="s">
        <v>153</v>
      </c>
      <c r="AC20" s="40">
        <v>6</v>
      </c>
    </row>
    <row r="21" spans="1:29" ht="16.5" customHeight="1">
      <c r="A21" s="36">
        <v>2</v>
      </c>
      <c r="B21" s="19"/>
      <c r="C21" s="19" t="s">
        <v>769</v>
      </c>
      <c r="D21" s="19" t="s">
        <v>153</v>
      </c>
      <c r="E21" s="19"/>
      <c r="F21" s="19"/>
      <c r="G21" s="19"/>
      <c r="H21" s="19"/>
      <c r="I21" s="19"/>
      <c r="J21" s="19" t="s">
        <v>93</v>
      </c>
      <c r="K21" s="19" t="s">
        <v>774</v>
      </c>
      <c r="L21" s="19"/>
      <c r="M21" s="28">
        <v>2</v>
      </c>
      <c r="N21" s="19"/>
      <c r="O21" s="19"/>
      <c r="P21" s="19"/>
      <c r="Q21" s="19"/>
      <c r="R21" s="19" t="s">
        <v>314</v>
      </c>
      <c r="T21" s="41"/>
      <c r="V21" s="40" t="s">
        <v>2</v>
      </c>
      <c r="W21" s="40">
        <v>2</v>
      </c>
      <c r="X21" s="40" t="s">
        <v>14</v>
      </c>
      <c r="Y21" s="40">
        <v>2</v>
      </c>
      <c r="AB21" s="40" t="s">
        <v>26</v>
      </c>
      <c r="AC21" s="40">
        <v>1.8</v>
      </c>
    </row>
    <row r="22" spans="1:29" ht="16.5" customHeight="1">
      <c r="A22" s="36">
        <v>3</v>
      </c>
      <c r="B22" s="19"/>
      <c r="C22" s="19" t="s">
        <v>843</v>
      </c>
      <c r="D22" s="19" t="s">
        <v>843</v>
      </c>
      <c r="E22" s="19"/>
      <c r="F22" s="19"/>
      <c r="G22" s="19"/>
      <c r="H22" s="19"/>
      <c r="I22" s="19"/>
      <c r="J22" s="19" t="s">
        <v>843</v>
      </c>
      <c r="K22" s="19" t="s">
        <v>843</v>
      </c>
      <c r="L22" s="19"/>
      <c r="M22" s="28">
        <v>3</v>
      </c>
      <c r="N22" s="19"/>
      <c r="O22" s="19"/>
      <c r="P22" s="19"/>
      <c r="Q22" s="19"/>
      <c r="R22" s="19" t="s">
        <v>843</v>
      </c>
      <c r="T22" s="41"/>
      <c r="V22" s="40" t="s">
        <v>516</v>
      </c>
      <c r="W22" s="40">
        <v>1</v>
      </c>
      <c r="X22" s="40" t="s">
        <v>6</v>
      </c>
      <c r="Y22" s="40">
        <v>2</v>
      </c>
      <c r="AB22" s="40" t="s">
        <v>6</v>
      </c>
      <c r="AC22" s="40">
        <v>5</v>
      </c>
    </row>
    <row r="23" spans="1:29" ht="16.5" customHeight="1">
      <c r="A23" s="36" t="s">
        <v>20</v>
      </c>
      <c r="B23" s="19" t="s">
        <v>516</v>
      </c>
      <c r="C23" s="19" t="s">
        <v>13</v>
      </c>
      <c r="D23" s="19" t="s">
        <v>13</v>
      </c>
      <c r="E23" s="19" t="s">
        <v>6</v>
      </c>
      <c r="F23" s="19" t="s">
        <v>13</v>
      </c>
      <c r="G23" s="19" t="s">
        <v>13</v>
      </c>
      <c r="H23" s="19" t="s">
        <v>13</v>
      </c>
      <c r="I23" s="19" t="s">
        <v>13</v>
      </c>
      <c r="J23" s="19" t="s">
        <v>13</v>
      </c>
      <c r="K23" s="19" t="s">
        <v>13</v>
      </c>
      <c r="L23" s="19" t="s">
        <v>153</v>
      </c>
      <c r="M23" s="28" t="s">
        <v>20</v>
      </c>
      <c r="N23" s="19" t="s">
        <v>153</v>
      </c>
      <c r="O23" s="19" t="s">
        <v>13</v>
      </c>
      <c r="P23" s="19" t="s">
        <v>13</v>
      </c>
      <c r="Q23" s="19" t="s">
        <v>13</v>
      </c>
      <c r="R23" s="19" t="s">
        <v>13</v>
      </c>
      <c r="T23" s="41"/>
      <c r="V23" s="40" t="s">
        <v>7</v>
      </c>
      <c r="W23" s="40">
        <v>2</v>
      </c>
      <c r="X23" s="40" t="s">
        <v>23</v>
      </c>
      <c r="Y23" s="40">
        <v>2</v>
      </c>
      <c r="AB23" s="40" t="s">
        <v>23</v>
      </c>
      <c r="AC23" s="40">
        <v>2</v>
      </c>
    </row>
    <row r="24" spans="1:29" ht="16.5" customHeight="1">
      <c r="A24" s="36" t="s">
        <v>0</v>
      </c>
      <c r="B24" s="19" t="s">
        <v>37</v>
      </c>
      <c r="C24" s="19" t="s">
        <v>9</v>
      </c>
      <c r="D24" s="19" t="s">
        <v>13</v>
      </c>
      <c r="E24" s="19" t="s">
        <v>863</v>
      </c>
      <c r="F24" s="19" t="s">
        <v>13</v>
      </c>
      <c r="G24" s="19" t="s">
        <v>13</v>
      </c>
      <c r="H24" s="19" t="s">
        <v>13</v>
      </c>
      <c r="I24" s="19" t="s">
        <v>13</v>
      </c>
      <c r="J24" s="19" t="s">
        <v>9</v>
      </c>
      <c r="K24" s="19" t="s">
        <v>13</v>
      </c>
      <c r="L24" s="19" t="s">
        <v>864</v>
      </c>
      <c r="M24" s="28" t="s">
        <v>0</v>
      </c>
      <c r="N24" s="19" t="s">
        <v>864</v>
      </c>
      <c r="O24" s="19" t="s">
        <v>13</v>
      </c>
      <c r="P24" s="19" t="s">
        <v>13</v>
      </c>
      <c r="Q24" s="19" t="s">
        <v>13</v>
      </c>
      <c r="R24" s="19" t="s">
        <v>9</v>
      </c>
      <c r="T24" s="41"/>
      <c r="V24" s="40" t="s">
        <v>21</v>
      </c>
      <c r="W24" s="40">
        <v>3</v>
      </c>
      <c r="X24" s="40" t="s">
        <v>153</v>
      </c>
      <c r="Y24" s="40">
        <v>1</v>
      </c>
      <c r="AB24" s="40" t="s">
        <v>25</v>
      </c>
      <c r="AC24" s="40">
        <v>7</v>
      </c>
    </row>
    <row r="25" spans="1:29" ht="16.5" customHeight="1">
      <c r="A25" s="36" t="s">
        <v>1</v>
      </c>
      <c r="B25" s="19"/>
      <c r="C25" s="19"/>
      <c r="D25" s="19"/>
      <c r="E25" s="19"/>
      <c r="F25" s="19"/>
      <c r="G25" s="19"/>
      <c r="H25" s="19"/>
      <c r="I25" s="19"/>
      <c r="J25" s="19"/>
      <c r="K25" s="19"/>
      <c r="L25" s="19"/>
      <c r="M25" s="28" t="s">
        <v>1</v>
      </c>
      <c r="N25" s="19"/>
      <c r="O25" s="19"/>
      <c r="P25" s="19"/>
      <c r="Q25" s="19"/>
      <c r="R25" s="19"/>
      <c r="T25" s="41"/>
      <c r="V25" s="40" t="s">
        <v>26</v>
      </c>
      <c r="W25" s="40">
        <v>2</v>
      </c>
      <c r="X25" s="40" t="s">
        <v>327</v>
      </c>
      <c r="Y25" s="40">
        <v>2</v>
      </c>
      <c r="AB25" s="40" t="s">
        <v>327</v>
      </c>
      <c r="AC25" s="40">
        <v>3</v>
      </c>
    </row>
    <row r="26" spans="1:29" ht="16.5" customHeight="1">
      <c r="A26" s="36" t="s">
        <v>366</v>
      </c>
      <c r="B26" s="19"/>
      <c r="C26" s="19"/>
      <c r="D26" s="19"/>
      <c r="E26" s="19"/>
      <c r="F26" s="19"/>
      <c r="G26" s="19"/>
      <c r="H26" s="19"/>
      <c r="I26" s="19"/>
      <c r="J26" s="19"/>
      <c r="K26" s="19"/>
      <c r="L26" s="19"/>
      <c r="M26" s="28" t="s">
        <v>366</v>
      </c>
      <c r="N26" s="19"/>
      <c r="O26" s="19"/>
      <c r="P26" s="19"/>
      <c r="Q26" s="19"/>
      <c r="R26" s="19"/>
      <c r="T26" s="41"/>
      <c r="V26" s="40" t="s">
        <v>27</v>
      </c>
      <c r="W26" s="40">
        <v>2</v>
      </c>
      <c r="X26" s="40" t="s">
        <v>28</v>
      </c>
      <c r="Y26" s="40">
        <v>2</v>
      </c>
      <c r="AB26" s="40" t="s">
        <v>516</v>
      </c>
      <c r="AC26" s="40">
        <v>4</v>
      </c>
    </row>
    <row r="27" spans="1:29" ht="16.5" customHeight="1">
      <c r="A27" s="26" t="s">
        <v>279</v>
      </c>
      <c r="B27" s="31">
        <v>44598</v>
      </c>
      <c r="C27" s="27">
        <v>44599</v>
      </c>
      <c r="D27" s="27">
        <v>44600</v>
      </c>
      <c r="E27" s="27">
        <v>44601</v>
      </c>
      <c r="F27" s="27">
        <v>44602</v>
      </c>
      <c r="G27" s="27">
        <v>44603</v>
      </c>
      <c r="H27" s="31">
        <v>44604</v>
      </c>
      <c r="I27" s="31">
        <v>44605</v>
      </c>
      <c r="J27" s="27">
        <v>44606</v>
      </c>
      <c r="K27" s="27">
        <v>44607</v>
      </c>
      <c r="L27" s="27">
        <v>44608</v>
      </c>
      <c r="M27" s="27">
        <v>44609</v>
      </c>
      <c r="N27" s="27">
        <v>44610</v>
      </c>
      <c r="O27" s="31">
        <v>44611</v>
      </c>
      <c r="P27" s="31">
        <v>44612</v>
      </c>
      <c r="Q27" s="19"/>
      <c r="R27" s="19"/>
      <c r="T27" s="41"/>
      <c r="V27" s="40" t="s">
        <v>533</v>
      </c>
      <c r="W27" s="40">
        <v>2</v>
      </c>
      <c r="X27" s="40" t="s">
        <v>152</v>
      </c>
      <c r="Y27" s="40">
        <v>2</v>
      </c>
    </row>
    <row r="28" spans="1:29" ht="16.5" customHeight="1">
      <c r="A28" s="28">
        <v>1</v>
      </c>
      <c r="B28" s="19" t="s">
        <v>7</v>
      </c>
      <c r="C28" s="19"/>
      <c r="D28" s="19"/>
      <c r="E28" s="19"/>
      <c r="F28" s="19"/>
      <c r="G28" s="19"/>
      <c r="H28" s="19" t="s">
        <v>533</v>
      </c>
      <c r="I28" s="19" t="s">
        <v>2</v>
      </c>
      <c r="J28" s="19"/>
      <c r="K28" s="19"/>
      <c r="L28" s="19"/>
      <c r="M28" s="19"/>
      <c r="N28" s="19"/>
      <c r="O28" s="19" t="s">
        <v>315</v>
      </c>
      <c r="P28" s="19" t="s">
        <v>516</v>
      </c>
      <c r="Q28" s="19"/>
      <c r="R28" s="19"/>
      <c r="T28" s="41"/>
      <c r="X28" s="40" t="s">
        <v>516</v>
      </c>
      <c r="Y28" s="40">
        <v>1</v>
      </c>
    </row>
    <row r="29" spans="1:29" ht="16.5" customHeight="1">
      <c r="A29" s="28">
        <v>2</v>
      </c>
      <c r="B29" s="19" t="s">
        <v>313</v>
      </c>
      <c r="C29" s="19"/>
      <c r="D29" s="19"/>
      <c r="E29" s="19"/>
      <c r="F29" s="19"/>
      <c r="G29" s="19"/>
      <c r="H29" s="19" t="s">
        <v>769</v>
      </c>
      <c r="I29" s="19" t="s">
        <v>14</v>
      </c>
      <c r="J29" s="19"/>
      <c r="K29" s="19"/>
      <c r="L29" s="19"/>
      <c r="M29" s="19"/>
      <c r="N29" s="19"/>
      <c r="O29" s="19" t="s">
        <v>774</v>
      </c>
      <c r="P29" s="19" t="s">
        <v>6</v>
      </c>
      <c r="Q29" s="19"/>
      <c r="R29" s="19"/>
      <c r="T29" s="41"/>
    </row>
    <row r="30" spans="1:29" ht="16.5" customHeight="1">
      <c r="A30" s="28">
        <v>3</v>
      </c>
      <c r="B30" s="19" t="s">
        <v>843</v>
      </c>
      <c r="C30" s="19"/>
      <c r="D30" s="19"/>
      <c r="E30" s="19"/>
      <c r="F30" s="19"/>
      <c r="G30" s="19"/>
      <c r="H30" s="19" t="s">
        <v>843</v>
      </c>
      <c r="I30" s="19" t="s">
        <v>843</v>
      </c>
      <c r="J30" s="19"/>
      <c r="K30" s="19"/>
      <c r="L30" s="19"/>
      <c r="M30" s="19"/>
      <c r="N30" s="19"/>
      <c r="O30" s="19" t="s">
        <v>843</v>
      </c>
      <c r="P30" s="19" t="s">
        <v>843</v>
      </c>
      <c r="Q30" s="19"/>
      <c r="R30" s="19"/>
      <c r="T30" s="41"/>
    </row>
    <row r="31" spans="1:29" ht="16.5" customHeight="1">
      <c r="A31" s="28" t="s">
        <v>20</v>
      </c>
      <c r="B31" s="19" t="s">
        <v>153</v>
      </c>
      <c r="C31" s="19" t="s">
        <v>25</v>
      </c>
      <c r="D31" s="19" t="s">
        <v>13</v>
      </c>
      <c r="E31" s="19" t="s">
        <v>13</v>
      </c>
      <c r="F31" s="19" t="s">
        <v>13</v>
      </c>
      <c r="G31" s="19" t="s">
        <v>13</v>
      </c>
      <c r="H31" s="19" t="s">
        <v>13</v>
      </c>
      <c r="I31" s="19" t="s">
        <v>13</v>
      </c>
      <c r="J31" s="19" t="s">
        <v>312</v>
      </c>
      <c r="K31" s="19" t="s">
        <v>13</v>
      </c>
      <c r="L31" s="19" t="s">
        <v>13</v>
      </c>
      <c r="M31" s="19" t="s">
        <v>13</v>
      </c>
      <c r="N31" s="19" t="s">
        <v>13</v>
      </c>
      <c r="O31" s="19" t="s">
        <v>13</v>
      </c>
      <c r="P31" s="19" t="s">
        <v>13</v>
      </c>
      <c r="Q31" s="19"/>
      <c r="R31" s="19"/>
      <c r="T31" s="41"/>
    </row>
    <row r="32" spans="1:29" ht="16.5" customHeight="1">
      <c r="A32" s="28" t="s">
        <v>0</v>
      </c>
      <c r="B32" s="19" t="s">
        <v>9</v>
      </c>
      <c r="C32" s="19" t="s">
        <v>10</v>
      </c>
      <c r="D32" s="19" t="s">
        <v>13</v>
      </c>
      <c r="E32" s="19" t="s">
        <v>13</v>
      </c>
      <c r="F32" s="19" t="s">
        <v>13</v>
      </c>
      <c r="G32" s="19" t="s">
        <v>13</v>
      </c>
      <c r="H32" s="19" t="s">
        <v>9</v>
      </c>
      <c r="I32" s="19" t="s">
        <v>13</v>
      </c>
      <c r="J32" s="19" t="s">
        <v>861</v>
      </c>
      <c r="K32" s="19" t="s">
        <v>13</v>
      </c>
      <c r="L32" s="19" t="s">
        <v>13</v>
      </c>
      <c r="M32" s="19" t="s">
        <v>13</v>
      </c>
      <c r="N32" s="19" t="s">
        <v>13</v>
      </c>
      <c r="O32" s="19" t="s">
        <v>9</v>
      </c>
      <c r="P32" s="19" t="s">
        <v>13</v>
      </c>
      <c r="Q32" s="19"/>
      <c r="R32" s="19"/>
      <c r="T32" s="41"/>
      <c r="V32" s="40" t="s">
        <v>696</v>
      </c>
      <c r="W32" s="40">
        <f>SUM(W19:W31)</f>
        <v>16</v>
      </c>
      <c r="Y32" s="40">
        <f>SUM(Y19:Y31)</f>
        <v>16</v>
      </c>
    </row>
    <row r="33" spans="1:20" ht="16.5" customHeight="1">
      <c r="A33" s="28" t="s">
        <v>1</v>
      </c>
      <c r="B33" s="19"/>
      <c r="C33" s="19"/>
      <c r="D33" s="19"/>
      <c r="E33" s="19"/>
      <c r="F33" s="19"/>
      <c r="G33" s="19"/>
      <c r="H33" s="19"/>
      <c r="I33" s="19"/>
      <c r="J33" s="19"/>
      <c r="K33" s="19"/>
      <c r="L33" s="19"/>
      <c r="M33" s="19"/>
      <c r="N33" s="19"/>
      <c r="O33" s="19"/>
      <c r="P33" s="19"/>
      <c r="Q33" s="19"/>
      <c r="R33" s="19"/>
    </row>
    <row r="34" spans="1:20" ht="16.5" customHeight="1">
      <c r="A34" s="28" t="s">
        <v>366</v>
      </c>
      <c r="B34" s="19"/>
      <c r="C34" s="19"/>
      <c r="D34" s="19"/>
      <c r="E34" s="19"/>
      <c r="F34" s="19"/>
      <c r="G34" s="19"/>
      <c r="H34" s="19"/>
      <c r="I34" s="19"/>
      <c r="J34" s="19"/>
      <c r="K34" s="19"/>
      <c r="L34" s="19"/>
      <c r="M34" s="19"/>
      <c r="N34" s="19"/>
      <c r="O34" s="19"/>
      <c r="P34" s="19"/>
      <c r="Q34" s="19"/>
      <c r="R34" s="19"/>
    </row>
    <row r="35" spans="1:20" ht="12.75" customHeight="1">
      <c r="Q35" s="145" t="s">
        <v>82</v>
      </c>
      <c r="R35" s="145"/>
      <c r="T35" s="41"/>
    </row>
    <row r="36" spans="1:20">
      <c r="A36" s="40" t="s">
        <v>322</v>
      </c>
      <c r="B36" s="49"/>
      <c r="C36" s="49"/>
      <c r="D36" s="49"/>
      <c r="E36" s="49"/>
      <c r="F36" s="49"/>
      <c r="G36" s="49"/>
      <c r="H36" s="55"/>
      <c r="I36" s="49"/>
      <c r="J36" s="49"/>
      <c r="K36" s="49"/>
      <c r="L36" s="49"/>
      <c r="M36" s="49"/>
      <c r="N36" s="49"/>
      <c r="O36" s="49"/>
      <c r="T36" s="41"/>
    </row>
    <row r="37" spans="1:20">
      <c r="A37" s="43" t="s">
        <v>312</v>
      </c>
      <c r="B37" s="55" t="s">
        <v>866</v>
      </c>
      <c r="C37" s="55"/>
      <c r="D37" s="55"/>
      <c r="E37" s="55"/>
      <c r="F37" s="55"/>
      <c r="G37" s="55"/>
      <c r="H37" s="55"/>
      <c r="I37" s="55"/>
      <c r="J37" s="55"/>
      <c r="K37" s="55"/>
      <c r="L37" s="55"/>
      <c r="M37" s="55"/>
      <c r="N37" s="55"/>
      <c r="O37" s="55"/>
      <c r="P37" s="43"/>
      <c r="Q37" s="43"/>
      <c r="R37" s="43"/>
      <c r="T37" s="41"/>
    </row>
    <row r="38" spans="1:20">
      <c r="A38" s="43" t="s">
        <v>2</v>
      </c>
      <c r="B38" s="56">
        <v>2.12</v>
      </c>
      <c r="C38" s="55"/>
      <c r="D38" s="55"/>
      <c r="E38" s="55"/>
      <c r="F38" s="55"/>
      <c r="G38" s="55"/>
      <c r="H38" s="55"/>
      <c r="I38" s="55"/>
      <c r="J38" s="55"/>
      <c r="K38" s="55"/>
      <c r="L38" s="55"/>
      <c r="M38" s="55"/>
      <c r="N38" s="55"/>
      <c r="O38" s="55"/>
      <c r="P38" s="43"/>
      <c r="Q38" s="43"/>
      <c r="R38" s="43"/>
      <c r="T38" s="41"/>
    </row>
    <row r="39" spans="1:20">
      <c r="A39" s="43" t="s">
        <v>774</v>
      </c>
      <c r="B39" s="55" t="s">
        <v>867</v>
      </c>
      <c r="C39" s="55"/>
      <c r="D39" s="55"/>
      <c r="E39" s="55"/>
      <c r="F39" s="55"/>
      <c r="G39" s="55"/>
      <c r="H39" s="55"/>
      <c r="I39" s="55"/>
      <c r="J39" s="55"/>
      <c r="K39" s="55"/>
      <c r="L39" s="55"/>
      <c r="M39" s="55"/>
      <c r="N39" s="55"/>
      <c r="O39" s="55"/>
      <c r="P39" s="43"/>
      <c r="Q39" s="43"/>
      <c r="R39" s="43"/>
      <c r="T39" s="41"/>
    </row>
    <row r="40" spans="1:20">
      <c r="A40" s="43" t="s">
        <v>516</v>
      </c>
      <c r="B40" s="55" t="s">
        <v>868</v>
      </c>
      <c r="C40" s="55"/>
      <c r="D40" s="55"/>
      <c r="E40" s="55"/>
      <c r="F40" s="55"/>
      <c r="G40" s="55"/>
      <c r="H40" s="55"/>
      <c r="I40" s="55"/>
      <c r="J40" s="55"/>
      <c r="K40" s="55"/>
      <c r="L40" s="55"/>
      <c r="M40" s="55"/>
      <c r="N40" s="55"/>
      <c r="O40" s="55"/>
      <c r="P40" s="43"/>
      <c r="Q40" s="43"/>
      <c r="R40" s="43"/>
    </row>
    <row r="41" spans="1:20">
      <c r="A41" s="43" t="s">
        <v>313</v>
      </c>
      <c r="B41" s="55" t="s">
        <v>869</v>
      </c>
      <c r="C41" s="55"/>
      <c r="D41" s="55"/>
      <c r="E41" s="55"/>
      <c r="F41" s="55"/>
      <c r="G41" s="55"/>
      <c r="H41" s="55"/>
      <c r="I41" s="55"/>
      <c r="J41" s="55"/>
      <c r="K41" s="55"/>
      <c r="L41" s="55"/>
      <c r="M41" s="55"/>
      <c r="N41" s="55"/>
      <c r="O41" s="55"/>
      <c r="P41" s="43"/>
      <c r="Q41" s="43"/>
      <c r="R41" s="43"/>
    </row>
    <row r="42" spans="1:20">
      <c r="A42" s="43" t="s">
        <v>314</v>
      </c>
      <c r="B42" s="55" t="s">
        <v>870</v>
      </c>
      <c r="C42" s="55"/>
      <c r="D42" s="55"/>
      <c r="E42" s="55"/>
      <c r="F42" s="55"/>
      <c r="G42" s="55"/>
      <c r="H42" s="55"/>
      <c r="I42" s="55"/>
      <c r="J42" s="55"/>
      <c r="K42" s="55"/>
      <c r="L42" s="55"/>
      <c r="M42" s="55"/>
      <c r="N42" s="55"/>
      <c r="O42" s="55"/>
      <c r="P42" s="43"/>
      <c r="Q42" s="43"/>
      <c r="R42" s="43"/>
      <c r="T42" s="41"/>
    </row>
    <row r="43" spans="1:20">
      <c r="A43" s="43" t="s">
        <v>153</v>
      </c>
      <c r="B43" s="55" t="s">
        <v>871</v>
      </c>
      <c r="C43" s="55"/>
      <c r="D43" s="55"/>
      <c r="E43" s="55"/>
      <c r="F43" s="55"/>
      <c r="G43" s="55"/>
      <c r="H43" s="55"/>
      <c r="I43" s="55"/>
      <c r="J43" s="55"/>
      <c r="K43" s="55"/>
      <c r="L43" s="55"/>
      <c r="M43" s="55"/>
      <c r="N43" s="55"/>
      <c r="O43" s="55"/>
      <c r="P43" s="43"/>
      <c r="Q43" s="43"/>
      <c r="R43" s="43"/>
      <c r="T43" s="41"/>
    </row>
    <row r="44" spans="1:20">
      <c r="A44" s="40" t="s">
        <v>25</v>
      </c>
      <c r="B44" s="55" t="s">
        <v>872</v>
      </c>
      <c r="C44" s="55"/>
      <c r="D44" s="55"/>
      <c r="E44" s="55"/>
      <c r="F44" s="55"/>
      <c r="G44" s="55"/>
      <c r="H44" s="55"/>
      <c r="I44" s="55"/>
      <c r="J44" s="55"/>
      <c r="K44" s="55"/>
      <c r="L44" s="55"/>
      <c r="M44" s="55"/>
      <c r="N44" s="55"/>
      <c r="O44" s="55"/>
      <c r="P44" s="43"/>
      <c r="Q44" s="43"/>
      <c r="R44" s="43"/>
      <c r="T44" s="41"/>
    </row>
    <row r="45" spans="1:20">
      <c r="A45" s="43"/>
      <c r="B45" s="43"/>
      <c r="C45" s="43"/>
      <c r="D45" s="43"/>
      <c r="E45" s="43"/>
      <c r="F45" s="43"/>
      <c r="G45" s="43"/>
      <c r="H45" s="43"/>
      <c r="I45" s="43"/>
      <c r="J45" s="43"/>
      <c r="K45" s="43"/>
      <c r="L45" s="43"/>
      <c r="M45" s="43"/>
      <c r="N45" s="43"/>
      <c r="O45" s="43"/>
      <c r="P45" s="43"/>
      <c r="Q45" s="43"/>
      <c r="R45" s="43"/>
    </row>
    <row r="46" spans="1:20">
      <c r="A46" s="43"/>
      <c r="B46" s="43"/>
      <c r="C46" s="43"/>
      <c r="D46" s="43"/>
      <c r="E46" s="43"/>
      <c r="F46" s="43"/>
      <c r="G46" s="43"/>
      <c r="H46" s="43"/>
      <c r="I46" s="43"/>
      <c r="J46" s="43"/>
      <c r="K46" s="43"/>
      <c r="L46" s="43"/>
      <c r="M46" s="43"/>
      <c r="N46" s="43"/>
      <c r="O46" s="43"/>
      <c r="P46" s="43"/>
      <c r="Q46" s="43"/>
      <c r="R46" s="43"/>
      <c r="T46" s="41"/>
    </row>
    <row r="47" spans="1:20">
      <c r="A47" s="43"/>
      <c r="B47" s="43"/>
      <c r="C47" s="43"/>
      <c r="D47" s="43"/>
      <c r="E47" s="43"/>
      <c r="F47" s="43"/>
      <c r="G47" s="43"/>
      <c r="H47" s="43"/>
      <c r="I47" s="43"/>
      <c r="J47" s="43"/>
      <c r="K47" s="43"/>
      <c r="L47" s="43"/>
      <c r="M47" s="43"/>
      <c r="N47" s="43"/>
      <c r="O47" s="43"/>
      <c r="P47" s="43"/>
      <c r="Q47" s="43"/>
      <c r="R47" s="43"/>
      <c r="T47" s="41"/>
    </row>
    <row r="48" spans="1:20">
      <c r="A48" s="43"/>
      <c r="B48" s="43"/>
      <c r="C48" s="43"/>
      <c r="D48" s="43"/>
      <c r="E48" s="43"/>
      <c r="F48" s="43"/>
      <c r="G48" s="43"/>
      <c r="H48" s="43"/>
      <c r="I48" s="43"/>
      <c r="J48" s="43"/>
      <c r="K48" s="43"/>
      <c r="L48" s="43"/>
      <c r="M48" s="43"/>
      <c r="N48" s="43"/>
      <c r="O48" s="43"/>
      <c r="P48" s="43"/>
      <c r="Q48" s="43"/>
      <c r="R48" s="43"/>
      <c r="T48" s="41"/>
    </row>
    <row r="49" spans="1:18">
      <c r="A49" s="43"/>
      <c r="B49" s="43"/>
      <c r="C49" s="43"/>
      <c r="D49" s="43"/>
      <c r="E49" s="43"/>
      <c r="F49" s="43"/>
      <c r="G49" s="43"/>
      <c r="H49" s="43"/>
      <c r="I49" s="43"/>
      <c r="J49" s="43"/>
      <c r="K49" s="43"/>
      <c r="L49" s="43"/>
      <c r="M49" s="43"/>
      <c r="N49" s="43"/>
      <c r="O49" s="43"/>
      <c r="P49" s="43"/>
      <c r="Q49" s="43"/>
      <c r="R49" s="43"/>
    </row>
    <row r="50" spans="1:18">
      <c r="A50" s="43"/>
      <c r="B50" s="43"/>
      <c r="C50" s="43"/>
      <c r="D50" s="43"/>
      <c r="E50" s="43"/>
      <c r="F50" s="43"/>
      <c r="G50" s="43"/>
      <c r="H50" s="43"/>
      <c r="I50" s="43"/>
      <c r="J50" s="43"/>
      <c r="K50" s="43"/>
      <c r="L50" s="43"/>
      <c r="M50" s="43"/>
      <c r="N50" s="43"/>
      <c r="O50" s="43"/>
      <c r="P50" s="43"/>
      <c r="Q50" s="43"/>
      <c r="R50" s="43"/>
    </row>
    <row r="51" spans="1:18">
      <c r="A51" s="43"/>
      <c r="B51" s="43"/>
      <c r="C51" s="43"/>
      <c r="D51" s="43"/>
      <c r="E51" s="43"/>
      <c r="F51" s="43"/>
      <c r="G51" s="43"/>
      <c r="H51" s="43"/>
      <c r="I51" s="43"/>
      <c r="J51" s="43"/>
      <c r="K51" s="43"/>
      <c r="L51" s="43"/>
      <c r="M51" s="43"/>
      <c r="N51" s="43"/>
      <c r="O51" s="43"/>
      <c r="P51" s="43"/>
      <c r="Q51" s="43"/>
      <c r="R51" s="43"/>
    </row>
  </sheetData>
  <mergeCells count="2">
    <mergeCell ref="A1:R1"/>
    <mergeCell ref="Q35:R35"/>
  </mergeCells>
  <phoneticPr fontId="2"/>
  <pageMargins left="0.70866141732283472" right="0.70866141732283472" top="0" bottom="0" header="0.31496062992125984" footer="0.31496062992125984"/>
  <pageSetup paperSize="9" orientation="landscape" r:id="rId1"/>
  <drawing r:id="rId2"/>
  <legacyDrawing r:id="rId3"/>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DECA2-9F8F-4994-8712-E8D9D246DC15}">
  <dimension ref="A1:AC51"/>
  <sheetViews>
    <sheetView topLeftCell="A10" zoomScaleNormal="100" workbookViewId="0">
      <selection activeCell="C35" sqref="C35"/>
    </sheetView>
  </sheetViews>
  <sheetFormatPr defaultColWidth="9" defaultRowHeight="18.75"/>
  <cols>
    <col min="1" max="18" width="6.625" style="40" customWidth="1"/>
    <col min="19" max="19" width="3.625" style="40" customWidth="1"/>
    <col min="20" max="20" width="6.625" style="40" customWidth="1"/>
    <col min="21" max="21" width="3.625" style="40" customWidth="1"/>
    <col min="22" max="37" width="6.625" style="40" customWidth="1"/>
    <col min="38" max="38" width="3.625" style="40" customWidth="1"/>
    <col min="39" max="16384" width="9" style="40"/>
  </cols>
  <sheetData>
    <row r="1" spans="1:29">
      <c r="A1" s="147" t="s">
        <v>849</v>
      </c>
      <c r="B1" s="147"/>
      <c r="C1" s="147"/>
      <c r="D1" s="147"/>
      <c r="E1" s="147"/>
      <c r="F1" s="147"/>
      <c r="G1" s="147"/>
      <c r="H1" s="147"/>
      <c r="I1" s="147"/>
      <c r="J1" s="147"/>
      <c r="K1" s="147"/>
      <c r="L1" s="147"/>
      <c r="M1" s="147"/>
      <c r="N1" s="147"/>
      <c r="O1" s="147"/>
      <c r="P1" s="147"/>
      <c r="Q1" s="147"/>
      <c r="R1" s="147"/>
      <c r="X1" s="40" t="s">
        <v>80</v>
      </c>
    </row>
    <row r="2" spans="1:29" ht="16.5" customHeight="1">
      <c r="A2" s="26" t="s">
        <v>218</v>
      </c>
      <c r="B2" s="27">
        <v>44490</v>
      </c>
      <c r="C2" s="27">
        <v>44491</v>
      </c>
      <c r="D2" s="31">
        <v>44492</v>
      </c>
      <c r="E2" s="31">
        <v>44493</v>
      </c>
      <c r="F2" s="27">
        <v>44494</v>
      </c>
      <c r="G2" s="27">
        <v>44495</v>
      </c>
      <c r="H2" s="27">
        <v>44496</v>
      </c>
      <c r="I2" s="27">
        <v>44497</v>
      </c>
      <c r="J2" s="27">
        <v>44498</v>
      </c>
      <c r="K2" s="31">
        <v>44499</v>
      </c>
      <c r="L2" s="31">
        <v>44500</v>
      </c>
      <c r="M2" s="23" t="s">
        <v>243</v>
      </c>
      <c r="N2" s="25">
        <v>44501</v>
      </c>
      <c r="O2" s="25">
        <v>44502</v>
      </c>
      <c r="P2" s="25">
        <v>44503</v>
      </c>
      <c r="Q2" s="25">
        <v>44504</v>
      </c>
      <c r="R2" s="25">
        <v>44505</v>
      </c>
      <c r="V2" s="40" t="s">
        <v>63</v>
      </c>
      <c r="X2" s="40" t="s">
        <v>64</v>
      </c>
      <c r="Z2" s="40" t="s">
        <v>65</v>
      </c>
      <c r="AB2" s="40" t="s">
        <v>169</v>
      </c>
    </row>
    <row r="3" spans="1:29" ht="16.5" customHeight="1">
      <c r="A3" s="28">
        <v>1</v>
      </c>
      <c r="B3" s="19"/>
      <c r="C3" s="19"/>
      <c r="D3" s="19" t="s">
        <v>312</v>
      </c>
      <c r="E3" s="19" t="s">
        <v>315</v>
      </c>
      <c r="F3" s="19"/>
      <c r="G3" s="19"/>
      <c r="H3" s="19"/>
      <c r="I3" s="19"/>
      <c r="J3" s="19"/>
      <c r="K3" s="19" t="s">
        <v>7</v>
      </c>
      <c r="L3" s="19" t="s">
        <v>107</v>
      </c>
      <c r="M3" s="36">
        <v>1</v>
      </c>
      <c r="N3" s="19"/>
      <c r="O3" s="19"/>
      <c r="P3" s="19"/>
      <c r="Q3" s="19"/>
      <c r="R3" s="19"/>
      <c r="V3" s="40" t="s">
        <v>25</v>
      </c>
      <c r="W3" s="40">
        <v>2</v>
      </c>
      <c r="X3" s="40" t="s">
        <v>45</v>
      </c>
      <c r="Y3" s="40">
        <v>3</v>
      </c>
      <c r="Z3" s="40" t="s">
        <v>34</v>
      </c>
      <c r="AB3" s="40" t="s">
        <v>153</v>
      </c>
      <c r="AC3" s="40">
        <v>0</v>
      </c>
    </row>
    <row r="4" spans="1:29" ht="16.5" customHeight="1">
      <c r="A4" s="28">
        <v>2</v>
      </c>
      <c r="B4" s="19"/>
      <c r="C4" s="19"/>
      <c r="D4" s="19" t="s">
        <v>153</v>
      </c>
      <c r="E4" s="19" t="s">
        <v>769</v>
      </c>
      <c r="F4" s="19"/>
      <c r="G4" s="19"/>
      <c r="H4" s="19"/>
      <c r="I4" s="19"/>
      <c r="J4" s="19"/>
      <c r="K4" s="19" t="s">
        <v>814</v>
      </c>
      <c r="L4" s="19" t="s">
        <v>774</v>
      </c>
      <c r="M4" s="36">
        <v>2</v>
      </c>
      <c r="N4" s="19"/>
      <c r="O4" s="19"/>
      <c r="P4" s="19"/>
      <c r="Q4" s="19"/>
      <c r="R4" s="19"/>
      <c r="T4" s="41"/>
      <c r="U4" s="41"/>
      <c r="V4" s="40" t="s">
        <v>2</v>
      </c>
      <c r="W4" s="40">
        <v>3</v>
      </c>
      <c r="X4" s="40" t="s">
        <v>14</v>
      </c>
      <c r="Y4" s="40">
        <v>3</v>
      </c>
      <c r="Z4" s="40" t="s">
        <v>38</v>
      </c>
      <c r="AB4" s="40" t="s">
        <v>26</v>
      </c>
      <c r="AC4" s="40" t="s">
        <v>844</v>
      </c>
    </row>
    <row r="5" spans="1:29" ht="16.5" customHeight="1">
      <c r="A5" s="28">
        <v>3</v>
      </c>
      <c r="B5" s="19"/>
      <c r="C5" s="19"/>
      <c r="D5" s="19" t="s">
        <v>855</v>
      </c>
      <c r="E5" s="19" t="s">
        <v>855</v>
      </c>
      <c r="F5" s="19"/>
      <c r="G5" s="19"/>
      <c r="H5" s="19"/>
      <c r="I5" s="19"/>
      <c r="J5" s="19"/>
      <c r="K5" s="19" t="s">
        <v>855</v>
      </c>
      <c r="L5" s="19" t="s">
        <v>855</v>
      </c>
      <c r="M5" s="36">
        <v>3</v>
      </c>
      <c r="N5" s="19"/>
      <c r="O5" s="19"/>
      <c r="P5" s="19"/>
      <c r="Q5" s="19"/>
      <c r="R5" s="19"/>
      <c r="T5" s="41"/>
      <c r="U5" s="41"/>
      <c r="X5" s="40" t="s">
        <v>6</v>
      </c>
      <c r="Y5" s="40">
        <v>2</v>
      </c>
      <c r="Z5" s="40" t="s">
        <v>249</v>
      </c>
      <c r="AB5" s="40" t="s">
        <v>6</v>
      </c>
      <c r="AC5" s="40">
        <v>5</v>
      </c>
    </row>
    <row r="6" spans="1:29" ht="16.5" customHeight="1">
      <c r="A6" s="28" t="s">
        <v>20</v>
      </c>
      <c r="B6" s="19" t="s">
        <v>516</v>
      </c>
      <c r="C6" s="19" t="s">
        <v>13</v>
      </c>
      <c r="D6" s="19" t="s">
        <v>13</v>
      </c>
      <c r="E6" s="19" t="s">
        <v>13</v>
      </c>
      <c r="F6" s="19" t="s">
        <v>25</v>
      </c>
      <c r="G6" s="19" t="s">
        <v>13</v>
      </c>
      <c r="H6" s="19" t="s">
        <v>13</v>
      </c>
      <c r="I6" s="19" t="s">
        <v>13</v>
      </c>
      <c r="J6" s="19" t="s">
        <v>13</v>
      </c>
      <c r="K6" s="19" t="s">
        <v>13</v>
      </c>
      <c r="L6" s="19" t="s">
        <v>13</v>
      </c>
      <c r="M6" s="36" t="s">
        <v>20</v>
      </c>
      <c r="N6" s="19" t="s">
        <v>6</v>
      </c>
      <c r="O6" s="19" t="s">
        <v>13</v>
      </c>
      <c r="P6" s="19" t="s">
        <v>13</v>
      </c>
      <c r="Q6" s="19" t="s">
        <v>13</v>
      </c>
      <c r="R6" s="19" t="s">
        <v>13</v>
      </c>
      <c r="T6" s="41"/>
      <c r="U6" s="41"/>
      <c r="V6" s="40" t="s">
        <v>7</v>
      </c>
      <c r="W6" s="40">
        <v>2</v>
      </c>
      <c r="X6" s="40" t="s">
        <v>23</v>
      </c>
      <c r="Y6" s="40">
        <v>2</v>
      </c>
      <c r="Z6" s="40" t="s">
        <v>10</v>
      </c>
      <c r="AB6" s="40" t="s">
        <v>152</v>
      </c>
      <c r="AC6" s="40">
        <v>0</v>
      </c>
    </row>
    <row r="7" spans="1:29" ht="16.5" customHeight="1">
      <c r="A7" s="28" t="s">
        <v>0</v>
      </c>
      <c r="B7" s="19" t="s">
        <v>839</v>
      </c>
      <c r="C7" s="19" t="s">
        <v>9</v>
      </c>
      <c r="D7" s="19" t="s">
        <v>13</v>
      </c>
      <c r="E7" s="19" t="s">
        <v>839</v>
      </c>
      <c r="F7" s="19" t="s">
        <v>13</v>
      </c>
      <c r="G7" s="19" t="s">
        <v>13</v>
      </c>
      <c r="H7" s="19" t="s">
        <v>13</v>
      </c>
      <c r="I7" s="19" t="s">
        <v>13</v>
      </c>
      <c r="J7" s="19" t="s">
        <v>9</v>
      </c>
      <c r="K7" s="19" t="s">
        <v>13</v>
      </c>
      <c r="L7" s="19" t="s">
        <v>839</v>
      </c>
      <c r="M7" s="36" t="s">
        <v>0</v>
      </c>
      <c r="N7" s="19" t="s">
        <v>839</v>
      </c>
      <c r="O7" s="19" t="s">
        <v>13</v>
      </c>
      <c r="P7" s="19" t="s">
        <v>13</v>
      </c>
      <c r="Q7" s="19" t="s">
        <v>13</v>
      </c>
      <c r="R7" s="19" t="s">
        <v>9</v>
      </c>
      <c r="T7" s="41"/>
      <c r="U7" s="41"/>
      <c r="V7" s="40" t="s">
        <v>21</v>
      </c>
      <c r="W7" s="40">
        <v>3</v>
      </c>
      <c r="X7" s="40" t="s">
        <v>153</v>
      </c>
      <c r="Y7" s="40">
        <v>0</v>
      </c>
      <c r="Z7" s="40" t="s">
        <v>36</v>
      </c>
      <c r="AB7" s="40" t="s">
        <v>23</v>
      </c>
      <c r="AC7" s="40">
        <v>6</v>
      </c>
    </row>
    <row r="8" spans="1:29" ht="16.5" customHeight="1">
      <c r="A8" s="28" t="s">
        <v>1</v>
      </c>
      <c r="B8" s="19"/>
      <c r="C8" s="19"/>
      <c r="D8" s="19"/>
      <c r="E8" s="19"/>
      <c r="F8" s="19"/>
      <c r="G8" s="19"/>
      <c r="H8" s="19"/>
      <c r="I8" s="19"/>
      <c r="J8" s="19"/>
      <c r="K8" s="19"/>
      <c r="L8" s="19"/>
      <c r="M8" s="36" t="s">
        <v>1</v>
      </c>
      <c r="N8" s="19"/>
      <c r="O8" s="19"/>
      <c r="P8" s="19"/>
      <c r="Q8" s="19"/>
      <c r="R8" s="19"/>
      <c r="T8" s="41"/>
      <c r="V8" s="40" t="s">
        <v>26</v>
      </c>
      <c r="W8" s="40">
        <v>1</v>
      </c>
      <c r="X8" s="40" t="s">
        <v>327</v>
      </c>
      <c r="Y8" s="40">
        <v>3</v>
      </c>
      <c r="Z8" s="40" t="s">
        <v>37</v>
      </c>
      <c r="AB8" s="40" t="s">
        <v>25</v>
      </c>
      <c r="AC8" s="40">
        <v>4</v>
      </c>
    </row>
    <row r="9" spans="1:29" ht="16.5" customHeight="1">
      <c r="A9" s="28" t="s">
        <v>366</v>
      </c>
      <c r="B9" s="19"/>
      <c r="C9" s="19"/>
      <c r="D9" s="19"/>
      <c r="E9" s="19"/>
      <c r="F9" s="19"/>
      <c r="G9" s="19"/>
      <c r="H9" s="19"/>
      <c r="I9" s="19"/>
      <c r="J9" s="19"/>
      <c r="K9" s="19"/>
      <c r="L9" s="19"/>
      <c r="M9" s="36" t="s">
        <v>366</v>
      </c>
      <c r="N9" s="19"/>
      <c r="O9" s="19"/>
      <c r="P9" s="19"/>
      <c r="Q9" s="19"/>
      <c r="R9" s="19"/>
      <c r="T9" s="41"/>
      <c r="V9" s="40" t="s">
        <v>27</v>
      </c>
      <c r="W9" s="40">
        <v>3</v>
      </c>
      <c r="X9" s="40" t="s">
        <v>28</v>
      </c>
      <c r="Y9" s="40">
        <v>2</v>
      </c>
      <c r="AB9" s="40" t="s">
        <v>327</v>
      </c>
      <c r="AC9" s="40" t="s">
        <v>846</v>
      </c>
    </row>
    <row r="10" spans="1:29" ht="16.5" customHeight="1">
      <c r="A10" s="23" t="s">
        <v>243</v>
      </c>
      <c r="B10" s="30">
        <v>44506</v>
      </c>
      <c r="C10" s="30">
        <v>44507</v>
      </c>
      <c r="D10" s="25">
        <v>44508</v>
      </c>
      <c r="E10" s="25">
        <v>44509</v>
      </c>
      <c r="F10" s="25">
        <v>44510</v>
      </c>
      <c r="G10" s="25">
        <v>44511</v>
      </c>
      <c r="H10" s="25">
        <v>44512</v>
      </c>
      <c r="I10" s="30">
        <v>44513</v>
      </c>
      <c r="J10" s="30">
        <v>44514</v>
      </c>
      <c r="K10" s="25">
        <v>44515</v>
      </c>
      <c r="L10" s="25">
        <v>44516</v>
      </c>
      <c r="M10" s="25">
        <v>44517</v>
      </c>
      <c r="N10" s="25">
        <v>44518</v>
      </c>
      <c r="O10" s="25">
        <v>44519</v>
      </c>
      <c r="P10" s="30">
        <v>44520</v>
      </c>
      <c r="Q10" s="19"/>
      <c r="R10" s="19"/>
      <c r="T10" s="41"/>
      <c r="V10" s="40" t="s">
        <v>533</v>
      </c>
      <c r="W10" s="40">
        <v>3</v>
      </c>
      <c r="X10" s="40" t="s">
        <v>152</v>
      </c>
      <c r="Y10" s="40">
        <v>3</v>
      </c>
      <c r="AB10" s="40" t="s">
        <v>516</v>
      </c>
      <c r="AC10" s="40" t="s">
        <v>845</v>
      </c>
    </row>
    <row r="11" spans="1:29" ht="16.5" customHeight="1">
      <c r="A11" s="36">
        <v>1</v>
      </c>
      <c r="B11" s="19" t="s">
        <v>2</v>
      </c>
      <c r="C11" s="19" t="s">
        <v>533</v>
      </c>
      <c r="D11" s="19"/>
      <c r="E11" s="19"/>
      <c r="F11" s="19"/>
      <c r="G11" s="19"/>
      <c r="H11" s="19"/>
      <c r="I11" s="19" t="s">
        <v>315</v>
      </c>
      <c r="J11" s="19" t="s">
        <v>25</v>
      </c>
      <c r="K11" s="19"/>
      <c r="L11" s="19"/>
      <c r="M11" s="19"/>
      <c r="N11" s="19"/>
      <c r="O11" s="19"/>
      <c r="P11" s="19" t="s">
        <v>107</v>
      </c>
      <c r="Q11" s="19"/>
      <c r="R11" s="19"/>
      <c r="T11" s="41"/>
      <c r="V11" s="40" t="s">
        <v>516</v>
      </c>
      <c r="W11" s="40">
        <v>1</v>
      </c>
    </row>
    <row r="12" spans="1:29" ht="16.5" customHeight="1">
      <c r="A12" s="36">
        <v>2</v>
      </c>
      <c r="B12" s="19" t="s">
        <v>93</v>
      </c>
      <c r="C12" s="19" t="s">
        <v>313</v>
      </c>
      <c r="D12" s="19"/>
      <c r="E12" s="19"/>
      <c r="F12" s="19"/>
      <c r="G12" s="19"/>
      <c r="H12" s="19"/>
      <c r="I12" s="19" t="s">
        <v>857</v>
      </c>
      <c r="J12" s="19" t="s">
        <v>516</v>
      </c>
      <c r="K12" s="19"/>
      <c r="L12" s="19"/>
      <c r="M12" s="19"/>
      <c r="N12" s="19"/>
      <c r="O12" s="19"/>
      <c r="P12" s="19" t="s">
        <v>6</v>
      </c>
      <c r="Q12" s="19"/>
      <c r="R12" s="19"/>
      <c r="T12" s="41"/>
    </row>
    <row r="13" spans="1:29" ht="16.5" customHeight="1">
      <c r="A13" s="36">
        <v>3</v>
      </c>
      <c r="B13" s="19" t="s">
        <v>855</v>
      </c>
      <c r="C13" s="19" t="s">
        <v>855</v>
      </c>
      <c r="D13" s="19"/>
      <c r="E13" s="19"/>
      <c r="F13" s="19"/>
      <c r="G13" s="19"/>
      <c r="H13" s="19"/>
      <c r="I13" s="19" t="s">
        <v>855</v>
      </c>
      <c r="J13" s="19" t="s">
        <v>855</v>
      </c>
      <c r="K13" s="19"/>
      <c r="L13" s="19"/>
      <c r="M13" s="19"/>
      <c r="N13" s="19"/>
      <c r="O13" s="19"/>
      <c r="P13" s="19" t="s">
        <v>855</v>
      </c>
      <c r="Q13" s="19"/>
      <c r="R13" s="19"/>
      <c r="T13" s="41"/>
    </row>
    <row r="14" spans="1:29" ht="16.5" customHeight="1">
      <c r="A14" s="36" t="s">
        <v>20</v>
      </c>
      <c r="B14" s="19" t="s">
        <v>6</v>
      </c>
      <c r="C14" s="19" t="s">
        <v>13</v>
      </c>
      <c r="D14" s="19" t="s">
        <v>312</v>
      </c>
      <c r="E14" s="19" t="s">
        <v>13</v>
      </c>
      <c r="F14" s="19" t="s">
        <v>13</v>
      </c>
      <c r="G14" s="19" t="s">
        <v>13</v>
      </c>
      <c r="H14" s="19" t="s">
        <v>13</v>
      </c>
      <c r="I14" s="19" t="s">
        <v>13</v>
      </c>
      <c r="J14" s="19" t="s">
        <v>13</v>
      </c>
      <c r="K14" s="19" t="s">
        <v>769</v>
      </c>
      <c r="L14" s="19" t="s">
        <v>13</v>
      </c>
      <c r="M14" s="19" t="s">
        <v>13</v>
      </c>
      <c r="N14" s="19" t="s">
        <v>13</v>
      </c>
      <c r="O14" s="19" t="s">
        <v>13</v>
      </c>
      <c r="P14" s="19" t="s">
        <v>13</v>
      </c>
      <c r="Q14" s="19"/>
      <c r="R14" s="19"/>
      <c r="T14" s="41"/>
    </row>
    <row r="15" spans="1:29" ht="16.5" customHeight="1">
      <c r="A15" s="36" t="s">
        <v>0</v>
      </c>
      <c r="B15" s="19" t="s">
        <v>9</v>
      </c>
      <c r="C15" s="19" t="s">
        <v>839</v>
      </c>
      <c r="D15" s="19" t="s">
        <v>13</v>
      </c>
      <c r="E15" s="19" t="s">
        <v>13</v>
      </c>
      <c r="F15" s="19" t="s">
        <v>13</v>
      </c>
      <c r="G15" s="19" t="s">
        <v>13</v>
      </c>
      <c r="H15" s="19" t="s">
        <v>9</v>
      </c>
      <c r="I15" s="19" t="s">
        <v>13</v>
      </c>
      <c r="J15" s="19" t="s">
        <v>839</v>
      </c>
      <c r="K15" s="19" t="s">
        <v>13</v>
      </c>
      <c r="L15" s="19" t="s">
        <v>13</v>
      </c>
      <c r="M15" s="19" t="s">
        <v>13</v>
      </c>
      <c r="N15" s="19" t="s">
        <v>13</v>
      </c>
      <c r="O15" s="19" t="s">
        <v>9</v>
      </c>
      <c r="P15" s="19" t="s">
        <v>13</v>
      </c>
      <c r="Q15" s="19"/>
      <c r="R15" s="19"/>
      <c r="T15" s="41"/>
      <c r="V15" s="40" t="s">
        <v>567</v>
      </c>
      <c r="W15" s="40">
        <f>SUM(W2:W14)</f>
        <v>18</v>
      </c>
      <c r="Y15" s="40">
        <f>SUM(Y2:Y14)</f>
        <v>18</v>
      </c>
      <c r="AA15" s="40">
        <f>SUM(AA2:AA14)</f>
        <v>0</v>
      </c>
    </row>
    <row r="16" spans="1:29" ht="16.5" customHeight="1">
      <c r="A16" s="36" t="s">
        <v>1</v>
      </c>
      <c r="B16" s="19"/>
      <c r="C16" s="19"/>
      <c r="D16" s="19"/>
      <c r="E16" s="19"/>
      <c r="F16" s="19"/>
      <c r="G16" s="19"/>
      <c r="H16" s="19"/>
      <c r="I16" s="19"/>
      <c r="J16" s="148" t="s">
        <v>862</v>
      </c>
      <c r="K16" s="149"/>
      <c r="L16" s="150"/>
      <c r="M16" s="57" t="s">
        <v>861</v>
      </c>
      <c r="N16" s="57" t="s">
        <v>13</v>
      </c>
      <c r="O16" s="57" t="s">
        <v>13</v>
      </c>
      <c r="P16" s="58" t="s">
        <v>9</v>
      </c>
      <c r="Q16" s="19"/>
      <c r="R16" s="19"/>
      <c r="T16" s="41"/>
    </row>
    <row r="17" spans="1:28" ht="16.5" customHeight="1">
      <c r="A17" s="36" t="s">
        <v>366</v>
      </c>
      <c r="B17" s="19"/>
      <c r="C17" s="19"/>
      <c r="D17" s="19"/>
      <c r="E17" s="19"/>
      <c r="F17" s="19"/>
      <c r="G17" s="19"/>
      <c r="H17" s="19"/>
      <c r="I17" s="19"/>
      <c r="J17" s="19"/>
      <c r="K17" s="19"/>
      <c r="L17" s="19"/>
      <c r="M17" s="19"/>
      <c r="N17" s="19"/>
      <c r="O17" s="19"/>
      <c r="P17" s="19"/>
      <c r="Q17" s="19"/>
      <c r="R17" s="19"/>
      <c r="T17" s="41"/>
    </row>
    <row r="18" spans="1:28" ht="11.25" customHeight="1">
      <c r="A18" s="42"/>
      <c r="B18" s="37"/>
      <c r="C18" s="37"/>
      <c r="D18" s="37"/>
      <c r="E18" s="37"/>
      <c r="F18" s="37"/>
      <c r="G18" s="37"/>
      <c r="H18" s="38"/>
      <c r="I18" s="38"/>
      <c r="J18" s="38"/>
      <c r="K18" s="38"/>
      <c r="L18" s="38"/>
      <c r="M18" s="38"/>
      <c r="N18" s="38"/>
      <c r="O18" s="38"/>
      <c r="P18" s="37"/>
      <c r="Q18" s="37"/>
      <c r="R18" s="39"/>
      <c r="T18" s="41"/>
      <c r="X18" s="40" t="s">
        <v>669</v>
      </c>
    </row>
    <row r="19" spans="1:28" ht="16.5" customHeight="1">
      <c r="A19" s="23" t="s">
        <v>243</v>
      </c>
      <c r="B19" s="30">
        <v>44521</v>
      </c>
      <c r="C19" s="25">
        <v>44522</v>
      </c>
      <c r="D19" s="25">
        <v>44523</v>
      </c>
      <c r="E19" s="25">
        <v>44524</v>
      </c>
      <c r="F19" s="25">
        <v>44525</v>
      </c>
      <c r="G19" s="25">
        <v>44526</v>
      </c>
      <c r="H19" s="30">
        <v>44527</v>
      </c>
      <c r="I19" s="30">
        <v>44528</v>
      </c>
      <c r="J19" s="25">
        <v>44529</v>
      </c>
      <c r="K19" s="25">
        <v>44530</v>
      </c>
      <c r="L19" s="25"/>
      <c r="M19" s="26" t="s">
        <v>244</v>
      </c>
      <c r="N19" s="27">
        <v>44531</v>
      </c>
      <c r="O19" s="27">
        <v>44532</v>
      </c>
      <c r="P19" s="31">
        <v>44533</v>
      </c>
      <c r="Q19" s="31">
        <v>44534</v>
      </c>
      <c r="R19" s="31">
        <v>44535</v>
      </c>
      <c r="T19" s="41"/>
      <c r="V19" s="40" t="s">
        <v>63</v>
      </c>
      <c r="X19" s="40" t="s">
        <v>64</v>
      </c>
      <c r="Z19" s="40" t="s">
        <v>65</v>
      </c>
      <c r="AB19" s="40" t="s">
        <v>169</v>
      </c>
    </row>
    <row r="20" spans="1:28" ht="16.5" customHeight="1">
      <c r="A20" s="36">
        <v>1</v>
      </c>
      <c r="B20" s="19" t="s">
        <v>7</v>
      </c>
      <c r="C20" s="19"/>
      <c r="D20" s="19"/>
      <c r="E20" s="19"/>
      <c r="F20" s="19"/>
      <c r="G20" s="19"/>
      <c r="H20" s="19" t="s">
        <v>2</v>
      </c>
      <c r="I20" s="19" t="s">
        <v>533</v>
      </c>
      <c r="J20" s="19"/>
      <c r="K20" s="19"/>
      <c r="L20" s="19"/>
      <c r="M20" s="28">
        <v>1</v>
      </c>
      <c r="N20" s="19"/>
      <c r="O20" s="19"/>
      <c r="P20" s="19" t="s">
        <v>312</v>
      </c>
      <c r="Q20" s="19" t="s">
        <v>25</v>
      </c>
      <c r="R20" s="19" t="s">
        <v>315</v>
      </c>
      <c r="T20" s="41"/>
      <c r="V20" s="40" t="s">
        <v>25</v>
      </c>
      <c r="W20" s="40">
        <v>2</v>
      </c>
      <c r="X20" s="40" t="s">
        <v>45</v>
      </c>
      <c r="Y20" s="40">
        <v>2</v>
      </c>
      <c r="Z20" s="40" t="s">
        <v>34</v>
      </c>
      <c r="AB20" s="40" t="s">
        <v>153</v>
      </c>
    </row>
    <row r="21" spans="1:28" ht="16.5" customHeight="1">
      <c r="A21" s="36">
        <v>2</v>
      </c>
      <c r="B21" s="19" t="s">
        <v>153</v>
      </c>
      <c r="C21" s="19"/>
      <c r="D21" s="19"/>
      <c r="E21" s="19"/>
      <c r="F21" s="19"/>
      <c r="G21" s="19"/>
      <c r="H21" s="19" t="s">
        <v>814</v>
      </c>
      <c r="I21" s="19" t="s">
        <v>93</v>
      </c>
      <c r="J21" s="19"/>
      <c r="K21" s="19"/>
      <c r="L21" s="19"/>
      <c r="M21" s="28">
        <v>2</v>
      </c>
      <c r="N21" s="19"/>
      <c r="O21" s="19"/>
      <c r="P21" s="19" t="s">
        <v>6</v>
      </c>
      <c r="Q21" s="19" t="s">
        <v>769</v>
      </c>
      <c r="R21" s="19" t="s">
        <v>313</v>
      </c>
      <c r="T21" s="41"/>
      <c r="V21" s="40" t="s">
        <v>2</v>
      </c>
      <c r="W21" s="40">
        <v>3</v>
      </c>
      <c r="X21" s="40" t="s">
        <v>14</v>
      </c>
      <c r="Y21" s="40">
        <v>2</v>
      </c>
      <c r="Z21" s="40" t="s">
        <v>38</v>
      </c>
      <c r="AB21" s="40" t="s">
        <v>26</v>
      </c>
    </row>
    <row r="22" spans="1:28" ht="16.5" customHeight="1">
      <c r="A22" s="36">
        <v>3</v>
      </c>
      <c r="B22" s="19" t="s">
        <v>855</v>
      </c>
      <c r="C22" s="19"/>
      <c r="D22" s="19"/>
      <c r="E22" s="19"/>
      <c r="F22" s="19"/>
      <c r="G22" s="19"/>
      <c r="H22" s="19" t="s">
        <v>855</v>
      </c>
      <c r="I22" s="19" t="s">
        <v>855</v>
      </c>
      <c r="J22" s="19"/>
      <c r="K22" s="19"/>
      <c r="L22" s="19"/>
      <c r="M22" s="28">
        <v>3</v>
      </c>
      <c r="N22" s="19"/>
      <c r="O22" s="19"/>
      <c r="P22" s="19" t="s">
        <v>859</v>
      </c>
      <c r="Q22" s="19" t="s">
        <v>855</v>
      </c>
      <c r="R22" s="19" t="s">
        <v>855</v>
      </c>
      <c r="T22" s="41"/>
      <c r="V22" s="40" t="s">
        <v>516</v>
      </c>
      <c r="X22" s="40" t="s">
        <v>6</v>
      </c>
      <c r="Y22" s="40">
        <v>2</v>
      </c>
      <c r="Z22" s="40" t="s">
        <v>249</v>
      </c>
      <c r="AB22" s="40" t="s">
        <v>6</v>
      </c>
    </row>
    <row r="23" spans="1:28" ht="16.5" customHeight="1">
      <c r="A23" s="36" t="s">
        <v>20</v>
      </c>
      <c r="B23" s="19" t="s">
        <v>769</v>
      </c>
      <c r="C23" s="19" t="s">
        <v>774</v>
      </c>
      <c r="D23" s="19" t="s">
        <v>13</v>
      </c>
      <c r="E23" s="19" t="s">
        <v>13</v>
      </c>
      <c r="F23" s="19" t="s">
        <v>13</v>
      </c>
      <c r="G23" s="19" t="s">
        <v>13</v>
      </c>
      <c r="H23" s="19" t="s">
        <v>13</v>
      </c>
      <c r="I23" s="19" t="s">
        <v>13</v>
      </c>
      <c r="J23" s="19" t="s">
        <v>516</v>
      </c>
      <c r="K23" s="19" t="s">
        <v>13</v>
      </c>
      <c r="L23" s="19" t="s">
        <v>13</v>
      </c>
      <c r="M23" s="28" t="s">
        <v>20</v>
      </c>
      <c r="N23" s="19" t="s">
        <v>516</v>
      </c>
      <c r="O23" s="19" t="s">
        <v>13</v>
      </c>
      <c r="P23" s="19" t="s">
        <v>13</v>
      </c>
      <c r="Q23" s="19" t="s">
        <v>13</v>
      </c>
      <c r="R23" s="19" t="s">
        <v>13</v>
      </c>
      <c r="T23" s="41"/>
      <c r="V23" s="40" t="s">
        <v>7</v>
      </c>
      <c r="W23" s="40">
        <v>3</v>
      </c>
      <c r="X23" s="40" t="s">
        <v>23</v>
      </c>
      <c r="Y23" s="40">
        <v>2</v>
      </c>
      <c r="Z23" s="40" t="s">
        <v>10</v>
      </c>
      <c r="AB23" s="40" t="s">
        <v>152</v>
      </c>
    </row>
    <row r="24" spans="1:28" ht="16.5" customHeight="1">
      <c r="A24" s="36" t="s">
        <v>0</v>
      </c>
      <c r="B24" s="19" t="s">
        <v>839</v>
      </c>
      <c r="C24" s="19" t="s">
        <v>13</v>
      </c>
      <c r="D24" s="19" t="s">
        <v>13</v>
      </c>
      <c r="E24" s="19" t="s">
        <v>13</v>
      </c>
      <c r="F24" s="19" t="s">
        <v>13</v>
      </c>
      <c r="G24" s="19" t="s">
        <v>9</v>
      </c>
      <c r="H24" s="19" t="s">
        <v>13</v>
      </c>
      <c r="I24" s="19" t="s">
        <v>839</v>
      </c>
      <c r="J24" s="19" t="s">
        <v>13</v>
      </c>
      <c r="K24" s="19" t="s">
        <v>13</v>
      </c>
      <c r="L24" s="19"/>
      <c r="M24" s="28" t="s">
        <v>0</v>
      </c>
      <c r="N24" s="19" t="s">
        <v>839</v>
      </c>
      <c r="O24" s="19" t="s">
        <v>13</v>
      </c>
      <c r="P24" s="19" t="s">
        <v>9</v>
      </c>
      <c r="Q24" s="19" t="s">
        <v>13</v>
      </c>
      <c r="R24" s="19" t="s">
        <v>839</v>
      </c>
      <c r="T24" s="41"/>
      <c r="V24" s="40" t="s">
        <v>21</v>
      </c>
      <c r="W24" s="40">
        <v>3</v>
      </c>
      <c r="X24" s="40" t="s">
        <v>153</v>
      </c>
      <c r="Y24" s="40">
        <v>2</v>
      </c>
      <c r="Z24" s="40" t="s">
        <v>36</v>
      </c>
      <c r="AB24" s="40" t="s">
        <v>23</v>
      </c>
    </row>
    <row r="25" spans="1:28" ht="16.5" customHeight="1">
      <c r="A25" s="36" t="s">
        <v>1</v>
      </c>
      <c r="B25" s="58" t="s">
        <v>9</v>
      </c>
      <c r="C25" s="57" t="s">
        <v>861</v>
      </c>
      <c r="D25" s="57" t="s">
        <v>13</v>
      </c>
      <c r="E25" s="57" t="s">
        <v>13</v>
      </c>
      <c r="F25" s="57" t="s">
        <v>13</v>
      </c>
      <c r="G25" s="57" t="s">
        <v>13</v>
      </c>
      <c r="H25" s="58" t="s">
        <v>9</v>
      </c>
      <c r="I25" s="58" t="s">
        <v>13</v>
      </c>
      <c r="J25" s="57" t="s">
        <v>37</v>
      </c>
      <c r="K25" s="57" t="s">
        <v>13</v>
      </c>
      <c r="L25" s="19"/>
      <c r="M25" s="28" t="s">
        <v>1</v>
      </c>
      <c r="N25" s="57" t="s">
        <v>37</v>
      </c>
      <c r="O25" s="57" t="s">
        <v>13</v>
      </c>
      <c r="P25" s="57" t="s">
        <v>13</v>
      </c>
      <c r="Q25" s="58"/>
      <c r="R25" s="58"/>
      <c r="T25" s="41"/>
      <c r="V25" s="40" t="s">
        <v>26</v>
      </c>
      <c r="W25" s="40">
        <v>2</v>
      </c>
      <c r="X25" s="40" t="s">
        <v>327</v>
      </c>
      <c r="Y25" s="40">
        <v>2</v>
      </c>
      <c r="Z25" s="40" t="s">
        <v>37</v>
      </c>
      <c r="AB25" s="40" t="s">
        <v>25</v>
      </c>
    </row>
    <row r="26" spans="1:28" ht="16.5" customHeight="1">
      <c r="A26" s="36" t="s">
        <v>366</v>
      </c>
      <c r="B26" s="19"/>
      <c r="C26" s="19"/>
      <c r="D26" s="19"/>
      <c r="E26" s="19"/>
      <c r="F26" s="19"/>
      <c r="G26" s="19"/>
      <c r="H26" s="19"/>
      <c r="I26" s="19"/>
      <c r="J26" s="19"/>
      <c r="K26" s="19"/>
      <c r="L26" s="19"/>
      <c r="M26" s="28" t="s">
        <v>366</v>
      </c>
      <c r="N26" s="19"/>
      <c r="O26" s="19"/>
      <c r="P26" s="19"/>
      <c r="Q26" s="19"/>
      <c r="R26" s="19"/>
      <c r="T26" s="41"/>
      <c r="V26" s="40" t="s">
        <v>27</v>
      </c>
      <c r="W26" s="40">
        <v>3</v>
      </c>
      <c r="X26" s="40" t="s">
        <v>28</v>
      </c>
      <c r="Y26" s="40">
        <v>2</v>
      </c>
      <c r="AB26" s="40" t="s">
        <v>327</v>
      </c>
    </row>
    <row r="27" spans="1:28" ht="16.5" customHeight="1">
      <c r="A27" s="26" t="s">
        <v>244</v>
      </c>
      <c r="B27" s="27">
        <v>44536</v>
      </c>
      <c r="C27" s="27">
        <v>44537</v>
      </c>
      <c r="D27" s="27">
        <v>44538</v>
      </c>
      <c r="E27" s="27">
        <v>44539</v>
      </c>
      <c r="F27" s="27">
        <v>44540</v>
      </c>
      <c r="G27" s="31">
        <v>44541</v>
      </c>
      <c r="H27" s="31">
        <v>44542</v>
      </c>
      <c r="I27" s="27">
        <v>44543</v>
      </c>
      <c r="J27" s="27">
        <v>44544</v>
      </c>
      <c r="K27" s="27">
        <v>44545</v>
      </c>
      <c r="L27" s="27">
        <v>44546</v>
      </c>
      <c r="M27" s="27">
        <v>44547</v>
      </c>
      <c r="N27" s="31">
        <v>44548</v>
      </c>
      <c r="O27" s="31">
        <v>44549</v>
      </c>
      <c r="P27" s="27">
        <v>44550</v>
      </c>
      <c r="Q27" s="19"/>
      <c r="R27" s="19"/>
      <c r="T27" s="41"/>
      <c r="V27" s="40" t="s">
        <v>533</v>
      </c>
      <c r="W27" s="40">
        <v>3</v>
      </c>
      <c r="X27" s="40" t="s">
        <v>152</v>
      </c>
      <c r="Y27" s="40">
        <v>3</v>
      </c>
      <c r="AB27" s="40" t="s">
        <v>516</v>
      </c>
    </row>
    <row r="28" spans="1:28" ht="16.5" customHeight="1">
      <c r="A28" s="28">
        <v>1</v>
      </c>
      <c r="B28" s="19"/>
      <c r="C28" s="19"/>
      <c r="D28" s="19"/>
      <c r="E28" s="19"/>
      <c r="F28" s="19"/>
      <c r="G28" s="19" t="s">
        <v>107</v>
      </c>
      <c r="H28" s="19" t="s">
        <v>7</v>
      </c>
      <c r="I28" s="19"/>
      <c r="J28" s="19"/>
      <c r="K28" s="19"/>
      <c r="L28" s="19"/>
      <c r="M28" s="19"/>
      <c r="N28" s="19" t="s">
        <v>533</v>
      </c>
      <c r="O28" s="19" t="s">
        <v>2</v>
      </c>
      <c r="P28" s="19"/>
      <c r="Q28" s="19"/>
      <c r="R28" s="19"/>
      <c r="T28" s="41"/>
      <c r="X28" s="40" t="s">
        <v>516</v>
      </c>
      <c r="Y28" s="40">
        <v>2</v>
      </c>
    </row>
    <row r="29" spans="1:28" ht="16.5" customHeight="1">
      <c r="A29" s="28">
        <v>2</v>
      </c>
      <c r="B29" s="19"/>
      <c r="C29" s="19"/>
      <c r="D29" s="19"/>
      <c r="E29" s="19"/>
      <c r="F29" s="19"/>
      <c r="G29" s="19" t="s">
        <v>774</v>
      </c>
      <c r="H29" s="19" t="s">
        <v>857</v>
      </c>
      <c r="I29" s="19"/>
      <c r="J29" s="19"/>
      <c r="K29" s="19"/>
      <c r="L29" s="19"/>
      <c r="M29" s="19"/>
      <c r="N29" s="19" t="s">
        <v>814</v>
      </c>
      <c r="O29" s="19" t="s">
        <v>516</v>
      </c>
      <c r="P29" s="19"/>
      <c r="Q29" s="19"/>
      <c r="R29" s="19"/>
      <c r="T29" s="41"/>
    </row>
    <row r="30" spans="1:28" ht="16.5" customHeight="1">
      <c r="A30" s="28">
        <v>3</v>
      </c>
      <c r="B30" s="19"/>
      <c r="C30" s="19"/>
      <c r="D30" s="19"/>
      <c r="E30" s="19"/>
      <c r="F30" s="19"/>
      <c r="G30" s="19" t="s">
        <v>855</v>
      </c>
      <c r="H30" s="19" t="s">
        <v>855</v>
      </c>
      <c r="I30" s="19"/>
      <c r="J30" s="19"/>
      <c r="K30" s="19"/>
      <c r="L30" s="19"/>
      <c r="M30" s="19"/>
      <c r="N30" s="19" t="s">
        <v>855</v>
      </c>
      <c r="O30" s="19" t="s">
        <v>855</v>
      </c>
      <c r="P30" s="19"/>
      <c r="Q30" s="19"/>
      <c r="R30" s="19"/>
      <c r="T30" s="41"/>
    </row>
    <row r="31" spans="1:28" ht="16.5" customHeight="1">
      <c r="A31" s="28" t="s">
        <v>20</v>
      </c>
      <c r="B31" s="19" t="s">
        <v>6</v>
      </c>
      <c r="C31" s="19" t="s">
        <v>13</v>
      </c>
      <c r="D31" s="19" t="s">
        <v>13</v>
      </c>
      <c r="E31" s="19" t="s">
        <v>13</v>
      </c>
      <c r="F31" s="19" t="s">
        <v>13</v>
      </c>
      <c r="G31" s="19" t="s">
        <v>13</v>
      </c>
      <c r="H31" s="19" t="s">
        <v>13</v>
      </c>
      <c r="I31" s="19" t="s">
        <v>25</v>
      </c>
      <c r="J31" s="19" t="s">
        <v>13</v>
      </c>
      <c r="K31" s="19" t="s">
        <v>13</v>
      </c>
      <c r="L31" s="19" t="s">
        <v>13</v>
      </c>
      <c r="M31" s="19" t="s">
        <v>13</v>
      </c>
      <c r="N31" s="19" t="s">
        <v>13</v>
      </c>
      <c r="O31" s="19" t="s">
        <v>13</v>
      </c>
      <c r="P31" s="19" t="s">
        <v>312</v>
      </c>
      <c r="Q31" s="19"/>
      <c r="R31" s="19"/>
      <c r="T31" s="41"/>
    </row>
    <row r="32" spans="1:28" ht="16.5" customHeight="1">
      <c r="A32" s="28" t="s">
        <v>0</v>
      </c>
      <c r="B32" s="19" t="s">
        <v>839</v>
      </c>
      <c r="C32" s="19" t="s">
        <v>13</v>
      </c>
      <c r="D32" s="19" t="s">
        <v>13</v>
      </c>
      <c r="E32" s="19" t="s">
        <v>13</v>
      </c>
      <c r="F32" s="19" t="s">
        <v>9</v>
      </c>
      <c r="G32" s="19" t="s">
        <v>13</v>
      </c>
      <c r="H32" s="19" t="s">
        <v>839</v>
      </c>
      <c r="I32" s="19" t="s">
        <v>13</v>
      </c>
      <c r="J32" s="19" t="s">
        <v>13</v>
      </c>
      <c r="K32" s="19" t="s">
        <v>13</v>
      </c>
      <c r="L32" s="19" t="s">
        <v>13</v>
      </c>
      <c r="M32" s="19" t="s">
        <v>9</v>
      </c>
      <c r="N32" s="19" t="s">
        <v>13</v>
      </c>
      <c r="O32" s="19" t="s">
        <v>839</v>
      </c>
      <c r="P32" s="19" t="s">
        <v>13</v>
      </c>
      <c r="Q32" s="19"/>
      <c r="R32" s="19"/>
      <c r="T32" s="41"/>
      <c r="V32" s="40" t="s">
        <v>858</v>
      </c>
      <c r="W32" s="40">
        <f>SUM(W19:W31)</f>
        <v>19</v>
      </c>
      <c r="Y32" s="40">
        <f>SUM(Y19:Y31)</f>
        <v>19</v>
      </c>
      <c r="AA32" s="40">
        <f>SUM(AA19:AA31)</f>
        <v>0</v>
      </c>
    </row>
    <row r="33" spans="1:20" ht="16.5" customHeight="1">
      <c r="A33" s="28" t="s">
        <v>1</v>
      </c>
      <c r="B33" s="57" t="s">
        <v>863</v>
      </c>
      <c r="C33" s="57" t="s">
        <v>13</v>
      </c>
      <c r="D33" s="57" t="s">
        <v>13</v>
      </c>
      <c r="E33" s="57" t="s">
        <v>13</v>
      </c>
      <c r="F33" s="57" t="s">
        <v>13</v>
      </c>
      <c r="G33" s="58" t="s">
        <v>9</v>
      </c>
      <c r="H33" s="58" t="s">
        <v>13</v>
      </c>
      <c r="I33" s="57" t="s">
        <v>864</v>
      </c>
      <c r="J33" s="57" t="s">
        <v>13</v>
      </c>
      <c r="K33" s="57" t="s">
        <v>13</v>
      </c>
      <c r="L33" s="57" t="s">
        <v>13</v>
      </c>
      <c r="M33" s="57" t="s">
        <v>13</v>
      </c>
      <c r="N33" s="58" t="s">
        <v>9</v>
      </c>
      <c r="O33" s="58" t="s">
        <v>13</v>
      </c>
      <c r="P33" s="57" t="s">
        <v>10</v>
      </c>
      <c r="Q33" s="19"/>
      <c r="R33" s="19"/>
    </row>
    <row r="34" spans="1:20" ht="16.5" customHeight="1">
      <c r="A34" s="28" t="s">
        <v>366</v>
      </c>
      <c r="B34" s="19"/>
      <c r="C34" s="19"/>
      <c r="D34" s="19"/>
      <c r="E34" s="19"/>
      <c r="F34" s="19"/>
      <c r="G34" s="19"/>
      <c r="H34" s="19"/>
      <c r="I34" s="19"/>
      <c r="J34" s="19"/>
      <c r="K34" s="19"/>
      <c r="L34" s="19"/>
      <c r="M34" s="19"/>
      <c r="N34" s="19"/>
      <c r="O34" s="19"/>
      <c r="P34" s="19"/>
      <c r="Q34" s="19"/>
      <c r="R34" s="19"/>
    </row>
    <row r="35" spans="1:20" ht="12.75" customHeight="1">
      <c r="Q35" s="145" t="s">
        <v>82</v>
      </c>
      <c r="R35" s="145"/>
      <c r="T35" s="41"/>
    </row>
    <row r="36" spans="1:20">
      <c r="A36" s="40" t="s">
        <v>322</v>
      </c>
      <c r="B36" s="49"/>
      <c r="C36" s="49"/>
      <c r="D36" s="49"/>
      <c r="E36" s="49"/>
      <c r="F36" s="49"/>
      <c r="G36" s="49"/>
      <c r="H36" s="55"/>
      <c r="I36" s="49"/>
      <c r="J36" s="49"/>
      <c r="K36" s="49"/>
      <c r="L36" s="49"/>
      <c r="M36" s="49"/>
      <c r="N36" s="49"/>
      <c r="O36" s="49"/>
      <c r="T36" s="41"/>
    </row>
    <row r="37" spans="1:20">
      <c r="A37" s="43" t="s">
        <v>312</v>
      </c>
      <c r="B37" s="55" t="s">
        <v>850</v>
      </c>
      <c r="C37" s="55"/>
      <c r="D37" s="55"/>
      <c r="E37" s="55"/>
      <c r="F37" s="55"/>
      <c r="G37" s="55"/>
      <c r="H37" s="55"/>
      <c r="I37" s="55"/>
      <c r="J37" s="55"/>
      <c r="K37" s="55"/>
      <c r="L37" s="55"/>
      <c r="M37" s="55"/>
      <c r="N37" s="55"/>
      <c r="O37" s="55"/>
      <c r="P37" s="43"/>
      <c r="Q37" s="43"/>
      <c r="R37" s="43"/>
      <c r="T37" s="41"/>
    </row>
    <row r="38" spans="1:20">
      <c r="A38" s="43" t="s">
        <v>25</v>
      </c>
      <c r="B38" s="56" t="s">
        <v>854</v>
      </c>
      <c r="C38" s="55"/>
      <c r="D38" s="55"/>
      <c r="E38" s="55"/>
      <c r="F38" s="55"/>
      <c r="G38" s="55"/>
      <c r="H38" s="55"/>
      <c r="I38" s="55"/>
      <c r="J38" s="55"/>
      <c r="K38" s="55"/>
      <c r="L38" s="55"/>
      <c r="M38" s="55"/>
      <c r="N38" s="55"/>
      <c r="O38" s="55"/>
      <c r="P38" s="43"/>
      <c r="Q38" s="43"/>
      <c r="R38" s="43"/>
      <c r="T38" s="41"/>
    </row>
    <row r="39" spans="1:20">
      <c r="A39" s="43" t="s">
        <v>7</v>
      </c>
      <c r="B39" s="55">
        <v>44541</v>
      </c>
      <c r="C39" s="55"/>
      <c r="D39" s="55"/>
      <c r="E39" s="55"/>
      <c r="F39" s="55"/>
      <c r="G39" s="55"/>
      <c r="H39" s="55"/>
      <c r="I39" s="55"/>
      <c r="J39" s="55"/>
      <c r="K39" s="55"/>
      <c r="L39" s="55"/>
      <c r="M39" s="55"/>
      <c r="N39" s="55"/>
      <c r="O39" s="55"/>
      <c r="P39" s="43"/>
      <c r="Q39" s="43"/>
      <c r="R39" s="43"/>
      <c r="T39" s="41"/>
    </row>
    <row r="40" spans="1:20">
      <c r="A40" s="43" t="s">
        <v>516</v>
      </c>
      <c r="B40" s="55" t="s">
        <v>851</v>
      </c>
      <c r="C40" s="55"/>
      <c r="D40" s="55"/>
      <c r="E40" s="55"/>
      <c r="F40" s="55"/>
      <c r="G40" s="55"/>
      <c r="H40" s="55"/>
      <c r="I40" s="55"/>
      <c r="J40" s="55"/>
      <c r="K40" s="55"/>
      <c r="L40" s="55"/>
      <c r="M40" s="55"/>
      <c r="N40" s="55"/>
      <c r="O40" s="55"/>
      <c r="P40" s="43"/>
      <c r="Q40" s="43"/>
      <c r="R40" s="43"/>
    </row>
    <row r="41" spans="1:20">
      <c r="A41" s="43" t="s">
        <v>28</v>
      </c>
      <c r="B41" s="55" t="s">
        <v>853</v>
      </c>
      <c r="C41" s="55"/>
      <c r="D41" s="55"/>
      <c r="E41" s="55"/>
      <c r="F41" s="55"/>
      <c r="G41" s="55"/>
      <c r="H41" s="55"/>
      <c r="I41" s="55"/>
      <c r="J41" s="55"/>
      <c r="K41" s="55"/>
      <c r="L41" s="55"/>
      <c r="M41" s="55"/>
      <c r="N41" s="55"/>
      <c r="O41" s="55"/>
      <c r="P41" s="43"/>
      <c r="Q41" s="43"/>
      <c r="R41" s="43"/>
    </row>
    <row r="42" spans="1:20">
      <c r="A42" s="43" t="s">
        <v>153</v>
      </c>
      <c r="B42" s="55" t="s">
        <v>852</v>
      </c>
      <c r="C42" s="55"/>
      <c r="D42" s="55"/>
      <c r="E42" s="55"/>
      <c r="F42" s="55"/>
      <c r="G42" s="55"/>
      <c r="H42" s="55"/>
      <c r="I42" s="55"/>
      <c r="J42" s="55"/>
      <c r="K42" s="55"/>
      <c r="L42" s="55"/>
      <c r="M42" s="55"/>
      <c r="N42" s="55"/>
      <c r="O42" s="55"/>
      <c r="P42" s="43"/>
      <c r="Q42" s="43"/>
      <c r="R42" s="43"/>
      <c r="T42" s="41"/>
    </row>
    <row r="43" spans="1:20">
      <c r="A43" s="43" t="s">
        <v>2</v>
      </c>
      <c r="B43" s="55">
        <v>44528</v>
      </c>
      <c r="C43" s="55"/>
      <c r="D43" s="55"/>
      <c r="E43" s="55"/>
      <c r="F43" s="55"/>
      <c r="G43" s="55"/>
      <c r="H43" s="55"/>
      <c r="I43" s="55"/>
      <c r="J43" s="55"/>
      <c r="K43" s="55"/>
      <c r="L43" s="55"/>
      <c r="M43" s="55"/>
      <c r="N43" s="55"/>
      <c r="O43" s="55"/>
      <c r="P43" s="43"/>
      <c r="Q43" s="43"/>
      <c r="R43" s="43"/>
      <c r="T43" s="41"/>
    </row>
    <row r="44" spans="1:20">
      <c r="A44" s="40" t="s">
        <v>107</v>
      </c>
      <c r="B44" s="55" t="s">
        <v>856</v>
      </c>
      <c r="C44" s="55"/>
      <c r="D44" s="55"/>
      <c r="E44" s="55"/>
      <c r="F44" s="55"/>
      <c r="G44" s="55"/>
      <c r="H44" s="55"/>
      <c r="I44" s="55"/>
      <c r="J44" s="55"/>
      <c r="K44" s="55"/>
      <c r="L44" s="55"/>
      <c r="M44" s="55"/>
      <c r="N44" s="55"/>
      <c r="O44" s="55"/>
      <c r="P44" s="43"/>
      <c r="Q44" s="43"/>
      <c r="R44" s="43"/>
      <c r="T44" s="41"/>
    </row>
    <row r="45" spans="1:20">
      <c r="A45" s="43" t="s">
        <v>93</v>
      </c>
      <c r="B45" s="43" t="s">
        <v>860</v>
      </c>
      <c r="C45" s="43"/>
      <c r="D45" s="43"/>
      <c r="E45" s="43"/>
      <c r="F45" s="43"/>
      <c r="G45" s="43"/>
      <c r="H45" s="43"/>
      <c r="I45" s="43"/>
      <c r="J45" s="43"/>
      <c r="K45" s="43"/>
      <c r="L45" s="43"/>
      <c r="M45" s="43"/>
      <c r="N45" s="43"/>
      <c r="O45" s="43"/>
      <c r="P45" s="43"/>
      <c r="Q45" s="43"/>
      <c r="R45" s="43"/>
    </row>
    <row r="46" spans="1:20">
      <c r="A46" s="43"/>
      <c r="B46" s="43"/>
      <c r="C46" s="43"/>
      <c r="D46" s="43"/>
      <c r="E46" s="43"/>
      <c r="F46" s="43"/>
      <c r="G46" s="43"/>
      <c r="H46" s="43"/>
      <c r="I46" s="43"/>
      <c r="J46" s="43"/>
      <c r="K46" s="43"/>
      <c r="L46" s="43"/>
      <c r="M46" s="43"/>
      <c r="N46" s="43"/>
      <c r="O46" s="43"/>
      <c r="P46" s="43"/>
      <c r="Q46" s="43"/>
      <c r="R46" s="43"/>
      <c r="T46" s="41"/>
    </row>
    <row r="47" spans="1:20">
      <c r="A47" s="43"/>
      <c r="B47" s="43"/>
      <c r="C47" s="43"/>
      <c r="D47" s="43"/>
      <c r="E47" s="43"/>
      <c r="F47" s="43"/>
      <c r="G47" s="43"/>
      <c r="H47" s="43"/>
      <c r="I47" s="43"/>
      <c r="J47" s="43"/>
      <c r="K47" s="43"/>
      <c r="L47" s="43"/>
      <c r="M47" s="43"/>
      <c r="N47" s="43"/>
      <c r="O47" s="43"/>
      <c r="P47" s="43"/>
      <c r="Q47" s="43"/>
      <c r="R47" s="43"/>
      <c r="T47" s="41"/>
    </row>
    <row r="48" spans="1:20">
      <c r="A48" s="43"/>
      <c r="B48" s="43"/>
      <c r="C48" s="43"/>
      <c r="D48" s="43"/>
      <c r="E48" s="43"/>
      <c r="F48" s="43"/>
      <c r="G48" s="43"/>
      <c r="H48" s="43"/>
      <c r="I48" s="43"/>
      <c r="J48" s="43"/>
      <c r="K48" s="43"/>
      <c r="L48" s="43"/>
      <c r="M48" s="43"/>
      <c r="N48" s="43"/>
      <c r="O48" s="43"/>
      <c r="P48" s="43"/>
      <c r="Q48" s="43"/>
      <c r="R48" s="43"/>
      <c r="T48" s="41"/>
    </row>
    <row r="49" spans="1:18">
      <c r="A49" s="43"/>
      <c r="B49" s="43"/>
      <c r="C49" s="43"/>
      <c r="D49" s="43"/>
      <c r="E49" s="43"/>
      <c r="F49" s="43"/>
      <c r="G49" s="43"/>
      <c r="H49" s="43"/>
      <c r="I49" s="43"/>
      <c r="J49" s="43"/>
      <c r="K49" s="43"/>
      <c r="L49" s="43"/>
      <c r="M49" s="43"/>
      <c r="N49" s="43"/>
      <c r="O49" s="43"/>
      <c r="P49" s="43"/>
      <c r="Q49" s="43"/>
      <c r="R49" s="43"/>
    </row>
    <row r="50" spans="1:18">
      <c r="A50" s="43"/>
      <c r="B50" s="43"/>
      <c r="C50" s="43"/>
      <c r="D50" s="43"/>
      <c r="E50" s="43"/>
      <c r="F50" s="43"/>
      <c r="G50" s="43"/>
      <c r="H50" s="43"/>
      <c r="I50" s="43"/>
      <c r="J50" s="43"/>
      <c r="K50" s="43"/>
      <c r="L50" s="43"/>
      <c r="M50" s="43"/>
      <c r="N50" s="43"/>
      <c r="O50" s="43"/>
      <c r="P50" s="43"/>
      <c r="Q50" s="43"/>
      <c r="R50" s="43"/>
    </row>
    <row r="51" spans="1:18">
      <c r="A51" s="43"/>
      <c r="B51" s="43"/>
      <c r="C51" s="43"/>
      <c r="D51" s="43"/>
      <c r="E51" s="43"/>
      <c r="F51" s="43"/>
      <c r="G51" s="43"/>
      <c r="H51" s="43"/>
      <c r="I51" s="43"/>
      <c r="J51" s="43"/>
      <c r="K51" s="43"/>
      <c r="L51" s="43"/>
      <c r="M51" s="43"/>
      <c r="N51" s="43"/>
      <c r="O51" s="43"/>
      <c r="P51" s="43"/>
      <c r="Q51" s="43"/>
      <c r="R51" s="43"/>
    </row>
  </sheetData>
  <mergeCells count="3">
    <mergeCell ref="A1:R1"/>
    <mergeCell ref="Q35:R35"/>
    <mergeCell ref="J16:L16"/>
  </mergeCells>
  <phoneticPr fontId="2"/>
  <pageMargins left="0.70866141732283472" right="0.70866141732283472" top="0" bottom="0" header="0.31496062992125984" footer="0.31496062992125984"/>
  <pageSetup paperSize="9" orientation="landscape" r:id="rId1"/>
  <drawing r:id="rId2"/>
  <legacyDrawing r:id="rId3"/>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877F7-0402-40F2-8493-2A7F138D789E}">
  <dimension ref="A1:AC51"/>
  <sheetViews>
    <sheetView topLeftCell="A7" zoomScaleNormal="100" workbookViewId="0">
      <selection activeCell="G25" sqref="G25"/>
    </sheetView>
  </sheetViews>
  <sheetFormatPr defaultColWidth="9" defaultRowHeight="18.75"/>
  <cols>
    <col min="1" max="18" width="6.625" style="40" customWidth="1"/>
    <col min="19" max="19" width="3.625" style="40" customWidth="1"/>
    <col min="20" max="20" width="6.625" style="40" customWidth="1"/>
    <col min="21" max="21" width="3.625" style="40" customWidth="1"/>
    <col min="22" max="37" width="6.625" style="40" customWidth="1"/>
    <col min="38" max="38" width="3.625" style="40" customWidth="1"/>
    <col min="39" max="16384" width="9" style="40"/>
  </cols>
  <sheetData>
    <row r="1" spans="1:29">
      <c r="A1" s="147" t="s">
        <v>849</v>
      </c>
      <c r="B1" s="147"/>
      <c r="C1" s="147"/>
      <c r="D1" s="147"/>
      <c r="E1" s="147"/>
      <c r="F1" s="147"/>
      <c r="G1" s="147"/>
      <c r="H1" s="147"/>
      <c r="I1" s="147"/>
      <c r="J1" s="147"/>
      <c r="K1" s="147"/>
      <c r="L1" s="147"/>
      <c r="M1" s="147"/>
      <c r="N1" s="147"/>
      <c r="O1" s="147"/>
      <c r="P1" s="147"/>
      <c r="Q1" s="147"/>
      <c r="R1" s="147"/>
      <c r="X1" s="40" t="s">
        <v>80</v>
      </c>
    </row>
    <row r="2" spans="1:29" ht="16.5" customHeight="1">
      <c r="A2" s="26" t="s">
        <v>218</v>
      </c>
      <c r="B2" s="27">
        <v>44490</v>
      </c>
      <c r="C2" s="27">
        <v>44491</v>
      </c>
      <c r="D2" s="31">
        <v>44492</v>
      </c>
      <c r="E2" s="31">
        <v>44493</v>
      </c>
      <c r="F2" s="27">
        <v>44494</v>
      </c>
      <c r="G2" s="27">
        <v>44495</v>
      </c>
      <c r="H2" s="27">
        <v>44496</v>
      </c>
      <c r="I2" s="27">
        <v>44497</v>
      </c>
      <c r="J2" s="27">
        <v>44498</v>
      </c>
      <c r="K2" s="31">
        <v>44499</v>
      </c>
      <c r="L2" s="31">
        <v>44500</v>
      </c>
      <c r="M2" s="23" t="s">
        <v>243</v>
      </c>
      <c r="N2" s="25">
        <v>44501</v>
      </c>
      <c r="O2" s="25">
        <v>44502</v>
      </c>
      <c r="P2" s="25">
        <v>44503</v>
      </c>
      <c r="Q2" s="25">
        <v>44504</v>
      </c>
      <c r="R2" s="25">
        <v>44505</v>
      </c>
      <c r="V2" s="40" t="s">
        <v>63</v>
      </c>
      <c r="X2" s="40" t="s">
        <v>64</v>
      </c>
      <c r="Z2" s="40" t="s">
        <v>65</v>
      </c>
      <c r="AB2" s="40" t="s">
        <v>169</v>
      </c>
    </row>
    <row r="3" spans="1:29" ht="16.5" customHeight="1">
      <c r="A3" s="28">
        <v>1</v>
      </c>
      <c r="B3" s="19"/>
      <c r="C3" s="19"/>
      <c r="D3" s="19" t="s">
        <v>312</v>
      </c>
      <c r="E3" s="19" t="s">
        <v>315</v>
      </c>
      <c r="F3" s="19"/>
      <c r="G3" s="19"/>
      <c r="H3" s="19"/>
      <c r="I3" s="19"/>
      <c r="J3" s="19"/>
      <c r="K3" s="19" t="s">
        <v>7</v>
      </c>
      <c r="L3" s="19" t="s">
        <v>107</v>
      </c>
      <c r="M3" s="36">
        <v>1</v>
      </c>
      <c r="N3" s="19"/>
      <c r="O3" s="19"/>
      <c r="P3" s="19"/>
      <c r="Q3" s="19"/>
      <c r="R3" s="19"/>
      <c r="V3" s="40" t="s">
        <v>25</v>
      </c>
      <c r="W3" s="40">
        <v>2</v>
      </c>
      <c r="X3" s="40" t="s">
        <v>45</v>
      </c>
      <c r="Y3" s="40">
        <v>3</v>
      </c>
      <c r="Z3" s="40" t="s">
        <v>34</v>
      </c>
      <c r="AB3" s="40" t="s">
        <v>153</v>
      </c>
      <c r="AC3" s="40">
        <v>0</v>
      </c>
    </row>
    <row r="4" spans="1:29" ht="16.5" customHeight="1">
      <c r="A4" s="28">
        <v>2</v>
      </c>
      <c r="B4" s="19"/>
      <c r="C4" s="19"/>
      <c r="D4" s="19" t="s">
        <v>153</v>
      </c>
      <c r="E4" s="19" t="s">
        <v>769</v>
      </c>
      <c r="F4" s="19"/>
      <c r="G4" s="19"/>
      <c r="H4" s="19"/>
      <c r="I4" s="19"/>
      <c r="J4" s="19"/>
      <c r="K4" s="19" t="s">
        <v>814</v>
      </c>
      <c r="L4" s="19" t="s">
        <v>774</v>
      </c>
      <c r="M4" s="36">
        <v>2</v>
      </c>
      <c r="N4" s="19"/>
      <c r="O4" s="19"/>
      <c r="P4" s="19"/>
      <c r="Q4" s="19"/>
      <c r="R4" s="19"/>
      <c r="T4" s="41"/>
      <c r="U4" s="41"/>
      <c r="V4" s="40" t="s">
        <v>2</v>
      </c>
      <c r="W4" s="40">
        <v>3</v>
      </c>
      <c r="X4" s="40" t="s">
        <v>14</v>
      </c>
      <c r="Y4" s="40">
        <v>3</v>
      </c>
      <c r="Z4" s="40" t="s">
        <v>38</v>
      </c>
      <c r="AB4" s="40" t="s">
        <v>26</v>
      </c>
      <c r="AC4" s="40" t="s">
        <v>844</v>
      </c>
    </row>
    <row r="5" spans="1:29" ht="16.5" customHeight="1">
      <c r="A5" s="28">
        <v>3</v>
      </c>
      <c r="B5" s="19"/>
      <c r="C5" s="19"/>
      <c r="D5" s="19" t="s">
        <v>855</v>
      </c>
      <c r="E5" s="19" t="s">
        <v>855</v>
      </c>
      <c r="F5" s="19"/>
      <c r="G5" s="19"/>
      <c r="H5" s="19"/>
      <c r="I5" s="19"/>
      <c r="J5" s="19"/>
      <c r="K5" s="19" t="s">
        <v>855</v>
      </c>
      <c r="L5" s="19" t="s">
        <v>855</v>
      </c>
      <c r="M5" s="36">
        <v>3</v>
      </c>
      <c r="N5" s="19"/>
      <c r="O5" s="19"/>
      <c r="P5" s="19"/>
      <c r="Q5" s="19"/>
      <c r="R5" s="19"/>
      <c r="T5" s="41"/>
      <c r="U5" s="41"/>
      <c r="X5" s="40" t="s">
        <v>6</v>
      </c>
      <c r="Y5" s="40">
        <v>2</v>
      </c>
      <c r="Z5" s="40" t="s">
        <v>249</v>
      </c>
      <c r="AB5" s="40" t="s">
        <v>6</v>
      </c>
      <c r="AC5" s="40">
        <v>5</v>
      </c>
    </row>
    <row r="6" spans="1:29" ht="16.5" customHeight="1">
      <c r="A6" s="28" t="s">
        <v>20</v>
      </c>
      <c r="B6" s="19" t="s">
        <v>516</v>
      </c>
      <c r="C6" s="19" t="s">
        <v>13</v>
      </c>
      <c r="D6" s="19" t="s">
        <v>13</v>
      </c>
      <c r="E6" s="19" t="s">
        <v>13</v>
      </c>
      <c r="F6" s="19" t="s">
        <v>25</v>
      </c>
      <c r="G6" s="19" t="s">
        <v>13</v>
      </c>
      <c r="H6" s="19" t="s">
        <v>13</v>
      </c>
      <c r="I6" s="19" t="s">
        <v>13</v>
      </c>
      <c r="J6" s="19" t="s">
        <v>13</v>
      </c>
      <c r="K6" s="19" t="s">
        <v>13</v>
      </c>
      <c r="L6" s="19" t="s">
        <v>13</v>
      </c>
      <c r="M6" s="36" t="s">
        <v>20</v>
      </c>
      <c r="N6" s="19" t="s">
        <v>6</v>
      </c>
      <c r="O6" s="19" t="s">
        <v>13</v>
      </c>
      <c r="P6" s="19" t="s">
        <v>13</v>
      </c>
      <c r="Q6" s="19" t="s">
        <v>13</v>
      </c>
      <c r="R6" s="19" t="s">
        <v>13</v>
      </c>
      <c r="T6" s="41"/>
      <c r="U6" s="41"/>
      <c r="V6" s="40" t="s">
        <v>7</v>
      </c>
      <c r="W6" s="40">
        <v>2</v>
      </c>
      <c r="X6" s="40" t="s">
        <v>23</v>
      </c>
      <c r="Y6" s="40">
        <v>2</v>
      </c>
      <c r="Z6" s="40" t="s">
        <v>10</v>
      </c>
      <c r="AB6" s="40" t="s">
        <v>152</v>
      </c>
      <c r="AC6" s="40">
        <v>0</v>
      </c>
    </row>
    <row r="7" spans="1:29" ht="16.5" customHeight="1">
      <c r="A7" s="28" t="s">
        <v>0</v>
      </c>
      <c r="B7" s="19" t="s">
        <v>839</v>
      </c>
      <c r="C7" s="19" t="s">
        <v>9</v>
      </c>
      <c r="D7" s="19" t="s">
        <v>13</v>
      </c>
      <c r="E7" s="19" t="s">
        <v>839</v>
      </c>
      <c r="F7" s="19" t="s">
        <v>13</v>
      </c>
      <c r="G7" s="19" t="s">
        <v>13</v>
      </c>
      <c r="H7" s="19" t="s">
        <v>13</v>
      </c>
      <c r="I7" s="19" t="s">
        <v>13</v>
      </c>
      <c r="J7" s="19" t="s">
        <v>9</v>
      </c>
      <c r="K7" s="19" t="s">
        <v>13</v>
      </c>
      <c r="L7" s="19" t="s">
        <v>839</v>
      </c>
      <c r="M7" s="36" t="s">
        <v>0</v>
      </c>
      <c r="N7" s="19" t="s">
        <v>839</v>
      </c>
      <c r="O7" s="19" t="s">
        <v>13</v>
      </c>
      <c r="P7" s="19" t="s">
        <v>13</v>
      </c>
      <c r="Q7" s="19" t="s">
        <v>13</v>
      </c>
      <c r="R7" s="19" t="s">
        <v>9</v>
      </c>
      <c r="T7" s="41"/>
      <c r="U7" s="41"/>
      <c r="V7" s="40" t="s">
        <v>21</v>
      </c>
      <c r="W7" s="40">
        <v>3</v>
      </c>
      <c r="X7" s="40" t="s">
        <v>153</v>
      </c>
      <c r="Y7" s="40">
        <v>0</v>
      </c>
      <c r="Z7" s="40" t="s">
        <v>36</v>
      </c>
      <c r="AB7" s="40" t="s">
        <v>23</v>
      </c>
      <c r="AC7" s="40">
        <v>6</v>
      </c>
    </row>
    <row r="8" spans="1:29" ht="16.5" customHeight="1">
      <c r="A8" s="28" t="s">
        <v>1</v>
      </c>
      <c r="B8" s="19"/>
      <c r="C8" s="19"/>
      <c r="D8" s="19"/>
      <c r="E8" s="19"/>
      <c r="F8" s="19"/>
      <c r="G8" s="19"/>
      <c r="H8" s="19"/>
      <c r="I8" s="19"/>
      <c r="J8" s="19"/>
      <c r="K8" s="19"/>
      <c r="L8" s="19"/>
      <c r="M8" s="36" t="s">
        <v>1</v>
      </c>
      <c r="N8" s="19"/>
      <c r="O8" s="19"/>
      <c r="P8" s="19"/>
      <c r="Q8" s="19"/>
      <c r="R8" s="19"/>
      <c r="T8" s="41"/>
      <c r="V8" s="40" t="s">
        <v>26</v>
      </c>
      <c r="W8" s="40">
        <v>1</v>
      </c>
      <c r="X8" s="40" t="s">
        <v>327</v>
      </c>
      <c r="Y8" s="40">
        <v>3</v>
      </c>
      <c r="Z8" s="40" t="s">
        <v>37</v>
      </c>
      <c r="AB8" s="40" t="s">
        <v>25</v>
      </c>
      <c r="AC8" s="40">
        <v>4</v>
      </c>
    </row>
    <row r="9" spans="1:29" ht="16.5" customHeight="1">
      <c r="A9" s="28" t="s">
        <v>366</v>
      </c>
      <c r="B9" s="19"/>
      <c r="C9" s="19"/>
      <c r="D9" s="19"/>
      <c r="E9" s="19"/>
      <c r="F9" s="19"/>
      <c r="G9" s="19"/>
      <c r="H9" s="19"/>
      <c r="I9" s="19"/>
      <c r="J9" s="19"/>
      <c r="K9" s="19"/>
      <c r="L9" s="19"/>
      <c r="M9" s="36" t="s">
        <v>366</v>
      </c>
      <c r="N9" s="19"/>
      <c r="O9" s="19"/>
      <c r="P9" s="19"/>
      <c r="Q9" s="19"/>
      <c r="R9" s="19"/>
      <c r="T9" s="41"/>
      <c r="V9" s="40" t="s">
        <v>27</v>
      </c>
      <c r="W9" s="40">
        <v>3</v>
      </c>
      <c r="X9" s="40" t="s">
        <v>28</v>
      </c>
      <c r="Y9" s="40">
        <v>2</v>
      </c>
      <c r="AB9" s="40" t="s">
        <v>327</v>
      </c>
      <c r="AC9" s="40" t="s">
        <v>846</v>
      </c>
    </row>
    <row r="10" spans="1:29" ht="16.5" customHeight="1">
      <c r="A10" s="23" t="s">
        <v>243</v>
      </c>
      <c r="B10" s="30">
        <v>44506</v>
      </c>
      <c r="C10" s="30">
        <v>44507</v>
      </c>
      <c r="D10" s="25">
        <v>44508</v>
      </c>
      <c r="E10" s="25">
        <v>44509</v>
      </c>
      <c r="F10" s="25">
        <v>44510</v>
      </c>
      <c r="G10" s="25">
        <v>44511</v>
      </c>
      <c r="H10" s="25">
        <v>44512</v>
      </c>
      <c r="I10" s="30">
        <v>44513</v>
      </c>
      <c r="J10" s="30">
        <v>44514</v>
      </c>
      <c r="K10" s="25">
        <v>44515</v>
      </c>
      <c r="L10" s="25">
        <v>44516</v>
      </c>
      <c r="M10" s="25">
        <v>44517</v>
      </c>
      <c r="N10" s="25">
        <v>44518</v>
      </c>
      <c r="O10" s="25">
        <v>44519</v>
      </c>
      <c r="P10" s="30">
        <v>44520</v>
      </c>
      <c r="Q10" s="19"/>
      <c r="R10" s="19"/>
      <c r="T10" s="41"/>
      <c r="V10" s="40" t="s">
        <v>533</v>
      </c>
      <c r="W10" s="40">
        <v>3</v>
      </c>
      <c r="X10" s="40" t="s">
        <v>152</v>
      </c>
      <c r="Y10" s="40">
        <v>3</v>
      </c>
      <c r="AB10" s="40" t="s">
        <v>516</v>
      </c>
      <c r="AC10" s="40" t="s">
        <v>845</v>
      </c>
    </row>
    <row r="11" spans="1:29" ht="16.5" customHeight="1">
      <c r="A11" s="36">
        <v>1</v>
      </c>
      <c r="B11" s="19" t="s">
        <v>2</v>
      </c>
      <c r="C11" s="19" t="s">
        <v>533</v>
      </c>
      <c r="D11" s="19"/>
      <c r="E11" s="19"/>
      <c r="F11" s="19"/>
      <c r="G11" s="19"/>
      <c r="H11" s="19"/>
      <c r="I11" s="19" t="s">
        <v>315</v>
      </c>
      <c r="J11" s="19" t="s">
        <v>25</v>
      </c>
      <c r="K11" s="19"/>
      <c r="L11" s="19"/>
      <c r="M11" s="19"/>
      <c r="N11" s="19"/>
      <c r="O11" s="19"/>
      <c r="P11" s="19" t="s">
        <v>107</v>
      </c>
      <c r="Q11" s="19"/>
      <c r="R11" s="19"/>
      <c r="T11" s="41"/>
      <c r="V11" s="40" t="s">
        <v>516</v>
      </c>
      <c r="W11" s="40">
        <v>1</v>
      </c>
    </row>
    <row r="12" spans="1:29" ht="16.5" customHeight="1">
      <c r="A12" s="36">
        <v>2</v>
      </c>
      <c r="B12" s="19" t="s">
        <v>93</v>
      </c>
      <c r="C12" s="19" t="s">
        <v>313</v>
      </c>
      <c r="D12" s="19"/>
      <c r="E12" s="19"/>
      <c r="F12" s="19"/>
      <c r="G12" s="19"/>
      <c r="H12" s="19"/>
      <c r="I12" s="19" t="s">
        <v>857</v>
      </c>
      <c r="J12" s="19" t="s">
        <v>516</v>
      </c>
      <c r="K12" s="19"/>
      <c r="L12" s="19"/>
      <c r="M12" s="19"/>
      <c r="N12" s="19"/>
      <c r="O12" s="19"/>
      <c r="P12" s="19" t="s">
        <v>6</v>
      </c>
      <c r="Q12" s="19"/>
      <c r="R12" s="19"/>
      <c r="T12" s="41"/>
    </row>
    <row r="13" spans="1:29" ht="16.5" customHeight="1">
      <c r="A13" s="36">
        <v>3</v>
      </c>
      <c r="B13" s="19" t="s">
        <v>855</v>
      </c>
      <c r="C13" s="19" t="s">
        <v>855</v>
      </c>
      <c r="D13" s="19"/>
      <c r="E13" s="19"/>
      <c r="F13" s="19"/>
      <c r="G13" s="19"/>
      <c r="H13" s="19"/>
      <c r="I13" s="19" t="s">
        <v>855</v>
      </c>
      <c r="J13" s="19" t="s">
        <v>855</v>
      </c>
      <c r="K13" s="19"/>
      <c r="L13" s="19"/>
      <c r="M13" s="19"/>
      <c r="N13" s="19"/>
      <c r="O13" s="19"/>
      <c r="P13" s="19" t="s">
        <v>855</v>
      </c>
      <c r="Q13" s="19"/>
      <c r="R13" s="19"/>
      <c r="T13" s="41"/>
    </row>
    <row r="14" spans="1:29" ht="16.5" customHeight="1">
      <c r="A14" s="36" t="s">
        <v>20</v>
      </c>
      <c r="B14" s="19" t="s">
        <v>6</v>
      </c>
      <c r="C14" s="19" t="s">
        <v>13</v>
      </c>
      <c r="D14" s="19" t="s">
        <v>312</v>
      </c>
      <c r="E14" s="19" t="s">
        <v>13</v>
      </c>
      <c r="F14" s="19" t="s">
        <v>13</v>
      </c>
      <c r="G14" s="19" t="s">
        <v>13</v>
      </c>
      <c r="H14" s="19" t="s">
        <v>13</v>
      </c>
      <c r="I14" s="19" t="s">
        <v>13</v>
      </c>
      <c r="J14" s="19" t="s">
        <v>13</v>
      </c>
      <c r="K14" s="19" t="s">
        <v>769</v>
      </c>
      <c r="L14" s="19" t="s">
        <v>13</v>
      </c>
      <c r="M14" s="19" t="s">
        <v>13</v>
      </c>
      <c r="N14" s="19" t="s">
        <v>13</v>
      </c>
      <c r="O14" s="19" t="s">
        <v>13</v>
      </c>
      <c r="P14" s="19" t="s">
        <v>13</v>
      </c>
      <c r="Q14" s="19"/>
      <c r="R14" s="19"/>
      <c r="T14" s="41"/>
    </row>
    <row r="15" spans="1:29" ht="16.5" customHeight="1">
      <c r="A15" s="36" t="s">
        <v>0</v>
      </c>
      <c r="B15" s="19" t="s">
        <v>9</v>
      </c>
      <c r="C15" s="19" t="s">
        <v>839</v>
      </c>
      <c r="D15" s="19" t="s">
        <v>13</v>
      </c>
      <c r="E15" s="19" t="s">
        <v>13</v>
      </c>
      <c r="F15" s="19" t="s">
        <v>13</v>
      </c>
      <c r="G15" s="19" t="s">
        <v>13</v>
      </c>
      <c r="H15" s="19" t="s">
        <v>9</v>
      </c>
      <c r="I15" s="19" t="s">
        <v>13</v>
      </c>
      <c r="J15" s="19" t="s">
        <v>839</v>
      </c>
      <c r="K15" s="19" t="s">
        <v>13</v>
      </c>
      <c r="L15" s="19" t="s">
        <v>13</v>
      </c>
      <c r="M15" s="19" t="s">
        <v>13</v>
      </c>
      <c r="N15" s="19" t="s">
        <v>13</v>
      </c>
      <c r="O15" s="19" t="s">
        <v>9</v>
      </c>
      <c r="P15" s="19" t="s">
        <v>13</v>
      </c>
      <c r="Q15" s="19"/>
      <c r="R15" s="19"/>
      <c r="T15" s="41"/>
      <c r="V15" s="40" t="s">
        <v>567</v>
      </c>
      <c r="W15" s="40">
        <f>SUM(W2:W14)</f>
        <v>18</v>
      </c>
      <c r="Y15" s="40">
        <f>SUM(Y2:Y14)</f>
        <v>18</v>
      </c>
      <c r="AA15" s="40">
        <f>SUM(AA2:AA14)</f>
        <v>0</v>
      </c>
    </row>
    <row r="16" spans="1:29" ht="16.5" customHeight="1">
      <c r="A16" s="36" t="s">
        <v>1</v>
      </c>
      <c r="B16" s="19"/>
      <c r="C16" s="19"/>
      <c r="D16" s="19"/>
      <c r="E16" s="19"/>
      <c r="F16" s="19"/>
      <c r="G16" s="19"/>
      <c r="H16" s="19"/>
      <c r="I16" s="19"/>
      <c r="J16" s="19"/>
      <c r="K16" s="19"/>
      <c r="L16" s="19"/>
      <c r="M16" s="19"/>
      <c r="N16" s="19"/>
      <c r="O16" s="19"/>
      <c r="P16" s="19"/>
      <c r="Q16" s="19"/>
      <c r="R16" s="19"/>
      <c r="T16" s="41"/>
    </row>
    <row r="17" spans="1:28" ht="16.5" customHeight="1">
      <c r="A17" s="36" t="s">
        <v>366</v>
      </c>
      <c r="B17" s="19"/>
      <c r="C17" s="19"/>
      <c r="D17" s="19"/>
      <c r="E17" s="19"/>
      <c r="F17" s="19"/>
      <c r="G17" s="19"/>
      <c r="H17" s="19"/>
      <c r="I17" s="19"/>
      <c r="J17" s="19"/>
      <c r="K17" s="19"/>
      <c r="L17" s="19"/>
      <c r="M17" s="19"/>
      <c r="N17" s="19"/>
      <c r="O17" s="19"/>
      <c r="P17" s="19"/>
      <c r="Q17" s="19"/>
      <c r="R17" s="19"/>
      <c r="T17" s="41"/>
    </row>
    <row r="18" spans="1:28" ht="11.25" customHeight="1">
      <c r="A18" s="42"/>
      <c r="B18" s="37"/>
      <c r="C18" s="37"/>
      <c r="D18" s="37"/>
      <c r="E18" s="37"/>
      <c r="F18" s="37"/>
      <c r="G18" s="37"/>
      <c r="H18" s="38"/>
      <c r="I18" s="38"/>
      <c r="J18" s="38"/>
      <c r="K18" s="38"/>
      <c r="L18" s="38"/>
      <c r="M18" s="38"/>
      <c r="N18" s="38"/>
      <c r="O18" s="38"/>
      <c r="P18" s="37"/>
      <c r="Q18" s="37"/>
      <c r="R18" s="39"/>
      <c r="T18" s="41"/>
      <c r="X18" s="40" t="s">
        <v>669</v>
      </c>
    </row>
    <row r="19" spans="1:28" ht="16.5" customHeight="1">
      <c r="A19" s="23" t="s">
        <v>243</v>
      </c>
      <c r="B19" s="30">
        <v>44521</v>
      </c>
      <c r="C19" s="25">
        <v>44522</v>
      </c>
      <c r="D19" s="25">
        <v>44523</v>
      </c>
      <c r="E19" s="25">
        <v>44524</v>
      </c>
      <c r="F19" s="25">
        <v>44525</v>
      </c>
      <c r="G19" s="25">
        <v>44526</v>
      </c>
      <c r="H19" s="30">
        <v>44527</v>
      </c>
      <c r="I19" s="30">
        <v>44528</v>
      </c>
      <c r="J19" s="25">
        <v>44529</v>
      </c>
      <c r="K19" s="25">
        <v>44530</v>
      </c>
      <c r="L19" s="25"/>
      <c r="M19" s="26" t="s">
        <v>244</v>
      </c>
      <c r="N19" s="27">
        <v>44531</v>
      </c>
      <c r="O19" s="27">
        <v>44532</v>
      </c>
      <c r="P19" s="31">
        <v>44533</v>
      </c>
      <c r="Q19" s="31">
        <v>44534</v>
      </c>
      <c r="R19" s="31">
        <v>44535</v>
      </c>
      <c r="T19" s="41"/>
      <c r="V19" s="40" t="s">
        <v>63</v>
      </c>
      <c r="X19" s="40" t="s">
        <v>64</v>
      </c>
      <c r="Z19" s="40" t="s">
        <v>65</v>
      </c>
      <c r="AB19" s="40" t="s">
        <v>169</v>
      </c>
    </row>
    <row r="20" spans="1:28" ht="16.5" customHeight="1">
      <c r="A20" s="36">
        <v>1</v>
      </c>
      <c r="B20" s="19" t="s">
        <v>7</v>
      </c>
      <c r="C20" s="19"/>
      <c r="D20" s="19"/>
      <c r="E20" s="19"/>
      <c r="F20" s="19"/>
      <c r="G20" s="19"/>
      <c r="H20" s="19" t="s">
        <v>2</v>
      </c>
      <c r="I20" s="19" t="s">
        <v>533</v>
      </c>
      <c r="J20" s="19"/>
      <c r="K20" s="19"/>
      <c r="L20" s="19"/>
      <c r="M20" s="28">
        <v>1</v>
      </c>
      <c r="N20" s="19"/>
      <c r="O20" s="19"/>
      <c r="P20" s="19" t="s">
        <v>312</v>
      </c>
      <c r="Q20" s="19" t="s">
        <v>25</v>
      </c>
      <c r="R20" s="19" t="s">
        <v>315</v>
      </c>
      <c r="T20" s="41"/>
      <c r="V20" s="40" t="s">
        <v>25</v>
      </c>
      <c r="W20" s="40">
        <v>2</v>
      </c>
      <c r="X20" s="40" t="s">
        <v>45</v>
      </c>
      <c r="Y20" s="40">
        <v>2</v>
      </c>
      <c r="Z20" s="40" t="s">
        <v>34</v>
      </c>
      <c r="AB20" s="40" t="s">
        <v>153</v>
      </c>
    </row>
    <row r="21" spans="1:28" ht="16.5" customHeight="1">
      <c r="A21" s="36">
        <v>2</v>
      </c>
      <c r="B21" s="19" t="s">
        <v>153</v>
      </c>
      <c r="C21" s="19"/>
      <c r="D21" s="19"/>
      <c r="E21" s="19"/>
      <c r="F21" s="19"/>
      <c r="G21" s="19"/>
      <c r="H21" s="19" t="s">
        <v>814</v>
      </c>
      <c r="I21" s="19" t="s">
        <v>93</v>
      </c>
      <c r="J21" s="19"/>
      <c r="K21" s="19"/>
      <c r="L21" s="19"/>
      <c r="M21" s="28">
        <v>2</v>
      </c>
      <c r="N21" s="19"/>
      <c r="O21" s="19"/>
      <c r="P21" s="19" t="s">
        <v>6</v>
      </c>
      <c r="Q21" s="19" t="s">
        <v>769</v>
      </c>
      <c r="R21" s="19" t="s">
        <v>313</v>
      </c>
      <c r="T21" s="41"/>
      <c r="V21" s="40" t="s">
        <v>2</v>
      </c>
      <c r="W21" s="40">
        <v>3</v>
      </c>
      <c r="X21" s="40" t="s">
        <v>14</v>
      </c>
      <c r="Y21" s="40">
        <v>2</v>
      </c>
      <c r="Z21" s="40" t="s">
        <v>38</v>
      </c>
      <c r="AB21" s="40" t="s">
        <v>26</v>
      </c>
    </row>
    <row r="22" spans="1:28" ht="16.5" customHeight="1">
      <c r="A22" s="36">
        <v>3</v>
      </c>
      <c r="B22" s="19" t="s">
        <v>855</v>
      </c>
      <c r="C22" s="19"/>
      <c r="D22" s="19"/>
      <c r="E22" s="19"/>
      <c r="F22" s="19"/>
      <c r="G22" s="19"/>
      <c r="H22" s="19" t="s">
        <v>855</v>
      </c>
      <c r="I22" s="19" t="s">
        <v>855</v>
      </c>
      <c r="J22" s="19"/>
      <c r="K22" s="19"/>
      <c r="L22" s="19"/>
      <c r="M22" s="28">
        <v>3</v>
      </c>
      <c r="N22" s="19"/>
      <c r="O22" s="19"/>
      <c r="P22" s="19" t="s">
        <v>859</v>
      </c>
      <c r="Q22" s="19" t="s">
        <v>855</v>
      </c>
      <c r="R22" s="19" t="s">
        <v>855</v>
      </c>
      <c r="T22" s="41"/>
      <c r="V22" s="40" t="s">
        <v>516</v>
      </c>
      <c r="X22" s="40" t="s">
        <v>6</v>
      </c>
      <c r="Y22" s="40">
        <v>2</v>
      </c>
      <c r="Z22" s="40" t="s">
        <v>249</v>
      </c>
      <c r="AB22" s="40" t="s">
        <v>6</v>
      </c>
    </row>
    <row r="23" spans="1:28" ht="16.5" customHeight="1">
      <c r="A23" s="36" t="s">
        <v>20</v>
      </c>
      <c r="B23" s="19" t="s">
        <v>769</v>
      </c>
      <c r="C23" s="19" t="s">
        <v>774</v>
      </c>
      <c r="D23" s="19" t="s">
        <v>13</v>
      </c>
      <c r="E23" s="19" t="s">
        <v>13</v>
      </c>
      <c r="F23" s="19" t="s">
        <v>13</v>
      </c>
      <c r="G23" s="19" t="s">
        <v>13</v>
      </c>
      <c r="H23" s="19" t="s">
        <v>13</v>
      </c>
      <c r="I23" s="19" t="s">
        <v>13</v>
      </c>
      <c r="J23" s="19" t="s">
        <v>516</v>
      </c>
      <c r="K23" s="19" t="s">
        <v>13</v>
      </c>
      <c r="L23" s="19" t="s">
        <v>13</v>
      </c>
      <c r="M23" s="28" t="s">
        <v>20</v>
      </c>
      <c r="N23" s="19" t="s">
        <v>516</v>
      </c>
      <c r="O23" s="19" t="s">
        <v>13</v>
      </c>
      <c r="P23" s="19" t="s">
        <v>13</v>
      </c>
      <c r="Q23" s="19" t="s">
        <v>13</v>
      </c>
      <c r="R23" s="19" t="s">
        <v>13</v>
      </c>
      <c r="T23" s="41"/>
      <c r="V23" s="40" t="s">
        <v>7</v>
      </c>
      <c r="W23" s="40">
        <v>3</v>
      </c>
      <c r="X23" s="40" t="s">
        <v>23</v>
      </c>
      <c r="Y23" s="40">
        <v>2</v>
      </c>
      <c r="Z23" s="40" t="s">
        <v>10</v>
      </c>
      <c r="AB23" s="40" t="s">
        <v>152</v>
      </c>
    </row>
    <row r="24" spans="1:28" ht="16.5" customHeight="1">
      <c r="A24" s="36" t="s">
        <v>0</v>
      </c>
      <c r="B24" s="19" t="s">
        <v>839</v>
      </c>
      <c r="C24" s="19" t="s">
        <v>13</v>
      </c>
      <c r="D24" s="19" t="s">
        <v>13</v>
      </c>
      <c r="E24" s="19" t="s">
        <v>13</v>
      </c>
      <c r="F24" s="19" t="s">
        <v>13</v>
      </c>
      <c r="G24" s="19" t="s">
        <v>9</v>
      </c>
      <c r="H24" s="19" t="s">
        <v>13</v>
      </c>
      <c r="I24" s="19" t="s">
        <v>839</v>
      </c>
      <c r="J24" s="19" t="s">
        <v>13</v>
      </c>
      <c r="K24" s="19" t="s">
        <v>13</v>
      </c>
      <c r="L24" s="19"/>
      <c r="M24" s="28" t="s">
        <v>0</v>
      </c>
      <c r="N24" s="19" t="s">
        <v>839</v>
      </c>
      <c r="O24" s="19" t="s">
        <v>13</v>
      </c>
      <c r="P24" s="19" t="s">
        <v>9</v>
      </c>
      <c r="Q24" s="19" t="s">
        <v>13</v>
      </c>
      <c r="R24" s="19" t="s">
        <v>839</v>
      </c>
      <c r="T24" s="41"/>
      <c r="V24" s="40" t="s">
        <v>21</v>
      </c>
      <c r="W24" s="40">
        <v>3</v>
      </c>
      <c r="X24" s="40" t="s">
        <v>153</v>
      </c>
      <c r="Y24" s="40">
        <v>2</v>
      </c>
      <c r="Z24" s="40" t="s">
        <v>36</v>
      </c>
      <c r="AB24" s="40" t="s">
        <v>23</v>
      </c>
    </row>
    <row r="25" spans="1:28" ht="16.5" customHeight="1">
      <c r="A25" s="36" t="s">
        <v>1</v>
      </c>
      <c r="B25" s="19"/>
      <c r="C25" s="19"/>
      <c r="D25" s="19"/>
      <c r="E25" s="19"/>
      <c r="F25" s="19"/>
      <c r="G25" s="19"/>
      <c r="H25" s="19"/>
      <c r="I25" s="19"/>
      <c r="J25" s="19"/>
      <c r="K25" s="19"/>
      <c r="L25" s="19"/>
      <c r="M25" s="28" t="s">
        <v>1</v>
      </c>
      <c r="N25" s="19"/>
      <c r="O25" s="19"/>
      <c r="P25" s="19"/>
      <c r="Q25" s="19"/>
      <c r="R25" s="19"/>
      <c r="T25" s="41"/>
      <c r="V25" s="40" t="s">
        <v>26</v>
      </c>
      <c r="W25" s="40">
        <v>2</v>
      </c>
      <c r="X25" s="40" t="s">
        <v>327</v>
      </c>
      <c r="Y25" s="40">
        <v>2</v>
      </c>
      <c r="Z25" s="40" t="s">
        <v>37</v>
      </c>
      <c r="AB25" s="40" t="s">
        <v>25</v>
      </c>
    </row>
    <row r="26" spans="1:28" ht="16.5" customHeight="1">
      <c r="A26" s="36" t="s">
        <v>366</v>
      </c>
      <c r="B26" s="19"/>
      <c r="C26" s="19"/>
      <c r="D26" s="19"/>
      <c r="E26" s="19"/>
      <c r="F26" s="19"/>
      <c r="G26" s="19"/>
      <c r="H26" s="19"/>
      <c r="I26" s="19"/>
      <c r="J26" s="19"/>
      <c r="K26" s="19"/>
      <c r="L26" s="19"/>
      <c r="M26" s="28" t="s">
        <v>366</v>
      </c>
      <c r="N26" s="19"/>
      <c r="O26" s="19"/>
      <c r="P26" s="19"/>
      <c r="Q26" s="19"/>
      <c r="R26" s="19"/>
      <c r="T26" s="41"/>
      <c r="V26" s="40" t="s">
        <v>27</v>
      </c>
      <c r="W26" s="40">
        <v>3</v>
      </c>
      <c r="X26" s="40" t="s">
        <v>28</v>
      </c>
      <c r="Y26" s="40">
        <v>2</v>
      </c>
      <c r="AB26" s="40" t="s">
        <v>327</v>
      </c>
    </row>
    <row r="27" spans="1:28" ht="16.5" customHeight="1">
      <c r="A27" s="26" t="s">
        <v>244</v>
      </c>
      <c r="B27" s="27">
        <v>44536</v>
      </c>
      <c r="C27" s="27">
        <v>44537</v>
      </c>
      <c r="D27" s="27">
        <v>44538</v>
      </c>
      <c r="E27" s="27">
        <v>44539</v>
      </c>
      <c r="F27" s="27">
        <v>44540</v>
      </c>
      <c r="G27" s="31">
        <v>44541</v>
      </c>
      <c r="H27" s="31">
        <v>44542</v>
      </c>
      <c r="I27" s="27">
        <v>44543</v>
      </c>
      <c r="J27" s="27">
        <v>44544</v>
      </c>
      <c r="K27" s="27">
        <v>44545</v>
      </c>
      <c r="L27" s="27">
        <v>44546</v>
      </c>
      <c r="M27" s="27">
        <v>44547</v>
      </c>
      <c r="N27" s="31">
        <v>44548</v>
      </c>
      <c r="O27" s="31">
        <v>44549</v>
      </c>
      <c r="P27" s="27">
        <v>44550</v>
      </c>
      <c r="Q27" s="19"/>
      <c r="R27" s="19"/>
      <c r="T27" s="41"/>
      <c r="V27" s="40" t="s">
        <v>533</v>
      </c>
      <c r="W27" s="40">
        <v>3</v>
      </c>
      <c r="X27" s="40" t="s">
        <v>152</v>
      </c>
      <c r="Y27" s="40">
        <v>3</v>
      </c>
      <c r="AB27" s="40" t="s">
        <v>516</v>
      </c>
    </row>
    <row r="28" spans="1:28" ht="16.5" customHeight="1">
      <c r="A28" s="28">
        <v>1</v>
      </c>
      <c r="B28" s="19"/>
      <c r="C28" s="19"/>
      <c r="D28" s="19"/>
      <c r="E28" s="19"/>
      <c r="F28" s="19"/>
      <c r="G28" s="19" t="s">
        <v>107</v>
      </c>
      <c r="H28" s="19" t="s">
        <v>7</v>
      </c>
      <c r="I28" s="19"/>
      <c r="J28" s="19"/>
      <c r="K28" s="19"/>
      <c r="L28" s="19"/>
      <c r="M28" s="19"/>
      <c r="N28" s="19" t="s">
        <v>533</v>
      </c>
      <c r="O28" s="19" t="s">
        <v>2</v>
      </c>
      <c r="P28" s="19"/>
      <c r="Q28" s="19"/>
      <c r="R28" s="19"/>
      <c r="T28" s="41"/>
      <c r="X28" s="40" t="s">
        <v>516</v>
      </c>
      <c r="Y28" s="40">
        <v>2</v>
      </c>
    </row>
    <row r="29" spans="1:28" ht="16.5" customHeight="1">
      <c r="A29" s="28">
        <v>2</v>
      </c>
      <c r="B29" s="19"/>
      <c r="C29" s="19"/>
      <c r="D29" s="19"/>
      <c r="E29" s="19"/>
      <c r="F29" s="19"/>
      <c r="G29" s="19" t="s">
        <v>774</v>
      </c>
      <c r="H29" s="19" t="s">
        <v>857</v>
      </c>
      <c r="I29" s="19"/>
      <c r="J29" s="19"/>
      <c r="K29" s="19"/>
      <c r="L29" s="19"/>
      <c r="M29" s="19"/>
      <c r="N29" s="19" t="s">
        <v>814</v>
      </c>
      <c r="O29" s="19" t="s">
        <v>516</v>
      </c>
      <c r="P29" s="19"/>
      <c r="Q29" s="19"/>
      <c r="R29" s="19"/>
      <c r="T29" s="41"/>
    </row>
    <row r="30" spans="1:28" ht="16.5" customHeight="1">
      <c r="A30" s="28">
        <v>3</v>
      </c>
      <c r="B30" s="19"/>
      <c r="C30" s="19"/>
      <c r="D30" s="19"/>
      <c r="E30" s="19"/>
      <c r="F30" s="19"/>
      <c r="G30" s="19" t="s">
        <v>855</v>
      </c>
      <c r="H30" s="19" t="s">
        <v>855</v>
      </c>
      <c r="I30" s="19"/>
      <c r="J30" s="19"/>
      <c r="K30" s="19"/>
      <c r="L30" s="19"/>
      <c r="M30" s="19"/>
      <c r="N30" s="19" t="s">
        <v>855</v>
      </c>
      <c r="O30" s="19" t="s">
        <v>855</v>
      </c>
      <c r="P30" s="19"/>
      <c r="Q30" s="19"/>
      <c r="R30" s="19"/>
      <c r="T30" s="41"/>
    </row>
    <row r="31" spans="1:28" ht="16.5" customHeight="1">
      <c r="A31" s="28" t="s">
        <v>20</v>
      </c>
      <c r="B31" s="19" t="s">
        <v>6</v>
      </c>
      <c r="C31" s="19" t="s">
        <v>13</v>
      </c>
      <c r="D31" s="19" t="s">
        <v>13</v>
      </c>
      <c r="E31" s="19" t="s">
        <v>13</v>
      </c>
      <c r="F31" s="19" t="s">
        <v>13</v>
      </c>
      <c r="G31" s="19" t="s">
        <v>13</v>
      </c>
      <c r="H31" s="19" t="s">
        <v>13</v>
      </c>
      <c r="I31" s="19" t="s">
        <v>25</v>
      </c>
      <c r="J31" s="19" t="s">
        <v>13</v>
      </c>
      <c r="K31" s="19" t="s">
        <v>13</v>
      </c>
      <c r="L31" s="19" t="s">
        <v>13</v>
      </c>
      <c r="M31" s="19" t="s">
        <v>13</v>
      </c>
      <c r="N31" s="19" t="s">
        <v>13</v>
      </c>
      <c r="O31" s="19" t="s">
        <v>13</v>
      </c>
      <c r="P31" s="19" t="s">
        <v>312</v>
      </c>
      <c r="Q31" s="19"/>
      <c r="R31" s="19"/>
      <c r="T31" s="41"/>
    </row>
    <row r="32" spans="1:28" ht="16.5" customHeight="1">
      <c r="A32" s="28" t="s">
        <v>0</v>
      </c>
      <c r="B32" s="19" t="s">
        <v>839</v>
      </c>
      <c r="C32" s="19" t="s">
        <v>13</v>
      </c>
      <c r="D32" s="19" t="s">
        <v>13</v>
      </c>
      <c r="E32" s="19" t="s">
        <v>13</v>
      </c>
      <c r="F32" s="19" t="s">
        <v>9</v>
      </c>
      <c r="G32" s="19" t="s">
        <v>13</v>
      </c>
      <c r="H32" s="19" t="s">
        <v>839</v>
      </c>
      <c r="I32" s="19" t="s">
        <v>13</v>
      </c>
      <c r="J32" s="19" t="s">
        <v>13</v>
      </c>
      <c r="K32" s="19" t="s">
        <v>13</v>
      </c>
      <c r="L32" s="19" t="s">
        <v>13</v>
      </c>
      <c r="M32" s="19" t="s">
        <v>9</v>
      </c>
      <c r="N32" s="19" t="s">
        <v>13</v>
      </c>
      <c r="O32" s="19" t="s">
        <v>839</v>
      </c>
      <c r="P32" s="19" t="s">
        <v>13</v>
      </c>
      <c r="Q32" s="19"/>
      <c r="R32" s="19"/>
      <c r="T32" s="41"/>
      <c r="V32" s="40" t="s">
        <v>858</v>
      </c>
      <c r="W32" s="40">
        <f>SUM(W19:W31)</f>
        <v>19</v>
      </c>
      <c r="Y32" s="40">
        <f>SUM(Y19:Y31)</f>
        <v>19</v>
      </c>
      <c r="AA32" s="40">
        <f>SUM(AA19:AA31)</f>
        <v>0</v>
      </c>
    </row>
    <row r="33" spans="1:20" ht="16.5" customHeight="1">
      <c r="A33" s="28" t="s">
        <v>1</v>
      </c>
      <c r="B33" s="19"/>
      <c r="C33" s="19"/>
      <c r="D33" s="19"/>
      <c r="E33" s="19"/>
      <c r="F33" s="19"/>
      <c r="G33" s="19"/>
      <c r="H33" s="19"/>
      <c r="I33" s="19"/>
      <c r="J33" s="19"/>
      <c r="K33" s="19"/>
      <c r="L33" s="19"/>
      <c r="M33" s="19"/>
      <c r="N33" s="19"/>
      <c r="O33" s="19"/>
      <c r="P33" s="19"/>
      <c r="Q33" s="19"/>
      <c r="R33" s="19"/>
    </row>
    <row r="34" spans="1:20" ht="16.5" customHeight="1">
      <c r="A34" s="28" t="s">
        <v>366</v>
      </c>
      <c r="B34" s="19"/>
      <c r="C34" s="19"/>
      <c r="D34" s="19"/>
      <c r="E34" s="19"/>
      <c r="F34" s="19"/>
      <c r="G34" s="19"/>
      <c r="H34" s="19"/>
      <c r="I34" s="19"/>
      <c r="J34" s="19"/>
      <c r="K34" s="19"/>
      <c r="L34" s="19"/>
      <c r="M34" s="19"/>
      <c r="N34" s="19"/>
      <c r="O34" s="19"/>
      <c r="P34" s="19"/>
      <c r="Q34" s="19"/>
      <c r="R34" s="19"/>
    </row>
    <row r="35" spans="1:20" ht="12.75" customHeight="1">
      <c r="Q35" s="145" t="s">
        <v>82</v>
      </c>
      <c r="R35" s="145"/>
      <c r="T35" s="41"/>
    </row>
    <row r="36" spans="1:20">
      <c r="A36" s="40" t="s">
        <v>322</v>
      </c>
      <c r="B36" s="49"/>
      <c r="C36" s="49"/>
      <c r="D36" s="49"/>
      <c r="E36" s="49"/>
      <c r="F36" s="49"/>
      <c r="G36" s="49"/>
      <c r="H36" s="55"/>
      <c r="I36" s="49"/>
      <c r="J36" s="49"/>
      <c r="K36" s="49"/>
      <c r="L36" s="49"/>
      <c r="M36" s="49"/>
      <c r="N36" s="49"/>
      <c r="O36" s="49"/>
      <c r="T36" s="41"/>
    </row>
    <row r="37" spans="1:20">
      <c r="A37" s="43" t="s">
        <v>312</v>
      </c>
      <c r="B37" s="55" t="s">
        <v>850</v>
      </c>
      <c r="C37" s="55"/>
      <c r="D37" s="55"/>
      <c r="E37" s="55"/>
      <c r="F37" s="55"/>
      <c r="G37" s="55"/>
      <c r="H37" s="55"/>
      <c r="I37" s="55"/>
      <c r="J37" s="55"/>
      <c r="K37" s="55"/>
      <c r="L37" s="55"/>
      <c r="M37" s="55"/>
      <c r="N37" s="55"/>
      <c r="O37" s="55"/>
      <c r="P37" s="43"/>
      <c r="Q37" s="43"/>
      <c r="R37" s="43"/>
      <c r="T37" s="41"/>
    </row>
    <row r="38" spans="1:20">
      <c r="A38" s="43" t="s">
        <v>25</v>
      </c>
      <c r="B38" s="56" t="s">
        <v>854</v>
      </c>
      <c r="C38" s="55"/>
      <c r="D38" s="55"/>
      <c r="E38" s="55"/>
      <c r="F38" s="55"/>
      <c r="G38" s="55"/>
      <c r="H38" s="55"/>
      <c r="I38" s="55"/>
      <c r="J38" s="55"/>
      <c r="K38" s="55"/>
      <c r="L38" s="55"/>
      <c r="M38" s="55"/>
      <c r="N38" s="55"/>
      <c r="O38" s="55"/>
      <c r="P38" s="43"/>
      <c r="Q38" s="43"/>
      <c r="R38" s="43"/>
      <c r="T38" s="41"/>
    </row>
    <row r="39" spans="1:20">
      <c r="A39" s="43" t="s">
        <v>7</v>
      </c>
      <c r="B39" s="55">
        <v>44541</v>
      </c>
      <c r="C39" s="55"/>
      <c r="D39" s="55"/>
      <c r="E39" s="55"/>
      <c r="F39" s="55"/>
      <c r="G39" s="55"/>
      <c r="H39" s="55"/>
      <c r="I39" s="55"/>
      <c r="J39" s="55"/>
      <c r="K39" s="55"/>
      <c r="L39" s="55"/>
      <c r="M39" s="55"/>
      <c r="N39" s="55"/>
      <c r="O39" s="55"/>
      <c r="P39" s="43"/>
      <c r="Q39" s="43"/>
      <c r="R39" s="43"/>
      <c r="T39" s="41"/>
    </row>
    <row r="40" spans="1:20">
      <c r="A40" s="43" t="s">
        <v>516</v>
      </c>
      <c r="B40" s="55" t="s">
        <v>851</v>
      </c>
      <c r="C40" s="55"/>
      <c r="D40" s="55"/>
      <c r="E40" s="55"/>
      <c r="F40" s="55"/>
      <c r="G40" s="55"/>
      <c r="H40" s="55"/>
      <c r="I40" s="55"/>
      <c r="J40" s="55"/>
      <c r="K40" s="55"/>
      <c r="L40" s="55"/>
      <c r="M40" s="55"/>
      <c r="N40" s="55"/>
      <c r="O40" s="55"/>
      <c r="P40" s="43"/>
      <c r="Q40" s="43"/>
      <c r="R40" s="43"/>
    </row>
    <row r="41" spans="1:20">
      <c r="A41" s="43" t="s">
        <v>28</v>
      </c>
      <c r="B41" s="55" t="s">
        <v>853</v>
      </c>
      <c r="C41" s="55"/>
      <c r="D41" s="55"/>
      <c r="E41" s="55"/>
      <c r="F41" s="55"/>
      <c r="G41" s="55"/>
      <c r="H41" s="55"/>
      <c r="I41" s="55"/>
      <c r="J41" s="55"/>
      <c r="K41" s="55"/>
      <c r="L41" s="55"/>
      <c r="M41" s="55"/>
      <c r="N41" s="55"/>
      <c r="O41" s="55"/>
      <c r="P41" s="43"/>
      <c r="Q41" s="43"/>
      <c r="R41" s="43"/>
    </row>
    <row r="42" spans="1:20">
      <c r="A42" s="43" t="s">
        <v>153</v>
      </c>
      <c r="B42" s="55" t="s">
        <v>852</v>
      </c>
      <c r="C42" s="55"/>
      <c r="D42" s="55"/>
      <c r="E42" s="55"/>
      <c r="F42" s="55"/>
      <c r="G42" s="55"/>
      <c r="H42" s="55"/>
      <c r="I42" s="55"/>
      <c r="J42" s="55"/>
      <c r="K42" s="55"/>
      <c r="L42" s="55"/>
      <c r="M42" s="55"/>
      <c r="N42" s="55"/>
      <c r="O42" s="55"/>
      <c r="P42" s="43"/>
      <c r="Q42" s="43"/>
      <c r="R42" s="43"/>
      <c r="T42" s="41"/>
    </row>
    <row r="43" spans="1:20">
      <c r="A43" s="43" t="s">
        <v>2</v>
      </c>
      <c r="B43" s="55">
        <v>44528</v>
      </c>
      <c r="C43" s="55"/>
      <c r="D43" s="55"/>
      <c r="E43" s="55"/>
      <c r="F43" s="55"/>
      <c r="G43" s="55"/>
      <c r="H43" s="55"/>
      <c r="I43" s="55"/>
      <c r="J43" s="55"/>
      <c r="K43" s="55"/>
      <c r="L43" s="55"/>
      <c r="M43" s="55"/>
      <c r="N43" s="55"/>
      <c r="O43" s="55"/>
      <c r="P43" s="43"/>
      <c r="Q43" s="43"/>
      <c r="R43" s="43"/>
      <c r="T43" s="41"/>
    </row>
    <row r="44" spans="1:20">
      <c r="A44" s="40" t="s">
        <v>107</v>
      </c>
      <c r="B44" s="55" t="s">
        <v>856</v>
      </c>
      <c r="C44" s="55"/>
      <c r="D44" s="55"/>
      <c r="E44" s="55"/>
      <c r="F44" s="55"/>
      <c r="G44" s="55"/>
      <c r="H44" s="55"/>
      <c r="I44" s="55"/>
      <c r="J44" s="55"/>
      <c r="K44" s="55"/>
      <c r="L44" s="55"/>
      <c r="M44" s="55"/>
      <c r="N44" s="55"/>
      <c r="O44" s="55"/>
      <c r="P44" s="43"/>
      <c r="Q44" s="43"/>
      <c r="R44" s="43"/>
      <c r="T44" s="41"/>
    </row>
    <row r="45" spans="1:20">
      <c r="A45" s="43" t="s">
        <v>93</v>
      </c>
      <c r="B45" s="43" t="s">
        <v>860</v>
      </c>
      <c r="C45" s="43"/>
      <c r="D45" s="43"/>
      <c r="E45" s="43"/>
      <c r="F45" s="43"/>
      <c r="G45" s="43"/>
      <c r="H45" s="43"/>
      <c r="I45" s="43"/>
      <c r="J45" s="43"/>
      <c r="K45" s="43"/>
      <c r="L45" s="43"/>
      <c r="M45" s="43"/>
      <c r="N45" s="43"/>
      <c r="O45" s="43"/>
      <c r="P45" s="43"/>
      <c r="Q45" s="43"/>
      <c r="R45" s="43"/>
    </row>
    <row r="46" spans="1:20">
      <c r="A46" s="43"/>
      <c r="B46" s="43"/>
      <c r="C46" s="43"/>
      <c r="D46" s="43"/>
      <c r="E46" s="43"/>
      <c r="F46" s="43"/>
      <c r="G46" s="43"/>
      <c r="H46" s="43"/>
      <c r="I46" s="43"/>
      <c r="J46" s="43"/>
      <c r="K46" s="43"/>
      <c r="L46" s="43"/>
      <c r="M46" s="43"/>
      <c r="N46" s="43"/>
      <c r="O46" s="43"/>
      <c r="P46" s="43"/>
      <c r="Q46" s="43"/>
      <c r="R46" s="43"/>
      <c r="T46" s="41"/>
    </row>
    <row r="47" spans="1:20">
      <c r="A47" s="43"/>
      <c r="B47" s="43"/>
      <c r="C47" s="43"/>
      <c r="D47" s="43"/>
      <c r="E47" s="43"/>
      <c r="F47" s="43"/>
      <c r="G47" s="43"/>
      <c r="H47" s="43"/>
      <c r="I47" s="43"/>
      <c r="J47" s="43"/>
      <c r="K47" s="43"/>
      <c r="L47" s="43"/>
      <c r="M47" s="43"/>
      <c r="N47" s="43"/>
      <c r="O47" s="43"/>
      <c r="P47" s="43"/>
      <c r="Q47" s="43"/>
      <c r="R47" s="43"/>
      <c r="T47" s="41"/>
    </row>
    <row r="48" spans="1:20">
      <c r="A48" s="43"/>
      <c r="B48" s="43"/>
      <c r="C48" s="43"/>
      <c r="D48" s="43"/>
      <c r="E48" s="43"/>
      <c r="F48" s="43"/>
      <c r="G48" s="43"/>
      <c r="H48" s="43"/>
      <c r="I48" s="43"/>
      <c r="J48" s="43"/>
      <c r="K48" s="43"/>
      <c r="L48" s="43"/>
      <c r="M48" s="43"/>
      <c r="N48" s="43"/>
      <c r="O48" s="43"/>
      <c r="P48" s="43"/>
      <c r="Q48" s="43"/>
      <c r="R48" s="43"/>
      <c r="T48" s="41"/>
    </row>
    <row r="49" spans="1:18">
      <c r="A49" s="43"/>
      <c r="B49" s="43"/>
      <c r="C49" s="43"/>
      <c r="D49" s="43"/>
      <c r="E49" s="43"/>
      <c r="F49" s="43"/>
      <c r="G49" s="43"/>
      <c r="H49" s="43"/>
      <c r="I49" s="43"/>
      <c r="J49" s="43"/>
      <c r="K49" s="43"/>
      <c r="L49" s="43"/>
      <c r="M49" s="43"/>
      <c r="N49" s="43"/>
      <c r="O49" s="43"/>
      <c r="P49" s="43"/>
      <c r="Q49" s="43"/>
      <c r="R49" s="43"/>
    </row>
    <row r="50" spans="1:18">
      <c r="A50" s="43"/>
      <c r="B50" s="43"/>
      <c r="C50" s="43"/>
      <c r="D50" s="43"/>
      <c r="E50" s="43"/>
      <c r="F50" s="43"/>
      <c r="G50" s="43"/>
      <c r="H50" s="43"/>
      <c r="I50" s="43"/>
      <c r="J50" s="43"/>
      <c r="K50" s="43"/>
      <c r="L50" s="43"/>
      <c r="M50" s="43"/>
      <c r="N50" s="43"/>
      <c r="O50" s="43"/>
      <c r="P50" s="43"/>
      <c r="Q50" s="43"/>
      <c r="R50" s="43"/>
    </row>
    <row r="51" spans="1:18">
      <c r="A51" s="43"/>
      <c r="B51" s="43"/>
      <c r="C51" s="43"/>
      <c r="D51" s="43"/>
      <c r="E51" s="43"/>
      <c r="F51" s="43"/>
      <c r="G51" s="43"/>
      <c r="H51" s="43"/>
      <c r="I51" s="43"/>
      <c r="J51" s="43"/>
      <c r="K51" s="43"/>
      <c r="L51" s="43"/>
      <c r="M51" s="43"/>
      <c r="N51" s="43"/>
      <c r="O51" s="43"/>
      <c r="P51" s="43"/>
      <c r="Q51" s="43"/>
      <c r="R51" s="43"/>
    </row>
  </sheetData>
  <mergeCells count="2">
    <mergeCell ref="A1:R1"/>
    <mergeCell ref="Q35:R35"/>
  </mergeCells>
  <phoneticPr fontId="2"/>
  <pageMargins left="0.70866141732283472" right="0.70866141732283472" top="0" bottom="0" header="0.31496062992125984" footer="0.31496062992125984"/>
  <pageSetup paperSize="9" orientation="landscape" r:id="rId1"/>
  <drawing r:id="rId2"/>
  <legacyDrawing r:id="rId3"/>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56147-A495-4EEA-B2F1-94E78B39F787}">
  <dimension ref="A1:AC51"/>
  <sheetViews>
    <sheetView topLeftCell="A7" zoomScaleNormal="100" workbookViewId="0">
      <selection activeCell="D37" sqref="D37"/>
    </sheetView>
  </sheetViews>
  <sheetFormatPr defaultColWidth="9" defaultRowHeight="18.75"/>
  <cols>
    <col min="1" max="18" width="6.625" style="40" customWidth="1"/>
    <col min="19" max="19" width="3.625" style="40" customWidth="1"/>
    <col min="20" max="20" width="6.625" style="40" customWidth="1"/>
    <col min="21" max="21" width="3.625" style="40" customWidth="1"/>
    <col min="22" max="37" width="6.625" style="40" customWidth="1"/>
    <col min="38" max="38" width="3.625" style="40" customWidth="1"/>
    <col min="39" max="16384" width="9" style="40"/>
  </cols>
  <sheetData>
    <row r="1" spans="1:29">
      <c r="A1" s="147" t="s">
        <v>842</v>
      </c>
      <c r="B1" s="147"/>
      <c r="C1" s="147"/>
      <c r="D1" s="147"/>
      <c r="E1" s="147"/>
      <c r="F1" s="147"/>
      <c r="G1" s="147"/>
      <c r="H1" s="147"/>
      <c r="I1" s="147"/>
      <c r="J1" s="147"/>
      <c r="K1" s="147"/>
      <c r="L1" s="147"/>
      <c r="M1" s="147"/>
      <c r="N1" s="147"/>
      <c r="O1" s="147"/>
      <c r="P1" s="147"/>
      <c r="Q1" s="147"/>
      <c r="R1" s="147"/>
      <c r="X1" s="40" t="s">
        <v>167</v>
      </c>
    </row>
    <row r="2" spans="1:29" ht="16.5" customHeight="1">
      <c r="A2" s="26" t="s">
        <v>216</v>
      </c>
      <c r="B2" s="31">
        <v>44429</v>
      </c>
      <c r="C2" s="31">
        <v>44430</v>
      </c>
      <c r="D2" s="27">
        <v>44431</v>
      </c>
      <c r="E2" s="27">
        <v>44432</v>
      </c>
      <c r="F2" s="27">
        <v>44433</v>
      </c>
      <c r="G2" s="27">
        <v>44434</v>
      </c>
      <c r="H2" s="27">
        <v>44435</v>
      </c>
      <c r="I2" s="31">
        <v>44436</v>
      </c>
      <c r="J2" s="31">
        <v>44437</v>
      </c>
      <c r="K2" s="27">
        <v>44438</v>
      </c>
      <c r="L2" s="27">
        <v>44439</v>
      </c>
      <c r="M2" s="23" t="s">
        <v>217</v>
      </c>
      <c r="N2" s="25">
        <v>44440</v>
      </c>
      <c r="O2" s="25">
        <v>44441</v>
      </c>
      <c r="P2" s="25">
        <v>44442</v>
      </c>
      <c r="Q2" s="30">
        <v>44443</v>
      </c>
      <c r="R2" s="30">
        <v>44444</v>
      </c>
      <c r="V2" s="40" t="s">
        <v>63</v>
      </c>
      <c r="X2" s="40" t="s">
        <v>64</v>
      </c>
      <c r="Z2" s="40" t="s">
        <v>65</v>
      </c>
      <c r="AB2" s="40" t="s">
        <v>169</v>
      </c>
    </row>
    <row r="3" spans="1:29" ht="16.5" customHeight="1">
      <c r="A3" s="28">
        <v>1</v>
      </c>
      <c r="B3" s="19" t="s">
        <v>533</v>
      </c>
      <c r="C3" s="19" t="s">
        <v>315</v>
      </c>
      <c r="D3" s="19"/>
      <c r="E3" s="19"/>
      <c r="F3" s="19"/>
      <c r="G3" s="19"/>
      <c r="H3" s="19"/>
      <c r="I3" s="19" t="s">
        <v>107</v>
      </c>
      <c r="J3" s="19" t="s">
        <v>2</v>
      </c>
      <c r="K3" s="19"/>
      <c r="L3" s="19"/>
      <c r="M3" s="36">
        <v>1</v>
      </c>
      <c r="N3" s="19"/>
      <c r="O3" s="19"/>
      <c r="P3" s="19"/>
      <c r="Q3" s="19" t="s">
        <v>25</v>
      </c>
      <c r="R3" s="19" t="s">
        <v>7</v>
      </c>
      <c r="V3" s="40" t="s">
        <v>25</v>
      </c>
      <c r="W3" s="40">
        <v>2</v>
      </c>
      <c r="X3" s="40" t="s">
        <v>45</v>
      </c>
      <c r="Y3" s="40">
        <v>2</v>
      </c>
      <c r="Z3" s="40" t="s">
        <v>34</v>
      </c>
      <c r="AB3" s="40" t="s">
        <v>153</v>
      </c>
      <c r="AC3" s="40">
        <v>4</v>
      </c>
    </row>
    <row r="4" spans="1:29" ht="16.5" customHeight="1">
      <c r="A4" s="28">
        <v>2</v>
      </c>
      <c r="B4" s="19" t="s">
        <v>774</v>
      </c>
      <c r="C4" s="19" t="s">
        <v>314</v>
      </c>
      <c r="D4" s="19"/>
      <c r="E4" s="19"/>
      <c r="F4" s="19"/>
      <c r="G4" s="19"/>
      <c r="H4" s="19"/>
      <c r="I4" s="19" t="s">
        <v>6</v>
      </c>
      <c r="J4" s="19" t="s">
        <v>93</v>
      </c>
      <c r="K4" s="19"/>
      <c r="L4" s="19"/>
      <c r="M4" s="36">
        <v>2</v>
      </c>
      <c r="N4" s="19"/>
      <c r="O4" s="19"/>
      <c r="P4" s="19"/>
      <c r="Q4" s="19" t="s">
        <v>313</v>
      </c>
      <c r="R4" s="19" t="s">
        <v>769</v>
      </c>
      <c r="T4" s="41"/>
      <c r="U4" s="41"/>
      <c r="V4" s="40" t="s">
        <v>2</v>
      </c>
      <c r="W4" s="40">
        <v>2</v>
      </c>
      <c r="X4" s="40" t="s">
        <v>14</v>
      </c>
      <c r="Y4" s="40">
        <v>2</v>
      </c>
      <c r="Z4" s="40" t="s">
        <v>38</v>
      </c>
      <c r="AB4" s="40" t="s">
        <v>26</v>
      </c>
      <c r="AC4" s="40">
        <v>2</v>
      </c>
    </row>
    <row r="5" spans="1:29" ht="16.5" customHeight="1">
      <c r="A5" s="28">
        <v>3</v>
      </c>
      <c r="B5" s="19" t="s">
        <v>843</v>
      </c>
      <c r="C5" s="19" t="s">
        <v>13</v>
      </c>
      <c r="D5" s="19"/>
      <c r="E5" s="19"/>
      <c r="F5" s="19"/>
      <c r="G5" s="19"/>
      <c r="H5" s="19"/>
      <c r="I5" s="19" t="s">
        <v>843</v>
      </c>
      <c r="J5" s="19" t="s">
        <v>13</v>
      </c>
      <c r="K5" s="19"/>
      <c r="L5" s="19"/>
      <c r="M5" s="36">
        <v>3</v>
      </c>
      <c r="N5" s="19"/>
      <c r="O5" s="19"/>
      <c r="P5" s="19"/>
      <c r="Q5" s="19" t="s">
        <v>843</v>
      </c>
      <c r="R5" s="19" t="s">
        <v>13</v>
      </c>
      <c r="T5" s="41"/>
      <c r="U5" s="41"/>
      <c r="V5" s="40" t="s">
        <v>14</v>
      </c>
      <c r="W5" s="40">
        <v>0</v>
      </c>
      <c r="X5" s="40" t="s">
        <v>6</v>
      </c>
      <c r="Y5" s="40">
        <v>1</v>
      </c>
      <c r="Z5" s="40" t="s">
        <v>249</v>
      </c>
      <c r="AB5" s="40" t="s">
        <v>6</v>
      </c>
      <c r="AC5" s="40">
        <v>7</v>
      </c>
    </row>
    <row r="6" spans="1:29" ht="16.5" customHeight="1">
      <c r="A6" s="28" t="s">
        <v>20</v>
      </c>
      <c r="B6" s="19" t="s">
        <v>769</v>
      </c>
      <c r="C6" s="19" t="s">
        <v>13</v>
      </c>
      <c r="D6" s="19" t="s">
        <v>312</v>
      </c>
      <c r="E6" s="19" t="s">
        <v>13</v>
      </c>
      <c r="F6" s="19" t="s">
        <v>13</v>
      </c>
      <c r="G6" s="19" t="s">
        <v>13</v>
      </c>
      <c r="H6" s="19" t="s">
        <v>13</v>
      </c>
      <c r="I6" s="19" t="s">
        <v>13</v>
      </c>
      <c r="J6" s="19" t="s">
        <v>13</v>
      </c>
      <c r="K6" s="19" t="s">
        <v>774</v>
      </c>
      <c r="L6" s="19" t="s">
        <v>13</v>
      </c>
      <c r="M6" s="36" t="s">
        <v>20</v>
      </c>
      <c r="N6" s="19" t="s">
        <v>774</v>
      </c>
      <c r="O6" s="19" t="s">
        <v>13</v>
      </c>
      <c r="P6" s="19" t="s">
        <v>13</v>
      </c>
      <c r="Q6" s="19" t="s">
        <v>13</v>
      </c>
      <c r="R6" s="19" t="s">
        <v>13</v>
      </c>
      <c r="T6" s="41"/>
      <c r="U6" s="41"/>
      <c r="V6" s="40" t="s">
        <v>7</v>
      </c>
      <c r="W6" s="40">
        <v>2</v>
      </c>
      <c r="X6" s="40" t="s">
        <v>23</v>
      </c>
      <c r="Y6" s="40">
        <v>1</v>
      </c>
      <c r="Z6" s="40" t="s">
        <v>10</v>
      </c>
      <c r="AB6" s="40" t="s">
        <v>152</v>
      </c>
      <c r="AC6" s="40">
        <v>6</v>
      </c>
    </row>
    <row r="7" spans="1:29" ht="16.5" customHeight="1">
      <c r="A7" s="28" t="s">
        <v>0</v>
      </c>
      <c r="B7" s="19" t="s">
        <v>9</v>
      </c>
      <c r="C7" s="19" t="s">
        <v>839</v>
      </c>
      <c r="D7" s="19" t="s">
        <v>13</v>
      </c>
      <c r="E7" s="19" t="s">
        <v>13</v>
      </c>
      <c r="F7" s="19" t="s">
        <v>13</v>
      </c>
      <c r="G7" s="19" t="s">
        <v>13</v>
      </c>
      <c r="H7" s="19" t="s">
        <v>9</v>
      </c>
      <c r="I7" s="19" t="s">
        <v>13</v>
      </c>
      <c r="J7" s="19" t="s">
        <v>839</v>
      </c>
      <c r="K7" s="19" t="s">
        <v>13</v>
      </c>
      <c r="L7" s="19" t="s">
        <v>13</v>
      </c>
      <c r="M7" s="36" t="s">
        <v>0</v>
      </c>
      <c r="N7" s="19" t="s">
        <v>839</v>
      </c>
      <c r="O7" s="19" t="s">
        <v>13</v>
      </c>
      <c r="P7" s="19" t="s">
        <v>9</v>
      </c>
      <c r="Q7" s="19" t="s">
        <v>13</v>
      </c>
      <c r="R7" s="19" t="s">
        <v>839</v>
      </c>
      <c r="T7" s="41"/>
      <c r="U7" s="41"/>
      <c r="V7" s="40" t="s">
        <v>21</v>
      </c>
      <c r="W7" s="40">
        <v>1</v>
      </c>
      <c r="X7" s="40" t="s">
        <v>153</v>
      </c>
      <c r="Y7" s="40">
        <v>1</v>
      </c>
      <c r="Z7" s="40" t="s">
        <v>36</v>
      </c>
      <c r="AB7" s="40" t="s">
        <v>23</v>
      </c>
      <c r="AC7" s="40">
        <v>1.9</v>
      </c>
    </row>
    <row r="8" spans="1:29" ht="16.5" customHeight="1">
      <c r="A8" s="28" t="s">
        <v>1</v>
      </c>
      <c r="B8" s="19"/>
      <c r="C8" s="19"/>
      <c r="D8" s="19"/>
      <c r="E8" s="19"/>
      <c r="F8" s="19"/>
      <c r="G8" s="19"/>
      <c r="H8" s="19"/>
      <c r="I8" s="19"/>
      <c r="J8" s="19"/>
      <c r="K8" s="19"/>
      <c r="L8" s="19"/>
      <c r="M8" s="36" t="s">
        <v>1</v>
      </c>
      <c r="N8" s="19"/>
      <c r="O8" s="19"/>
      <c r="P8" s="19"/>
      <c r="Q8" s="19"/>
      <c r="R8" s="19"/>
      <c r="T8" s="41"/>
      <c r="V8" s="40" t="s">
        <v>26</v>
      </c>
      <c r="W8" s="40">
        <v>2</v>
      </c>
      <c r="X8" s="40" t="s">
        <v>327</v>
      </c>
      <c r="Y8" s="40">
        <v>2</v>
      </c>
      <c r="Z8" s="40" t="s">
        <v>37</v>
      </c>
      <c r="AB8" s="40" t="s">
        <v>25</v>
      </c>
      <c r="AC8" s="40">
        <v>8</v>
      </c>
    </row>
    <row r="9" spans="1:29" ht="16.5" customHeight="1">
      <c r="A9" s="28" t="s">
        <v>366</v>
      </c>
      <c r="B9" s="19"/>
      <c r="C9" s="19"/>
      <c r="D9" s="19"/>
      <c r="E9" s="19"/>
      <c r="F9" s="19"/>
      <c r="G9" s="19"/>
      <c r="H9" s="19"/>
      <c r="I9" s="19"/>
      <c r="J9" s="19"/>
      <c r="K9" s="19"/>
      <c r="L9" s="19"/>
      <c r="M9" s="36" t="s">
        <v>366</v>
      </c>
      <c r="N9" s="19"/>
      <c r="O9" s="19"/>
      <c r="P9" s="19"/>
      <c r="Q9" s="19"/>
      <c r="R9" s="19"/>
      <c r="T9" s="41"/>
      <c r="V9" s="40" t="s">
        <v>27</v>
      </c>
      <c r="W9" s="40">
        <v>2</v>
      </c>
      <c r="X9" s="40" t="s">
        <v>28</v>
      </c>
      <c r="Y9" s="40">
        <v>2</v>
      </c>
      <c r="AB9" s="40" t="s">
        <v>327</v>
      </c>
      <c r="AC9" s="40">
        <v>3</v>
      </c>
    </row>
    <row r="10" spans="1:29" ht="16.5" customHeight="1">
      <c r="A10" s="23" t="s">
        <v>217</v>
      </c>
      <c r="B10" s="25">
        <v>44445</v>
      </c>
      <c r="C10" s="25">
        <v>44446</v>
      </c>
      <c r="D10" s="25">
        <v>44447</v>
      </c>
      <c r="E10" s="25">
        <v>44448</v>
      </c>
      <c r="F10" s="25">
        <v>44449</v>
      </c>
      <c r="G10" s="30">
        <v>44450</v>
      </c>
      <c r="H10" s="30">
        <v>44451</v>
      </c>
      <c r="I10" s="25">
        <v>44452</v>
      </c>
      <c r="J10" s="25">
        <v>44453</v>
      </c>
      <c r="K10" s="25">
        <v>44454</v>
      </c>
      <c r="L10" s="25">
        <v>44455</v>
      </c>
      <c r="M10" s="25">
        <v>44456</v>
      </c>
      <c r="N10" s="30">
        <v>44457</v>
      </c>
      <c r="O10" s="30">
        <v>44458</v>
      </c>
      <c r="P10" s="25">
        <v>44459</v>
      </c>
      <c r="Q10" s="19"/>
      <c r="R10" s="19"/>
      <c r="T10" s="41"/>
      <c r="V10" s="40" t="s">
        <v>533</v>
      </c>
      <c r="W10" s="40">
        <v>1</v>
      </c>
      <c r="X10" s="40" t="s">
        <v>152</v>
      </c>
      <c r="Y10" s="40">
        <v>1</v>
      </c>
      <c r="AB10" s="40" t="s">
        <v>516</v>
      </c>
      <c r="AC10" s="40">
        <v>5</v>
      </c>
    </row>
    <row r="11" spans="1:29" ht="16.5" customHeight="1">
      <c r="A11" s="36">
        <v>1</v>
      </c>
      <c r="B11" s="19"/>
      <c r="C11" s="19"/>
      <c r="D11" s="19"/>
      <c r="E11" s="19"/>
      <c r="F11" s="19"/>
      <c r="G11" s="19" t="s">
        <v>312</v>
      </c>
      <c r="H11" s="19" t="s">
        <v>315</v>
      </c>
      <c r="I11" s="19"/>
      <c r="J11" s="19"/>
      <c r="K11" s="19"/>
      <c r="L11" s="19"/>
      <c r="M11" s="19"/>
      <c r="N11" s="19" t="s">
        <v>107</v>
      </c>
      <c r="O11" s="19" t="s">
        <v>533</v>
      </c>
      <c r="P11" s="19"/>
      <c r="Q11" s="19"/>
      <c r="R11" s="19"/>
      <c r="T11" s="41"/>
      <c r="V11" s="40" t="s">
        <v>516</v>
      </c>
      <c r="W11" s="40">
        <v>2</v>
      </c>
      <c r="X11" s="40" t="s">
        <v>796</v>
      </c>
      <c r="Y11" s="40">
        <v>2</v>
      </c>
    </row>
    <row r="12" spans="1:29" ht="16.5" customHeight="1">
      <c r="A12" s="36">
        <v>2</v>
      </c>
      <c r="B12" s="19"/>
      <c r="C12" s="19"/>
      <c r="D12" s="19"/>
      <c r="E12" s="19"/>
      <c r="F12" s="19"/>
      <c r="G12" s="19" t="s">
        <v>14</v>
      </c>
      <c r="H12" s="19" t="s">
        <v>314</v>
      </c>
      <c r="I12" s="19"/>
      <c r="J12" s="19"/>
      <c r="K12" s="19"/>
      <c r="L12" s="19"/>
      <c r="M12" s="19"/>
      <c r="N12" s="19" t="s">
        <v>93</v>
      </c>
      <c r="O12" s="19" t="s">
        <v>774</v>
      </c>
      <c r="P12" s="19"/>
      <c r="Q12" s="19"/>
      <c r="R12" s="19"/>
      <c r="T12" s="41"/>
    </row>
    <row r="13" spans="1:29" ht="16.5" customHeight="1">
      <c r="A13" s="36">
        <v>3</v>
      </c>
      <c r="B13" s="19"/>
      <c r="C13" s="19"/>
      <c r="D13" s="19"/>
      <c r="E13" s="19"/>
      <c r="F13" s="19"/>
      <c r="G13" s="19" t="s">
        <v>843</v>
      </c>
      <c r="H13" s="19" t="s">
        <v>13</v>
      </c>
      <c r="I13" s="19"/>
      <c r="J13" s="19"/>
      <c r="K13" s="19"/>
      <c r="L13" s="19"/>
      <c r="M13" s="19"/>
      <c r="N13" s="19" t="s">
        <v>843</v>
      </c>
      <c r="O13" s="19" t="s">
        <v>13</v>
      </c>
      <c r="P13" s="19"/>
      <c r="Q13" s="19"/>
      <c r="R13" s="19"/>
      <c r="T13" s="41"/>
    </row>
    <row r="14" spans="1:29" ht="16.5" customHeight="1">
      <c r="A14" s="36" t="s">
        <v>20</v>
      </c>
      <c r="B14" s="19" t="s">
        <v>516</v>
      </c>
      <c r="C14" s="19" t="s">
        <v>13</v>
      </c>
      <c r="D14" s="19" t="s">
        <v>13</v>
      </c>
      <c r="E14" s="19" t="s">
        <v>13</v>
      </c>
      <c r="F14" s="19" t="s">
        <v>13</v>
      </c>
      <c r="G14" s="19" t="s">
        <v>13</v>
      </c>
      <c r="H14" s="19" t="s">
        <v>13</v>
      </c>
      <c r="I14" s="19" t="s">
        <v>25</v>
      </c>
      <c r="J14" s="19" t="s">
        <v>13</v>
      </c>
      <c r="K14" s="19" t="s">
        <v>13</v>
      </c>
      <c r="L14" s="19" t="s">
        <v>13</v>
      </c>
      <c r="M14" s="19" t="s">
        <v>13</v>
      </c>
      <c r="N14" s="19" t="s">
        <v>13</v>
      </c>
      <c r="O14" s="19" t="s">
        <v>13</v>
      </c>
      <c r="P14" s="19" t="s">
        <v>6</v>
      </c>
      <c r="Q14" s="19"/>
      <c r="R14" s="19"/>
      <c r="T14" s="41"/>
    </row>
    <row r="15" spans="1:29" ht="16.5" customHeight="1">
      <c r="A15" s="36" t="s">
        <v>0</v>
      </c>
      <c r="B15" s="19" t="s">
        <v>839</v>
      </c>
      <c r="C15" s="19" t="s">
        <v>13</v>
      </c>
      <c r="D15" s="19" t="s">
        <v>13</v>
      </c>
      <c r="E15" s="19" t="s">
        <v>13</v>
      </c>
      <c r="F15" s="19" t="s">
        <v>9</v>
      </c>
      <c r="G15" s="19" t="s">
        <v>13</v>
      </c>
      <c r="H15" s="19" t="s">
        <v>839</v>
      </c>
      <c r="I15" s="19" t="s">
        <v>13</v>
      </c>
      <c r="J15" s="19" t="s">
        <v>13</v>
      </c>
      <c r="K15" s="19" t="s">
        <v>13</v>
      </c>
      <c r="L15" s="19" t="s">
        <v>13</v>
      </c>
      <c r="M15" s="19" t="s">
        <v>9</v>
      </c>
      <c r="N15" s="19" t="s">
        <v>13</v>
      </c>
      <c r="O15" s="19" t="s">
        <v>839</v>
      </c>
      <c r="P15" s="19" t="s">
        <v>13</v>
      </c>
      <c r="Q15" s="19"/>
      <c r="R15" s="19"/>
      <c r="T15" s="41"/>
      <c r="V15" s="40" t="s">
        <v>841</v>
      </c>
      <c r="W15" s="40">
        <f>SUM(W2:W14)</f>
        <v>14</v>
      </c>
      <c r="Y15" s="40">
        <f>SUM(Y2:Y14)</f>
        <v>14</v>
      </c>
      <c r="AA15" s="40">
        <f>SUM(AA2:AA14)</f>
        <v>0</v>
      </c>
    </row>
    <row r="16" spans="1:29" ht="16.5" customHeight="1">
      <c r="A16" s="36" t="s">
        <v>1</v>
      </c>
      <c r="B16" s="19"/>
      <c r="C16" s="19"/>
      <c r="D16" s="19"/>
      <c r="E16" s="19"/>
      <c r="F16" s="19"/>
      <c r="G16" s="19"/>
      <c r="H16" s="19"/>
      <c r="I16" s="19"/>
      <c r="J16" s="19"/>
      <c r="K16" s="19"/>
      <c r="L16" s="19"/>
      <c r="M16" s="19"/>
      <c r="N16" s="19"/>
      <c r="O16" s="19"/>
      <c r="P16" s="19"/>
      <c r="Q16" s="19"/>
      <c r="R16" s="19"/>
      <c r="T16" s="41"/>
    </row>
    <row r="17" spans="1:29" ht="16.5" customHeight="1">
      <c r="A17" s="36" t="s">
        <v>366</v>
      </c>
      <c r="B17" s="19"/>
      <c r="C17" s="19"/>
      <c r="D17" s="19"/>
      <c r="E17" s="19"/>
      <c r="F17" s="19"/>
      <c r="G17" s="19"/>
      <c r="H17" s="19"/>
      <c r="I17" s="19"/>
      <c r="J17" s="19"/>
      <c r="K17" s="19"/>
      <c r="L17" s="19"/>
      <c r="M17" s="19"/>
      <c r="N17" s="19"/>
      <c r="O17" s="19"/>
      <c r="P17" s="19"/>
      <c r="Q17" s="19"/>
      <c r="R17" s="19"/>
      <c r="T17" s="41"/>
    </row>
    <row r="18" spans="1:29" ht="11.25" customHeight="1">
      <c r="A18" s="42"/>
      <c r="B18" s="37"/>
      <c r="C18" s="37"/>
      <c r="D18" s="37"/>
      <c r="E18" s="37"/>
      <c r="F18" s="37"/>
      <c r="G18" s="37"/>
      <c r="H18" s="38"/>
      <c r="I18" s="38"/>
      <c r="J18" s="38"/>
      <c r="K18" s="38"/>
      <c r="L18" s="38"/>
      <c r="M18" s="38"/>
      <c r="N18" s="38"/>
      <c r="O18" s="38"/>
      <c r="P18" s="37"/>
      <c r="Q18" s="37"/>
      <c r="R18" s="39"/>
      <c r="T18" s="41"/>
      <c r="X18" s="40" t="s">
        <v>80</v>
      </c>
    </row>
    <row r="19" spans="1:29" ht="16.5" customHeight="1">
      <c r="A19" s="23" t="s">
        <v>217</v>
      </c>
      <c r="B19" s="25">
        <v>44460</v>
      </c>
      <c r="C19" s="25">
        <v>44461</v>
      </c>
      <c r="D19" s="25">
        <v>44462</v>
      </c>
      <c r="E19" s="25">
        <v>44463</v>
      </c>
      <c r="F19" s="30">
        <v>44464</v>
      </c>
      <c r="G19" s="30">
        <v>44465</v>
      </c>
      <c r="H19" s="25">
        <v>44466</v>
      </c>
      <c r="I19" s="25">
        <v>44467</v>
      </c>
      <c r="J19" s="25">
        <v>44468</v>
      </c>
      <c r="K19" s="25">
        <v>44469</v>
      </c>
      <c r="L19" s="25"/>
      <c r="M19" s="26" t="s">
        <v>218</v>
      </c>
      <c r="N19" s="27">
        <v>44470</v>
      </c>
      <c r="O19" s="31">
        <v>44471</v>
      </c>
      <c r="P19" s="31">
        <v>44472</v>
      </c>
      <c r="Q19" s="27">
        <v>44473</v>
      </c>
      <c r="R19" s="27">
        <v>44474</v>
      </c>
      <c r="T19" s="41"/>
      <c r="V19" s="40" t="s">
        <v>63</v>
      </c>
      <c r="X19" s="40" t="s">
        <v>64</v>
      </c>
      <c r="Z19" s="40" t="s">
        <v>65</v>
      </c>
      <c r="AB19" s="40" t="s">
        <v>169</v>
      </c>
    </row>
    <row r="20" spans="1:29" ht="16.5" customHeight="1">
      <c r="A20" s="36">
        <v>1</v>
      </c>
      <c r="B20" s="19"/>
      <c r="C20" s="19"/>
      <c r="D20" s="19"/>
      <c r="E20" s="19"/>
      <c r="F20" s="19" t="s">
        <v>2</v>
      </c>
      <c r="G20" s="19" t="s">
        <v>315</v>
      </c>
      <c r="H20" s="19"/>
      <c r="I20" s="19"/>
      <c r="J20" s="19"/>
      <c r="K20" s="19"/>
      <c r="L20" s="19"/>
      <c r="M20" s="28">
        <v>1</v>
      </c>
      <c r="N20" s="19"/>
      <c r="O20" s="19" t="s">
        <v>7</v>
      </c>
      <c r="P20" s="19" t="s">
        <v>516</v>
      </c>
      <c r="Q20" s="19"/>
      <c r="R20" s="19"/>
      <c r="T20" s="41"/>
      <c r="V20" s="40" t="s">
        <v>25</v>
      </c>
      <c r="W20" s="40">
        <v>2</v>
      </c>
      <c r="X20" s="40" t="s">
        <v>45</v>
      </c>
      <c r="Y20" s="40">
        <v>3</v>
      </c>
      <c r="Z20" s="40" t="s">
        <v>34</v>
      </c>
      <c r="AB20" s="40" t="s">
        <v>153</v>
      </c>
      <c r="AC20" s="40">
        <v>0</v>
      </c>
    </row>
    <row r="21" spans="1:29" ht="16.5" customHeight="1">
      <c r="A21" s="36">
        <v>2</v>
      </c>
      <c r="B21" s="19"/>
      <c r="C21" s="19"/>
      <c r="D21" s="19"/>
      <c r="E21" s="19"/>
      <c r="F21" s="19" t="s">
        <v>769</v>
      </c>
      <c r="G21" s="19" t="s">
        <v>14</v>
      </c>
      <c r="H21" s="19"/>
      <c r="I21" s="19"/>
      <c r="J21" s="19"/>
      <c r="K21" s="19"/>
      <c r="L21" s="19"/>
      <c r="M21" s="28">
        <v>2</v>
      </c>
      <c r="N21" s="19"/>
      <c r="O21" s="19" t="s">
        <v>313</v>
      </c>
      <c r="P21" s="19" t="s">
        <v>314</v>
      </c>
      <c r="Q21" s="19"/>
      <c r="R21" s="19"/>
      <c r="T21" s="41"/>
      <c r="V21" s="40" t="s">
        <v>2</v>
      </c>
      <c r="W21" s="40">
        <v>3</v>
      </c>
      <c r="X21" s="40" t="s">
        <v>14</v>
      </c>
      <c r="Y21" s="40">
        <v>3</v>
      </c>
      <c r="Z21" s="40" t="s">
        <v>38</v>
      </c>
      <c r="AB21" s="40" t="s">
        <v>26</v>
      </c>
      <c r="AC21" s="40" t="s">
        <v>844</v>
      </c>
    </row>
    <row r="22" spans="1:29" ht="16.5" customHeight="1">
      <c r="A22" s="36">
        <v>3</v>
      </c>
      <c r="B22" s="19"/>
      <c r="C22" s="19"/>
      <c r="D22" s="19"/>
      <c r="E22" s="19"/>
      <c r="F22" s="19" t="s">
        <v>843</v>
      </c>
      <c r="G22" s="19" t="s">
        <v>13</v>
      </c>
      <c r="H22" s="19"/>
      <c r="I22" s="19"/>
      <c r="J22" s="19"/>
      <c r="K22" s="19"/>
      <c r="L22" s="19"/>
      <c r="M22" s="28">
        <v>3</v>
      </c>
      <c r="N22" s="19"/>
      <c r="O22" s="19" t="s">
        <v>843</v>
      </c>
      <c r="P22" s="19" t="s">
        <v>13</v>
      </c>
      <c r="Q22" s="19"/>
      <c r="R22" s="19"/>
      <c r="T22" s="41"/>
      <c r="X22" s="40" t="s">
        <v>6</v>
      </c>
      <c r="Y22" s="40">
        <v>2</v>
      </c>
      <c r="Z22" s="40" t="s">
        <v>249</v>
      </c>
      <c r="AB22" s="40" t="s">
        <v>6</v>
      </c>
      <c r="AC22" s="40">
        <v>5</v>
      </c>
    </row>
    <row r="23" spans="1:29" ht="16.5" customHeight="1">
      <c r="A23" s="36" t="s">
        <v>20</v>
      </c>
      <c r="B23" s="19" t="s">
        <v>6</v>
      </c>
      <c r="C23" s="19" t="s">
        <v>13</v>
      </c>
      <c r="D23" s="19" t="s">
        <v>13</v>
      </c>
      <c r="E23" s="19" t="s">
        <v>13</v>
      </c>
      <c r="F23" s="19" t="s">
        <v>13</v>
      </c>
      <c r="G23" s="19" t="s">
        <v>13</v>
      </c>
      <c r="H23" s="19" t="s">
        <v>312</v>
      </c>
      <c r="I23" s="19" t="s">
        <v>13</v>
      </c>
      <c r="J23" s="19" t="s">
        <v>13</v>
      </c>
      <c r="K23" s="19" t="s">
        <v>13</v>
      </c>
      <c r="L23" s="19"/>
      <c r="M23" s="28" t="s">
        <v>20</v>
      </c>
      <c r="N23" s="19" t="s">
        <v>312</v>
      </c>
      <c r="O23" s="19" t="s">
        <v>13</v>
      </c>
      <c r="P23" s="19" t="s">
        <v>13</v>
      </c>
      <c r="Q23" s="19" t="s">
        <v>769</v>
      </c>
      <c r="R23" s="19" t="s">
        <v>13</v>
      </c>
      <c r="T23" s="41"/>
      <c r="V23" s="40" t="s">
        <v>7</v>
      </c>
      <c r="W23" s="40">
        <v>2</v>
      </c>
      <c r="X23" s="40" t="s">
        <v>23</v>
      </c>
      <c r="Y23" s="40">
        <v>2</v>
      </c>
      <c r="Z23" s="40" t="s">
        <v>10</v>
      </c>
      <c r="AB23" s="40" t="s">
        <v>152</v>
      </c>
      <c r="AC23" s="40">
        <v>0</v>
      </c>
    </row>
    <row r="24" spans="1:29" ht="16.5" customHeight="1">
      <c r="A24" s="36" t="s">
        <v>0</v>
      </c>
      <c r="B24" s="19" t="s">
        <v>839</v>
      </c>
      <c r="C24" s="19" t="s">
        <v>13</v>
      </c>
      <c r="D24" s="19" t="s">
        <v>13</v>
      </c>
      <c r="E24" s="19" t="s">
        <v>9</v>
      </c>
      <c r="F24" s="19" t="s">
        <v>13</v>
      </c>
      <c r="G24" s="19" t="s">
        <v>839</v>
      </c>
      <c r="H24" s="19" t="s">
        <v>13</v>
      </c>
      <c r="I24" s="19" t="s">
        <v>13</v>
      </c>
      <c r="J24" s="19" t="s">
        <v>13</v>
      </c>
      <c r="K24" s="19" t="s">
        <v>13</v>
      </c>
      <c r="L24" s="19"/>
      <c r="M24" s="28" t="s">
        <v>0</v>
      </c>
      <c r="N24" s="19" t="s">
        <v>9</v>
      </c>
      <c r="O24" s="19" t="s">
        <v>13</v>
      </c>
      <c r="P24" s="19" t="s">
        <v>839</v>
      </c>
      <c r="Q24" s="19" t="s">
        <v>13</v>
      </c>
      <c r="R24" s="19" t="s">
        <v>13</v>
      </c>
      <c r="T24" s="41"/>
      <c r="V24" s="40" t="s">
        <v>21</v>
      </c>
      <c r="W24" s="40">
        <v>3</v>
      </c>
      <c r="X24" s="40" t="s">
        <v>153</v>
      </c>
      <c r="Y24" s="40">
        <v>0</v>
      </c>
      <c r="Z24" s="40" t="s">
        <v>36</v>
      </c>
      <c r="AB24" s="40" t="s">
        <v>23</v>
      </c>
      <c r="AC24" s="40">
        <v>6</v>
      </c>
    </row>
    <row r="25" spans="1:29" ht="16.5" customHeight="1">
      <c r="A25" s="36" t="s">
        <v>1</v>
      </c>
      <c r="B25" s="19"/>
      <c r="C25" s="19"/>
      <c r="D25" s="19"/>
      <c r="E25" s="19"/>
      <c r="F25" s="19"/>
      <c r="G25" s="19"/>
      <c r="H25" s="19"/>
      <c r="I25" s="19"/>
      <c r="J25" s="19"/>
      <c r="K25" s="19"/>
      <c r="L25" s="19"/>
      <c r="M25" s="28" t="s">
        <v>1</v>
      </c>
      <c r="N25" s="19"/>
      <c r="O25" s="19"/>
      <c r="P25" s="19"/>
      <c r="Q25" s="19"/>
      <c r="R25" s="19"/>
      <c r="T25" s="41"/>
      <c r="V25" s="40" t="s">
        <v>26</v>
      </c>
      <c r="W25" s="40">
        <v>1</v>
      </c>
      <c r="X25" s="40" t="s">
        <v>327</v>
      </c>
      <c r="Y25" s="40">
        <v>3</v>
      </c>
      <c r="Z25" s="40" t="s">
        <v>37</v>
      </c>
      <c r="AB25" s="40" t="s">
        <v>25</v>
      </c>
      <c r="AC25" s="40">
        <v>4</v>
      </c>
    </row>
    <row r="26" spans="1:29" ht="16.5" customHeight="1">
      <c r="A26" s="36" t="s">
        <v>366</v>
      </c>
      <c r="B26" s="19"/>
      <c r="C26" s="19"/>
      <c r="D26" s="19"/>
      <c r="E26" s="19"/>
      <c r="F26" s="19"/>
      <c r="G26" s="19"/>
      <c r="H26" s="19"/>
      <c r="I26" s="19"/>
      <c r="J26" s="19"/>
      <c r="K26" s="19"/>
      <c r="L26" s="19"/>
      <c r="M26" s="28" t="s">
        <v>366</v>
      </c>
      <c r="N26" s="19"/>
      <c r="O26" s="19"/>
      <c r="P26" s="19"/>
      <c r="Q26" s="19"/>
      <c r="R26" s="19"/>
      <c r="T26" s="41"/>
      <c r="V26" s="40" t="s">
        <v>27</v>
      </c>
      <c r="W26" s="40">
        <v>3</v>
      </c>
      <c r="X26" s="40" t="s">
        <v>28</v>
      </c>
      <c r="Y26" s="40">
        <v>2</v>
      </c>
      <c r="AB26" s="40" t="s">
        <v>327</v>
      </c>
      <c r="AC26" s="40" t="s">
        <v>846</v>
      </c>
    </row>
    <row r="27" spans="1:29" ht="16.5" customHeight="1">
      <c r="A27" s="26" t="s">
        <v>218</v>
      </c>
      <c r="B27" s="27">
        <v>44475</v>
      </c>
      <c r="C27" s="27">
        <v>44476</v>
      </c>
      <c r="D27" s="27">
        <v>44477</v>
      </c>
      <c r="E27" s="31">
        <v>44478</v>
      </c>
      <c r="F27" s="31">
        <v>44479</v>
      </c>
      <c r="G27" s="27">
        <v>44480</v>
      </c>
      <c r="H27" s="27">
        <v>44481</v>
      </c>
      <c r="I27" s="27">
        <v>44482</v>
      </c>
      <c r="J27" s="27">
        <v>44483</v>
      </c>
      <c r="K27" s="27">
        <v>44484</v>
      </c>
      <c r="L27" s="31">
        <v>44485</v>
      </c>
      <c r="M27" s="31">
        <v>44486</v>
      </c>
      <c r="N27" s="27">
        <v>44487</v>
      </c>
      <c r="O27" s="27">
        <v>44488</v>
      </c>
      <c r="P27" s="27">
        <v>44489</v>
      </c>
      <c r="Q27" s="19"/>
      <c r="R27" s="19"/>
      <c r="T27" s="41"/>
      <c r="V27" s="40" t="s">
        <v>533</v>
      </c>
      <c r="W27" s="40">
        <v>3</v>
      </c>
      <c r="X27" s="40" t="s">
        <v>152</v>
      </c>
      <c r="Y27" s="40">
        <v>3</v>
      </c>
      <c r="AB27" s="40" t="s">
        <v>516</v>
      </c>
      <c r="AC27" s="40" t="s">
        <v>845</v>
      </c>
    </row>
    <row r="28" spans="1:29" ht="16.5" customHeight="1">
      <c r="A28" s="28">
        <v>1</v>
      </c>
      <c r="B28" s="19"/>
      <c r="C28" s="19"/>
      <c r="D28" s="19"/>
      <c r="E28" s="19" t="s">
        <v>25</v>
      </c>
      <c r="F28" s="19" t="s">
        <v>107</v>
      </c>
      <c r="G28" s="19"/>
      <c r="H28" s="19"/>
      <c r="I28" s="19"/>
      <c r="J28" s="19"/>
      <c r="K28" s="19"/>
      <c r="L28" s="19" t="s">
        <v>533</v>
      </c>
      <c r="M28" s="19" t="s">
        <v>2</v>
      </c>
      <c r="N28" s="19"/>
      <c r="O28" s="19"/>
      <c r="P28" s="19"/>
      <c r="Q28" s="19"/>
      <c r="R28" s="19"/>
      <c r="T28" s="41"/>
      <c r="V28" s="40" t="s">
        <v>516</v>
      </c>
      <c r="W28" s="40">
        <v>1</v>
      </c>
    </row>
    <row r="29" spans="1:29" ht="16.5" customHeight="1">
      <c r="A29" s="28">
        <v>2</v>
      </c>
      <c r="B29" s="19"/>
      <c r="C29" s="19"/>
      <c r="D29" s="19"/>
      <c r="E29" s="19" t="s">
        <v>6</v>
      </c>
      <c r="F29" s="19" t="s">
        <v>774</v>
      </c>
      <c r="G29" s="19"/>
      <c r="H29" s="19"/>
      <c r="I29" s="19"/>
      <c r="J29" s="19"/>
      <c r="K29" s="19"/>
      <c r="L29" s="19" t="s">
        <v>93</v>
      </c>
      <c r="M29" s="19" t="s">
        <v>14</v>
      </c>
      <c r="N29" s="19"/>
      <c r="O29" s="19"/>
      <c r="P29" s="19"/>
      <c r="Q29" s="19"/>
      <c r="R29" s="19"/>
      <c r="T29" s="41"/>
    </row>
    <row r="30" spans="1:29" ht="16.5" customHeight="1">
      <c r="A30" s="28">
        <v>3</v>
      </c>
      <c r="B30" s="19"/>
      <c r="C30" s="19"/>
      <c r="D30" s="19"/>
      <c r="E30" s="19" t="s">
        <v>843</v>
      </c>
      <c r="F30" s="19" t="s">
        <v>13</v>
      </c>
      <c r="G30" s="19"/>
      <c r="H30" s="19"/>
      <c r="I30" s="19"/>
      <c r="J30" s="19"/>
      <c r="K30" s="19"/>
      <c r="L30" s="19" t="s">
        <v>843</v>
      </c>
      <c r="M30" s="19" t="s">
        <v>13</v>
      </c>
      <c r="N30" s="19"/>
      <c r="O30" s="19"/>
      <c r="P30" s="19"/>
      <c r="Q30" s="19"/>
      <c r="R30" s="19"/>
      <c r="T30" s="41"/>
    </row>
    <row r="31" spans="1:29" ht="16.5" customHeight="1">
      <c r="A31" s="28" t="s">
        <v>20</v>
      </c>
      <c r="B31" s="19" t="s">
        <v>769</v>
      </c>
      <c r="C31" s="19" t="s">
        <v>13</v>
      </c>
      <c r="D31" s="19" t="s">
        <v>13</v>
      </c>
      <c r="E31" s="19" t="s">
        <v>13</v>
      </c>
      <c r="F31" s="19" t="s">
        <v>13</v>
      </c>
      <c r="G31" s="19" t="s">
        <v>516</v>
      </c>
      <c r="H31" s="19" t="s">
        <v>13</v>
      </c>
      <c r="I31" s="19" t="s">
        <v>13</v>
      </c>
      <c r="J31" s="19" t="s">
        <v>13</v>
      </c>
      <c r="K31" s="19" t="s">
        <v>13</v>
      </c>
      <c r="L31" s="19" t="s">
        <v>13</v>
      </c>
      <c r="M31" s="19" t="s">
        <v>13</v>
      </c>
      <c r="N31" s="19" t="s">
        <v>774</v>
      </c>
      <c r="O31" s="19" t="s">
        <v>13</v>
      </c>
      <c r="P31" s="19" t="s">
        <v>13</v>
      </c>
      <c r="Q31" s="19"/>
      <c r="R31" s="19"/>
      <c r="T31" s="41"/>
    </row>
    <row r="32" spans="1:29" ht="16.5" customHeight="1">
      <c r="A32" s="28" t="s">
        <v>0</v>
      </c>
      <c r="B32" s="19" t="s">
        <v>839</v>
      </c>
      <c r="C32" s="19" t="s">
        <v>13</v>
      </c>
      <c r="D32" s="19" t="s">
        <v>9</v>
      </c>
      <c r="E32" s="19" t="s">
        <v>13</v>
      </c>
      <c r="F32" s="19" t="s">
        <v>839</v>
      </c>
      <c r="G32" s="19" t="s">
        <v>13</v>
      </c>
      <c r="H32" s="19" t="s">
        <v>13</v>
      </c>
      <c r="I32" s="19" t="s">
        <v>13</v>
      </c>
      <c r="J32" s="19" t="s">
        <v>13</v>
      </c>
      <c r="K32" s="19" t="s">
        <v>9</v>
      </c>
      <c r="L32" s="19" t="s">
        <v>13</v>
      </c>
      <c r="M32" s="19" t="s">
        <v>839</v>
      </c>
      <c r="N32" s="19" t="s">
        <v>13</v>
      </c>
      <c r="O32" s="19" t="s">
        <v>13</v>
      </c>
      <c r="P32" s="19" t="s">
        <v>13</v>
      </c>
      <c r="Q32" s="19"/>
      <c r="R32" s="19"/>
      <c r="T32" s="41"/>
      <c r="V32" s="40" t="s">
        <v>567</v>
      </c>
      <c r="W32" s="40">
        <f>SUM(W19:W31)</f>
        <v>18</v>
      </c>
      <c r="Y32" s="40">
        <f>SUM(Y19:Y31)</f>
        <v>18</v>
      </c>
      <c r="AA32" s="40">
        <f>SUM(AA19:AA31)</f>
        <v>0</v>
      </c>
    </row>
    <row r="33" spans="1:20" ht="16.5" customHeight="1">
      <c r="A33" s="28" t="s">
        <v>1</v>
      </c>
      <c r="B33" s="19"/>
      <c r="C33" s="19"/>
      <c r="D33" s="19"/>
      <c r="E33" s="19"/>
      <c r="F33" s="19"/>
      <c r="G33" s="19"/>
      <c r="H33" s="19"/>
      <c r="I33" s="19"/>
      <c r="J33" s="19"/>
      <c r="K33" s="19"/>
      <c r="L33" s="19"/>
      <c r="M33" s="19"/>
      <c r="N33" s="19"/>
      <c r="O33" s="19"/>
      <c r="P33" s="19"/>
      <c r="Q33" s="19"/>
      <c r="R33" s="19"/>
    </row>
    <row r="34" spans="1:20" ht="16.5" customHeight="1">
      <c r="A34" s="28" t="s">
        <v>366</v>
      </c>
      <c r="B34" s="19"/>
      <c r="C34" s="19"/>
      <c r="D34" s="19"/>
      <c r="E34" s="19"/>
      <c r="F34" s="19"/>
      <c r="G34" s="19"/>
      <c r="H34" s="19"/>
      <c r="I34" s="19"/>
      <c r="J34" s="19"/>
      <c r="K34" s="19"/>
      <c r="L34" s="19"/>
      <c r="M34" s="19"/>
      <c r="N34" s="19"/>
      <c r="O34" s="19"/>
      <c r="P34" s="19"/>
      <c r="Q34" s="19"/>
      <c r="R34" s="19"/>
    </row>
    <row r="35" spans="1:20" ht="12.75" customHeight="1">
      <c r="Q35" s="145" t="s">
        <v>82</v>
      </c>
      <c r="R35" s="145"/>
      <c r="T35" s="41"/>
    </row>
    <row r="36" spans="1:20">
      <c r="A36" s="40" t="s">
        <v>322</v>
      </c>
      <c r="H36" s="43"/>
      <c r="T36" s="41"/>
    </row>
    <row r="37" spans="1:20">
      <c r="A37" s="43" t="s">
        <v>312</v>
      </c>
      <c r="B37" s="43">
        <v>44429</v>
      </c>
      <c r="C37" s="43">
        <v>44430</v>
      </c>
      <c r="D37" s="43">
        <v>44437</v>
      </c>
      <c r="E37" s="43">
        <v>44444</v>
      </c>
      <c r="F37" s="43">
        <v>44451</v>
      </c>
      <c r="G37" s="43">
        <v>44458</v>
      </c>
      <c r="H37" s="43">
        <v>44465</v>
      </c>
      <c r="I37" s="43">
        <v>44472</v>
      </c>
      <c r="J37" s="43">
        <v>44479</v>
      </c>
      <c r="K37" s="43">
        <v>44486</v>
      </c>
      <c r="L37" s="43"/>
      <c r="M37" s="43"/>
      <c r="N37" s="43"/>
      <c r="O37" s="43"/>
      <c r="P37" s="43"/>
      <c r="Q37" s="43"/>
      <c r="R37" s="43"/>
      <c r="T37" s="41"/>
    </row>
    <row r="38" spans="1:20">
      <c r="A38" s="43" t="s">
        <v>314</v>
      </c>
      <c r="B38" s="43">
        <v>44429</v>
      </c>
      <c r="C38" s="43">
        <v>44436</v>
      </c>
      <c r="D38" s="43">
        <v>44437</v>
      </c>
      <c r="E38" s="43">
        <v>44443</v>
      </c>
      <c r="F38" s="43">
        <v>44444</v>
      </c>
      <c r="G38" s="43">
        <v>44450</v>
      </c>
      <c r="H38" s="43">
        <v>44457</v>
      </c>
      <c r="I38" s="43" t="s">
        <v>371</v>
      </c>
      <c r="J38" s="43"/>
      <c r="K38" s="43"/>
      <c r="L38" s="43"/>
      <c r="M38" s="43"/>
      <c r="N38" s="43"/>
      <c r="O38" s="43"/>
      <c r="P38" s="43"/>
      <c r="Q38" s="43"/>
      <c r="R38" s="43"/>
      <c r="T38" s="41"/>
    </row>
    <row r="39" spans="1:20">
      <c r="A39" s="43" t="s">
        <v>7</v>
      </c>
      <c r="B39" s="43">
        <v>44429</v>
      </c>
      <c r="C39" s="43">
        <v>44430</v>
      </c>
      <c r="D39" s="43">
        <v>44457</v>
      </c>
      <c r="E39" s="43">
        <v>44458</v>
      </c>
      <c r="F39" s="43">
        <v>44464</v>
      </c>
      <c r="G39" s="43">
        <v>44465</v>
      </c>
      <c r="H39" s="43"/>
      <c r="I39" s="43"/>
      <c r="J39" s="43"/>
      <c r="K39" s="43"/>
      <c r="L39" s="43"/>
      <c r="M39" s="43"/>
      <c r="N39" s="43"/>
      <c r="O39" s="43"/>
      <c r="P39" s="43"/>
      <c r="Q39" s="43"/>
      <c r="R39" s="43"/>
      <c r="T39" s="41"/>
    </row>
    <row r="40" spans="1:20">
      <c r="A40" s="43" t="s">
        <v>516</v>
      </c>
      <c r="B40" s="43">
        <v>44436</v>
      </c>
      <c r="C40" s="43">
        <v>44437</v>
      </c>
      <c r="D40" s="43">
        <v>44464</v>
      </c>
      <c r="E40" s="43">
        <v>44465</v>
      </c>
      <c r="F40" s="43"/>
      <c r="G40" s="43"/>
      <c r="H40" s="43"/>
      <c r="I40" s="43"/>
      <c r="J40" s="43"/>
      <c r="K40" s="43"/>
      <c r="L40" s="43"/>
      <c r="M40" s="43"/>
      <c r="N40" s="43"/>
      <c r="O40" s="43"/>
      <c r="P40" s="43"/>
      <c r="Q40" s="43"/>
      <c r="R40" s="43"/>
    </row>
    <row r="41" spans="1:20">
      <c r="A41" s="43" t="s">
        <v>28</v>
      </c>
      <c r="B41" s="43">
        <v>44478</v>
      </c>
      <c r="C41" s="43">
        <v>44479</v>
      </c>
      <c r="D41" s="43">
        <v>44485</v>
      </c>
      <c r="E41" s="43">
        <v>44486</v>
      </c>
      <c r="F41" s="43"/>
      <c r="G41" s="43"/>
      <c r="H41" s="43"/>
      <c r="I41" s="43"/>
      <c r="J41" s="43"/>
      <c r="K41" s="43"/>
      <c r="L41" s="43"/>
      <c r="M41" s="43"/>
      <c r="N41" s="43"/>
      <c r="O41" s="43"/>
      <c r="P41" s="43"/>
      <c r="Q41" s="43"/>
      <c r="R41" s="43"/>
    </row>
    <row r="42" spans="1:20">
      <c r="A42" s="43" t="s">
        <v>153</v>
      </c>
      <c r="B42" s="43" t="s">
        <v>847</v>
      </c>
      <c r="C42" s="43" t="s">
        <v>848</v>
      </c>
      <c r="D42" s="43"/>
      <c r="E42" s="43"/>
      <c r="F42" s="43"/>
      <c r="G42" s="43"/>
      <c r="H42" s="43"/>
      <c r="I42" s="43"/>
      <c r="J42" s="43"/>
      <c r="K42" s="43"/>
      <c r="L42" s="43"/>
      <c r="M42" s="43"/>
      <c r="N42" s="43"/>
      <c r="O42" s="43"/>
      <c r="P42" s="43"/>
      <c r="Q42" s="43"/>
      <c r="R42" s="43"/>
      <c r="T42" s="41"/>
    </row>
    <row r="43" spans="1:20">
      <c r="A43" s="43" t="s">
        <v>2</v>
      </c>
      <c r="B43" s="43">
        <v>44429</v>
      </c>
      <c r="C43" s="43">
        <v>44430</v>
      </c>
      <c r="D43" s="43">
        <v>44450</v>
      </c>
      <c r="E43" s="43">
        <v>44451</v>
      </c>
      <c r="F43" s="43">
        <v>44457</v>
      </c>
      <c r="G43" s="43">
        <v>44458</v>
      </c>
      <c r="H43" s="43">
        <v>44472</v>
      </c>
      <c r="I43" s="43"/>
      <c r="J43" s="43"/>
      <c r="K43" s="43"/>
      <c r="L43" s="43"/>
      <c r="M43" s="43"/>
      <c r="N43" s="43"/>
      <c r="O43" s="43"/>
      <c r="P43" s="43"/>
      <c r="Q43" s="43"/>
      <c r="R43" s="43"/>
      <c r="T43" s="41"/>
    </row>
    <row r="44" spans="1:20">
      <c r="A44" s="40" t="s">
        <v>14</v>
      </c>
      <c r="B44" s="43">
        <v>44471</v>
      </c>
      <c r="C44" s="43">
        <v>44472</v>
      </c>
      <c r="D44" s="43"/>
      <c r="E44" s="43"/>
      <c r="F44" s="43"/>
      <c r="G44" s="43"/>
      <c r="H44" s="43"/>
      <c r="I44" s="43"/>
      <c r="J44" s="43"/>
      <c r="K44" s="43"/>
      <c r="L44" s="43"/>
      <c r="M44" s="43"/>
      <c r="N44" s="43"/>
      <c r="O44" s="43"/>
      <c r="P44" s="43"/>
      <c r="Q44" s="43"/>
      <c r="R44" s="43"/>
      <c r="T44" s="41"/>
    </row>
    <row r="45" spans="1:20">
      <c r="A45" s="43"/>
      <c r="B45" s="43"/>
      <c r="C45" s="43"/>
      <c r="D45" s="43"/>
      <c r="E45" s="43"/>
      <c r="F45" s="43"/>
      <c r="G45" s="43"/>
      <c r="H45" s="43"/>
      <c r="I45" s="43"/>
      <c r="J45" s="43"/>
      <c r="K45" s="43"/>
      <c r="L45" s="43"/>
      <c r="M45" s="43"/>
      <c r="N45" s="43"/>
      <c r="O45" s="43"/>
      <c r="P45" s="43"/>
      <c r="Q45" s="43"/>
      <c r="R45" s="43"/>
    </row>
    <row r="46" spans="1:20">
      <c r="A46" s="43"/>
      <c r="B46" s="43"/>
      <c r="C46" s="43"/>
      <c r="D46" s="43"/>
      <c r="E46" s="43"/>
      <c r="F46" s="43"/>
      <c r="G46" s="43"/>
      <c r="H46" s="43"/>
      <c r="I46" s="43"/>
      <c r="J46" s="43"/>
      <c r="K46" s="43"/>
      <c r="L46" s="43"/>
      <c r="M46" s="43"/>
      <c r="N46" s="43"/>
      <c r="O46" s="43"/>
      <c r="P46" s="43"/>
      <c r="Q46" s="43"/>
      <c r="R46" s="43"/>
      <c r="T46" s="41"/>
    </row>
    <row r="47" spans="1:20">
      <c r="A47" s="43"/>
      <c r="B47" s="43"/>
      <c r="C47" s="43"/>
      <c r="D47" s="43"/>
      <c r="E47" s="43"/>
      <c r="F47" s="43"/>
      <c r="G47" s="43"/>
      <c r="H47" s="43"/>
      <c r="I47" s="43"/>
      <c r="J47" s="43"/>
      <c r="K47" s="43"/>
      <c r="L47" s="43"/>
      <c r="M47" s="43"/>
      <c r="N47" s="43"/>
      <c r="O47" s="43"/>
      <c r="P47" s="43"/>
      <c r="Q47" s="43"/>
      <c r="R47" s="43"/>
      <c r="T47" s="41"/>
    </row>
    <row r="48" spans="1:20">
      <c r="A48" s="43"/>
      <c r="B48" s="43"/>
      <c r="C48" s="43"/>
      <c r="D48" s="43"/>
      <c r="E48" s="43"/>
      <c r="F48" s="43"/>
      <c r="G48" s="43"/>
      <c r="H48" s="43"/>
      <c r="I48" s="43"/>
      <c r="J48" s="43"/>
      <c r="K48" s="43"/>
      <c r="L48" s="43"/>
      <c r="M48" s="43"/>
      <c r="N48" s="43"/>
      <c r="O48" s="43"/>
      <c r="P48" s="43"/>
      <c r="Q48" s="43"/>
      <c r="R48" s="43"/>
      <c r="T48" s="41"/>
    </row>
    <row r="49" spans="1:18">
      <c r="A49" s="43"/>
      <c r="B49" s="43"/>
      <c r="C49" s="43"/>
      <c r="D49" s="43"/>
      <c r="E49" s="43"/>
      <c r="F49" s="43"/>
      <c r="G49" s="43"/>
      <c r="H49" s="43"/>
      <c r="I49" s="43"/>
      <c r="J49" s="43"/>
      <c r="K49" s="43"/>
      <c r="L49" s="43"/>
      <c r="M49" s="43"/>
      <c r="N49" s="43"/>
      <c r="O49" s="43"/>
      <c r="P49" s="43"/>
      <c r="Q49" s="43"/>
      <c r="R49" s="43"/>
    </row>
    <row r="50" spans="1:18">
      <c r="A50" s="43"/>
      <c r="B50" s="43"/>
      <c r="C50" s="43"/>
      <c r="D50" s="43"/>
      <c r="E50" s="43"/>
      <c r="F50" s="43"/>
      <c r="G50" s="43"/>
      <c r="H50" s="43"/>
      <c r="I50" s="43"/>
      <c r="J50" s="43"/>
      <c r="K50" s="43"/>
      <c r="L50" s="43"/>
      <c r="M50" s="43"/>
      <c r="N50" s="43"/>
      <c r="O50" s="43"/>
      <c r="P50" s="43"/>
      <c r="Q50" s="43"/>
      <c r="R50" s="43"/>
    </row>
    <row r="51" spans="1:18">
      <c r="A51" s="43"/>
      <c r="B51" s="43"/>
      <c r="C51" s="43"/>
      <c r="D51" s="43"/>
      <c r="E51" s="43"/>
      <c r="F51" s="43"/>
      <c r="G51" s="43"/>
      <c r="H51" s="43"/>
      <c r="I51" s="43"/>
      <c r="J51" s="43"/>
      <c r="K51" s="43"/>
      <c r="L51" s="43"/>
      <c r="M51" s="43"/>
      <c r="N51" s="43"/>
      <c r="O51" s="43"/>
      <c r="P51" s="43"/>
      <c r="Q51" s="43"/>
      <c r="R51" s="43"/>
    </row>
  </sheetData>
  <mergeCells count="2">
    <mergeCell ref="A1:R1"/>
    <mergeCell ref="Q35:R35"/>
  </mergeCells>
  <phoneticPr fontId="2"/>
  <pageMargins left="0.70866141732283472" right="0.70866141732283472" top="0" bottom="0" header="0.31496062992125984" footer="0.31496062992125984"/>
  <pageSetup paperSize="9" orientation="landscape" r:id="rId1"/>
  <drawing r:id="rId2"/>
  <legacyDrawing r:id="rId3"/>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B211E-2660-4195-A5C9-AD8A92C7AAE5}">
  <dimension ref="A1:AC51"/>
  <sheetViews>
    <sheetView topLeftCell="A4" zoomScaleNormal="100" workbookViewId="0">
      <selection activeCell="G20" sqref="G20"/>
    </sheetView>
  </sheetViews>
  <sheetFormatPr defaultColWidth="9" defaultRowHeight="18.75"/>
  <cols>
    <col min="1" max="18" width="6.625" style="40" customWidth="1"/>
    <col min="19" max="19" width="3.625" style="40" customWidth="1"/>
    <col min="20" max="20" width="6.625" style="40" customWidth="1"/>
    <col min="21" max="21" width="3.625" style="40" customWidth="1"/>
    <col min="22" max="37" width="6.625" style="40" customWidth="1"/>
    <col min="38" max="38" width="3.625" style="40" customWidth="1"/>
    <col min="39" max="16384" width="9" style="40"/>
  </cols>
  <sheetData>
    <row r="1" spans="1:29">
      <c r="A1" s="147" t="s">
        <v>838</v>
      </c>
      <c r="B1" s="147"/>
      <c r="C1" s="147"/>
      <c r="D1" s="147"/>
      <c r="E1" s="147"/>
      <c r="F1" s="147"/>
      <c r="G1" s="147"/>
      <c r="H1" s="147"/>
      <c r="I1" s="147"/>
      <c r="J1" s="147"/>
      <c r="K1" s="147"/>
      <c r="L1" s="147"/>
      <c r="M1" s="147"/>
      <c r="N1" s="147"/>
      <c r="O1" s="147"/>
      <c r="P1" s="147"/>
      <c r="Q1" s="147"/>
      <c r="R1" s="147"/>
      <c r="X1" s="40" t="s">
        <v>116</v>
      </c>
    </row>
    <row r="2" spans="1:29" ht="16.5" customHeight="1">
      <c r="A2" s="26" t="s">
        <v>355</v>
      </c>
      <c r="B2" s="27">
        <v>44368</v>
      </c>
      <c r="C2" s="27">
        <v>44369</v>
      </c>
      <c r="D2" s="27">
        <v>44370</v>
      </c>
      <c r="E2" s="27">
        <v>44371</v>
      </c>
      <c r="F2" s="27">
        <v>44372</v>
      </c>
      <c r="G2" s="31">
        <v>44373</v>
      </c>
      <c r="H2" s="31">
        <v>44374</v>
      </c>
      <c r="I2" s="27">
        <v>44375</v>
      </c>
      <c r="J2" s="27">
        <v>44376</v>
      </c>
      <c r="K2" s="27">
        <v>44377</v>
      </c>
      <c r="L2" s="27"/>
      <c r="M2" s="23" t="s">
        <v>368</v>
      </c>
      <c r="N2" s="25">
        <v>44378</v>
      </c>
      <c r="O2" s="25">
        <v>44379</v>
      </c>
      <c r="P2" s="30">
        <v>44380</v>
      </c>
      <c r="Q2" s="30">
        <v>44381</v>
      </c>
      <c r="R2" s="25">
        <v>44382</v>
      </c>
      <c r="V2" s="40" t="s">
        <v>63</v>
      </c>
      <c r="X2" s="40" t="s">
        <v>64</v>
      </c>
      <c r="Z2" s="40" t="s">
        <v>65</v>
      </c>
      <c r="AB2" s="40" t="s">
        <v>169</v>
      </c>
    </row>
    <row r="3" spans="1:29" ht="16.5" customHeight="1">
      <c r="A3" s="28">
        <v>1</v>
      </c>
      <c r="B3" s="19"/>
      <c r="C3" s="19"/>
      <c r="D3" s="19"/>
      <c r="E3" s="19"/>
      <c r="F3" s="19"/>
      <c r="G3" s="19" t="s">
        <v>107</v>
      </c>
      <c r="H3" s="19" t="s">
        <v>7</v>
      </c>
      <c r="I3" s="19"/>
      <c r="J3" s="19"/>
      <c r="K3" s="19"/>
      <c r="L3" s="19"/>
      <c r="M3" s="36">
        <v>1</v>
      </c>
      <c r="N3" s="19"/>
      <c r="O3" s="19"/>
      <c r="P3" s="19" t="s">
        <v>2</v>
      </c>
      <c r="Q3" s="19" t="s">
        <v>25</v>
      </c>
      <c r="R3" s="19"/>
      <c r="V3" s="40" t="s">
        <v>25</v>
      </c>
      <c r="W3" s="40">
        <v>2</v>
      </c>
      <c r="X3" s="40" t="s">
        <v>45</v>
      </c>
      <c r="Y3" s="40">
        <v>2</v>
      </c>
      <c r="Z3" s="40" t="s">
        <v>34</v>
      </c>
      <c r="AB3" s="40" t="s">
        <v>153</v>
      </c>
      <c r="AC3" s="40">
        <v>5</v>
      </c>
    </row>
    <row r="4" spans="1:29" ht="16.5" customHeight="1">
      <c r="A4" s="28">
        <v>2</v>
      </c>
      <c r="B4" s="19"/>
      <c r="C4" s="19"/>
      <c r="D4" s="19"/>
      <c r="E4" s="19"/>
      <c r="F4" s="19"/>
      <c r="G4" s="19" t="s">
        <v>774</v>
      </c>
      <c r="H4" s="19" t="s">
        <v>796</v>
      </c>
      <c r="I4" s="19"/>
      <c r="J4" s="19"/>
      <c r="K4" s="19"/>
      <c r="L4" s="19"/>
      <c r="M4" s="36">
        <v>2</v>
      </c>
      <c r="N4" s="19"/>
      <c r="O4" s="19"/>
      <c r="P4" s="19" t="s">
        <v>6</v>
      </c>
      <c r="Q4" s="19" t="s">
        <v>93</v>
      </c>
      <c r="R4" s="19"/>
      <c r="T4" s="41"/>
      <c r="U4" s="41"/>
      <c r="V4" s="40" t="s">
        <v>2</v>
      </c>
      <c r="W4" s="40">
        <v>2</v>
      </c>
      <c r="X4" s="40" t="s">
        <v>14</v>
      </c>
      <c r="Y4" s="40">
        <v>2</v>
      </c>
      <c r="Z4" s="40" t="s">
        <v>38</v>
      </c>
      <c r="AB4" s="40" t="s">
        <v>26</v>
      </c>
      <c r="AC4" s="40">
        <v>3</v>
      </c>
    </row>
    <row r="5" spans="1:29" ht="16.5" customHeight="1">
      <c r="A5" s="28">
        <v>3</v>
      </c>
      <c r="B5" s="19"/>
      <c r="C5" s="19"/>
      <c r="D5" s="19"/>
      <c r="E5" s="19"/>
      <c r="F5" s="19"/>
      <c r="G5" s="19" t="s">
        <v>840</v>
      </c>
      <c r="H5" s="19" t="s">
        <v>840</v>
      </c>
      <c r="I5" s="19"/>
      <c r="J5" s="19"/>
      <c r="K5" s="19"/>
      <c r="L5" s="19"/>
      <c r="M5" s="36">
        <v>3</v>
      </c>
      <c r="N5" s="19"/>
      <c r="O5" s="19"/>
      <c r="P5" s="19" t="s">
        <v>840</v>
      </c>
      <c r="Q5" s="19" t="s">
        <v>840</v>
      </c>
      <c r="R5" s="19"/>
      <c r="T5" s="41"/>
      <c r="U5" s="41"/>
      <c r="V5" s="40" t="s">
        <v>14</v>
      </c>
      <c r="W5" s="40">
        <v>0</v>
      </c>
      <c r="X5" s="40" t="s">
        <v>6</v>
      </c>
      <c r="Y5" s="40">
        <v>2</v>
      </c>
      <c r="Z5" s="40" t="s">
        <v>249</v>
      </c>
      <c r="AB5" s="40" t="s">
        <v>6</v>
      </c>
      <c r="AC5" s="40">
        <v>8</v>
      </c>
    </row>
    <row r="6" spans="1:29" ht="16.5" customHeight="1">
      <c r="A6" s="28" t="s">
        <v>20</v>
      </c>
      <c r="B6" s="19" t="s">
        <v>769</v>
      </c>
      <c r="C6" s="19" t="s">
        <v>13</v>
      </c>
      <c r="D6" s="19" t="s">
        <v>13</v>
      </c>
      <c r="E6" s="19" t="s">
        <v>13</v>
      </c>
      <c r="F6" s="19" t="s">
        <v>13</v>
      </c>
      <c r="G6" s="19" t="s">
        <v>13</v>
      </c>
      <c r="H6" s="19" t="s">
        <v>13</v>
      </c>
      <c r="I6" s="19" t="s">
        <v>312</v>
      </c>
      <c r="J6" s="19" t="s">
        <v>13</v>
      </c>
      <c r="K6" s="19" t="s">
        <v>13</v>
      </c>
      <c r="L6" s="19"/>
      <c r="M6" s="36" t="s">
        <v>20</v>
      </c>
      <c r="N6" s="19" t="s">
        <v>312</v>
      </c>
      <c r="O6" s="19" t="s">
        <v>13</v>
      </c>
      <c r="P6" s="19" t="s">
        <v>13</v>
      </c>
      <c r="Q6" s="19" t="s">
        <v>13</v>
      </c>
      <c r="R6" s="19" t="s">
        <v>774</v>
      </c>
      <c r="T6" s="41"/>
      <c r="U6" s="41"/>
      <c r="V6" s="40" t="s">
        <v>7</v>
      </c>
      <c r="W6" s="40">
        <v>2</v>
      </c>
      <c r="X6" s="40" t="s">
        <v>23</v>
      </c>
      <c r="Y6" s="40">
        <v>2</v>
      </c>
      <c r="Z6" s="40" t="s">
        <v>10</v>
      </c>
      <c r="AB6" s="40" t="s">
        <v>152</v>
      </c>
      <c r="AC6" s="40">
        <v>7</v>
      </c>
    </row>
    <row r="7" spans="1:29" ht="16.5" customHeight="1">
      <c r="A7" s="28" t="s">
        <v>0</v>
      </c>
      <c r="B7" s="19"/>
      <c r="C7" s="19"/>
      <c r="D7" s="19"/>
      <c r="E7" s="19" t="s">
        <v>9</v>
      </c>
      <c r="F7" s="19" t="s">
        <v>13</v>
      </c>
      <c r="G7" s="19" t="s">
        <v>13</v>
      </c>
      <c r="H7" s="19"/>
      <c r="I7" s="19"/>
      <c r="J7" s="19"/>
      <c r="K7" s="19"/>
      <c r="L7" s="19"/>
      <c r="M7" s="36" t="s">
        <v>0</v>
      </c>
      <c r="N7" s="19" t="s">
        <v>9</v>
      </c>
      <c r="O7" s="19" t="s">
        <v>13</v>
      </c>
      <c r="P7" s="19" t="s">
        <v>13</v>
      </c>
      <c r="Q7" s="19"/>
      <c r="R7" s="19"/>
      <c r="T7" s="41"/>
      <c r="U7" s="41"/>
      <c r="V7" s="40" t="s">
        <v>21</v>
      </c>
      <c r="W7" s="40">
        <v>2</v>
      </c>
      <c r="X7" s="40" t="s">
        <v>153</v>
      </c>
      <c r="Y7" s="40">
        <v>1</v>
      </c>
      <c r="Z7" s="40" t="s">
        <v>36</v>
      </c>
      <c r="AB7" s="40" t="s">
        <v>23</v>
      </c>
      <c r="AC7" s="40">
        <v>2</v>
      </c>
    </row>
    <row r="8" spans="1:29" ht="16.5" customHeight="1">
      <c r="A8" s="28" t="s">
        <v>1</v>
      </c>
      <c r="B8" s="19" t="s">
        <v>213</v>
      </c>
      <c r="C8" s="19" t="s">
        <v>13</v>
      </c>
      <c r="D8" s="19" t="s">
        <v>13</v>
      </c>
      <c r="E8" s="19" t="s">
        <v>13</v>
      </c>
      <c r="F8" s="19"/>
      <c r="G8" s="19"/>
      <c r="H8" s="19"/>
      <c r="I8" s="19"/>
      <c r="J8" s="19"/>
      <c r="K8" s="19"/>
      <c r="L8" s="19"/>
      <c r="M8" s="36" t="s">
        <v>1</v>
      </c>
      <c r="N8" s="19"/>
      <c r="O8" s="19"/>
      <c r="P8" s="19"/>
      <c r="Q8" s="19" t="s">
        <v>213</v>
      </c>
      <c r="R8" s="19" t="s">
        <v>13</v>
      </c>
      <c r="T8" s="41"/>
      <c r="V8" s="40" t="s">
        <v>26</v>
      </c>
      <c r="W8" s="40">
        <v>2</v>
      </c>
      <c r="X8" s="40" t="s">
        <v>327</v>
      </c>
      <c r="Y8" s="40">
        <v>2</v>
      </c>
      <c r="Z8" s="40" t="s">
        <v>37</v>
      </c>
      <c r="AB8" s="40" t="s">
        <v>25</v>
      </c>
      <c r="AC8" s="40" t="s">
        <v>837</v>
      </c>
    </row>
    <row r="9" spans="1:29" ht="16.5" customHeight="1">
      <c r="A9" s="28" t="s">
        <v>366</v>
      </c>
      <c r="B9" s="19" t="s">
        <v>839</v>
      </c>
      <c r="C9" s="19" t="s">
        <v>13</v>
      </c>
      <c r="D9" s="19" t="s">
        <v>13</v>
      </c>
      <c r="E9" s="19" t="s">
        <v>13</v>
      </c>
      <c r="F9" s="19"/>
      <c r="G9" s="19"/>
      <c r="H9" s="19" t="s">
        <v>839</v>
      </c>
      <c r="I9" s="19" t="s">
        <v>13</v>
      </c>
      <c r="J9" s="19" t="s">
        <v>13</v>
      </c>
      <c r="K9" s="19" t="s">
        <v>13</v>
      </c>
      <c r="L9" s="19"/>
      <c r="M9" s="36" t="s">
        <v>366</v>
      </c>
      <c r="N9" s="19" t="s">
        <v>839</v>
      </c>
      <c r="O9" s="19"/>
      <c r="P9" s="19"/>
      <c r="Q9" s="19" t="s">
        <v>839</v>
      </c>
      <c r="R9" s="19" t="s">
        <v>13</v>
      </c>
      <c r="T9" s="41"/>
      <c r="V9" s="40" t="s">
        <v>27</v>
      </c>
      <c r="W9" s="40">
        <v>2</v>
      </c>
      <c r="X9" s="40" t="s">
        <v>28</v>
      </c>
      <c r="Y9" s="40">
        <v>2</v>
      </c>
      <c r="AB9" s="40" t="s">
        <v>327</v>
      </c>
      <c r="AC9" s="40">
        <v>4</v>
      </c>
    </row>
    <row r="10" spans="1:29" ht="16.5" customHeight="1">
      <c r="A10" s="23" t="s">
        <v>368</v>
      </c>
      <c r="B10" s="25">
        <v>44383</v>
      </c>
      <c r="C10" s="25">
        <v>44384</v>
      </c>
      <c r="D10" s="25">
        <v>44385</v>
      </c>
      <c r="E10" s="25">
        <v>44386</v>
      </c>
      <c r="F10" s="30">
        <v>44387</v>
      </c>
      <c r="G10" s="30">
        <v>44388</v>
      </c>
      <c r="H10" s="25">
        <v>44389</v>
      </c>
      <c r="I10" s="25">
        <v>44390</v>
      </c>
      <c r="J10" s="25">
        <v>44391</v>
      </c>
      <c r="K10" s="25">
        <v>44392</v>
      </c>
      <c r="L10" s="25">
        <v>44393</v>
      </c>
      <c r="M10" s="30">
        <v>44394</v>
      </c>
      <c r="N10" s="30">
        <v>44395</v>
      </c>
      <c r="O10" s="25">
        <v>44396</v>
      </c>
      <c r="P10" s="25">
        <v>44397</v>
      </c>
      <c r="Q10" s="19"/>
      <c r="R10" s="19"/>
      <c r="T10" s="41"/>
      <c r="V10" s="40" t="s">
        <v>533</v>
      </c>
      <c r="W10" s="40">
        <v>2</v>
      </c>
      <c r="X10" s="40" t="s">
        <v>152</v>
      </c>
      <c r="Y10" s="40">
        <v>2</v>
      </c>
      <c r="AB10" s="40" t="s">
        <v>516</v>
      </c>
      <c r="AC10" s="40">
        <v>6</v>
      </c>
    </row>
    <row r="11" spans="1:29" ht="16.5" customHeight="1">
      <c r="A11" s="36">
        <v>1</v>
      </c>
      <c r="B11" s="19"/>
      <c r="C11" s="19"/>
      <c r="D11" s="19"/>
      <c r="E11" s="19"/>
      <c r="F11" s="19" t="s">
        <v>312</v>
      </c>
      <c r="G11" s="19" t="s">
        <v>516</v>
      </c>
      <c r="H11" s="19"/>
      <c r="I11" s="19"/>
      <c r="J11" s="19"/>
      <c r="K11" s="19"/>
      <c r="L11" s="19"/>
      <c r="M11" s="19" t="s">
        <v>315</v>
      </c>
      <c r="N11" s="19" t="s">
        <v>533</v>
      </c>
      <c r="O11" s="19"/>
      <c r="P11" s="19"/>
      <c r="Q11" s="19"/>
      <c r="R11" s="19"/>
      <c r="T11" s="41"/>
      <c r="V11" s="40" t="s">
        <v>516</v>
      </c>
      <c r="W11" s="40">
        <v>2</v>
      </c>
      <c r="X11" s="40" t="s">
        <v>690</v>
      </c>
      <c r="Y11" s="40">
        <v>0</v>
      </c>
    </row>
    <row r="12" spans="1:29" ht="16.5" customHeight="1">
      <c r="A12" s="36">
        <v>2</v>
      </c>
      <c r="B12" s="19"/>
      <c r="C12" s="19"/>
      <c r="D12" s="19"/>
      <c r="E12" s="19"/>
      <c r="F12" s="19" t="s">
        <v>313</v>
      </c>
      <c r="G12" s="19" t="s">
        <v>14</v>
      </c>
      <c r="H12" s="19"/>
      <c r="I12" s="19"/>
      <c r="J12" s="19"/>
      <c r="K12" s="19"/>
      <c r="L12" s="19"/>
      <c r="M12" s="19" t="s">
        <v>314</v>
      </c>
      <c r="N12" s="19" t="s">
        <v>769</v>
      </c>
      <c r="O12" s="19"/>
      <c r="P12" s="19"/>
      <c r="Q12" s="19"/>
      <c r="R12" s="19"/>
      <c r="T12" s="41"/>
      <c r="X12" s="40" t="s">
        <v>796</v>
      </c>
      <c r="Y12" s="40">
        <v>1</v>
      </c>
    </row>
    <row r="13" spans="1:29" ht="16.5" customHeight="1">
      <c r="A13" s="36">
        <v>3</v>
      </c>
      <c r="B13" s="19"/>
      <c r="C13" s="19"/>
      <c r="D13" s="19"/>
      <c r="E13" s="19"/>
      <c r="F13" s="19" t="s">
        <v>840</v>
      </c>
      <c r="G13" s="19" t="s">
        <v>840</v>
      </c>
      <c r="H13" s="19"/>
      <c r="I13" s="19"/>
      <c r="J13" s="19"/>
      <c r="K13" s="19"/>
      <c r="L13" s="19"/>
      <c r="M13" s="19" t="s">
        <v>840</v>
      </c>
      <c r="N13" s="19" t="s">
        <v>840</v>
      </c>
      <c r="O13" s="19"/>
      <c r="P13" s="19"/>
      <c r="Q13" s="19"/>
      <c r="R13" s="19"/>
      <c r="T13" s="41"/>
    </row>
    <row r="14" spans="1:29" ht="16.5" customHeight="1">
      <c r="A14" s="36" t="s">
        <v>20</v>
      </c>
      <c r="B14" s="19" t="s">
        <v>774</v>
      </c>
      <c r="C14" s="19" t="s">
        <v>13</v>
      </c>
      <c r="D14" s="19" t="s">
        <v>13</v>
      </c>
      <c r="E14" s="19" t="s">
        <v>13</v>
      </c>
      <c r="F14" s="19" t="s">
        <v>13</v>
      </c>
      <c r="G14" s="19" t="s">
        <v>13</v>
      </c>
      <c r="H14" s="19" t="s">
        <v>153</v>
      </c>
      <c r="I14" s="19" t="s">
        <v>13</v>
      </c>
      <c r="J14" s="19" t="s">
        <v>13</v>
      </c>
      <c r="K14" s="19" t="s">
        <v>13</v>
      </c>
      <c r="L14" s="19" t="s">
        <v>13</v>
      </c>
      <c r="M14" s="19" t="s">
        <v>13</v>
      </c>
      <c r="N14" s="19" t="s">
        <v>13</v>
      </c>
      <c r="O14" s="19" t="s">
        <v>516</v>
      </c>
      <c r="P14" s="19" t="s">
        <v>13</v>
      </c>
      <c r="Q14" s="19"/>
      <c r="R14" s="19"/>
      <c r="T14" s="41"/>
    </row>
    <row r="15" spans="1:29" ht="16.5" customHeight="1">
      <c r="A15" s="36" t="s">
        <v>0</v>
      </c>
      <c r="B15" s="19"/>
      <c r="C15" s="19"/>
      <c r="D15" s="19" t="s">
        <v>9</v>
      </c>
      <c r="E15" s="19" t="s">
        <v>13</v>
      </c>
      <c r="F15" s="19" t="s">
        <v>13</v>
      </c>
      <c r="G15" s="19"/>
      <c r="H15" s="19"/>
      <c r="I15" s="19"/>
      <c r="J15" s="19"/>
      <c r="K15" s="19" t="s">
        <v>9</v>
      </c>
      <c r="L15" s="19" t="s">
        <v>13</v>
      </c>
      <c r="M15" s="19" t="s">
        <v>13</v>
      </c>
      <c r="N15" s="19"/>
      <c r="O15" s="19"/>
      <c r="P15" s="19"/>
      <c r="Q15" s="19"/>
      <c r="R15" s="19"/>
      <c r="T15" s="41"/>
      <c r="V15" s="40" t="s">
        <v>696</v>
      </c>
      <c r="W15" s="40">
        <f>SUM(W2:W14)</f>
        <v>16</v>
      </c>
      <c r="Y15" s="40">
        <f>SUM(Y2:Y14)</f>
        <v>16</v>
      </c>
      <c r="AA15" s="40">
        <f>SUM(AA2:AA14)</f>
        <v>0</v>
      </c>
    </row>
    <row r="16" spans="1:29" ht="16.5" customHeight="1">
      <c r="A16" s="36" t="s">
        <v>1</v>
      </c>
      <c r="B16" s="19" t="s">
        <v>213</v>
      </c>
      <c r="C16" s="19" t="s">
        <v>13</v>
      </c>
      <c r="D16" s="19" t="s">
        <v>13</v>
      </c>
      <c r="E16" s="19"/>
      <c r="F16" s="19"/>
      <c r="G16" s="19"/>
      <c r="H16" s="19"/>
      <c r="I16" s="19"/>
      <c r="J16" s="19"/>
      <c r="K16" s="19"/>
      <c r="L16" s="19"/>
      <c r="M16" s="19"/>
      <c r="N16" s="19" t="s">
        <v>213</v>
      </c>
      <c r="O16" s="19" t="s">
        <v>13</v>
      </c>
      <c r="P16" s="19" t="s">
        <v>13</v>
      </c>
      <c r="Q16" s="19"/>
      <c r="R16" s="19"/>
      <c r="T16" s="41"/>
    </row>
    <row r="17" spans="1:29" ht="16.5" customHeight="1">
      <c r="A17" s="36" t="s">
        <v>366</v>
      </c>
      <c r="B17" s="19" t="s">
        <v>839</v>
      </c>
      <c r="C17" s="19" t="s">
        <v>13</v>
      </c>
      <c r="D17" s="19" t="s">
        <v>13</v>
      </c>
      <c r="E17" s="19"/>
      <c r="F17" s="19"/>
      <c r="G17" s="19" t="s">
        <v>839</v>
      </c>
      <c r="H17" s="19" t="s">
        <v>13</v>
      </c>
      <c r="I17" s="19" t="s">
        <v>13</v>
      </c>
      <c r="J17" s="19" t="s">
        <v>13</v>
      </c>
      <c r="K17" s="19" t="s">
        <v>13</v>
      </c>
      <c r="L17" s="19"/>
      <c r="M17" s="19"/>
      <c r="N17" s="19" t="s">
        <v>839</v>
      </c>
      <c r="O17" s="19" t="s">
        <v>13</v>
      </c>
      <c r="P17" s="19" t="s">
        <v>13</v>
      </c>
      <c r="Q17" s="19"/>
      <c r="R17" s="19"/>
      <c r="T17" s="41"/>
    </row>
    <row r="18" spans="1:29" ht="11.25" customHeight="1">
      <c r="A18" s="42"/>
      <c r="B18" s="37"/>
      <c r="C18" s="37"/>
      <c r="D18" s="37"/>
      <c r="E18" s="37"/>
      <c r="F18" s="37"/>
      <c r="G18" s="37"/>
      <c r="H18" s="38"/>
      <c r="I18" s="38"/>
      <c r="J18" s="38"/>
      <c r="K18" s="38"/>
      <c r="L18" s="38"/>
      <c r="M18" s="38"/>
      <c r="N18" s="38"/>
      <c r="O18" s="38"/>
      <c r="P18" s="37"/>
      <c r="Q18" s="37"/>
      <c r="R18" s="39"/>
      <c r="T18" s="41"/>
      <c r="X18" s="40" t="s">
        <v>167</v>
      </c>
    </row>
    <row r="19" spans="1:29" ht="16.5" customHeight="1">
      <c r="A19" s="23" t="s">
        <v>368</v>
      </c>
      <c r="B19" s="25">
        <v>44398</v>
      </c>
      <c r="C19" s="25">
        <v>44399</v>
      </c>
      <c r="D19" s="25">
        <v>44400</v>
      </c>
      <c r="E19" s="30">
        <v>44401</v>
      </c>
      <c r="F19" s="30">
        <v>44402</v>
      </c>
      <c r="G19" s="25">
        <v>44403</v>
      </c>
      <c r="H19" s="25">
        <v>44404</v>
      </c>
      <c r="I19" s="25">
        <v>44405</v>
      </c>
      <c r="J19" s="25">
        <v>44406</v>
      </c>
      <c r="K19" s="25">
        <v>44407</v>
      </c>
      <c r="L19" s="30">
        <v>44408</v>
      </c>
      <c r="M19" s="26" t="s">
        <v>216</v>
      </c>
      <c r="N19" s="31">
        <v>44409</v>
      </c>
      <c r="O19" s="27">
        <v>44410</v>
      </c>
      <c r="P19" s="27">
        <v>44411</v>
      </c>
      <c r="Q19" s="27">
        <v>44412</v>
      </c>
      <c r="R19" s="27">
        <v>44413</v>
      </c>
      <c r="T19" s="41"/>
      <c r="V19" s="40" t="s">
        <v>63</v>
      </c>
      <c r="X19" s="40" t="s">
        <v>64</v>
      </c>
      <c r="Z19" s="40" t="s">
        <v>65</v>
      </c>
      <c r="AB19" s="40" t="s">
        <v>169</v>
      </c>
    </row>
    <row r="20" spans="1:29" ht="16.5" customHeight="1">
      <c r="A20" s="36">
        <v>1</v>
      </c>
      <c r="B20" s="19"/>
      <c r="C20" s="19"/>
      <c r="D20" s="19"/>
      <c r="E20" s="19" t="s">
        <v>2</v>
      </c>
      <c r="F20" s="19" t="s">
        <v>107</v>
      </c>
      <c r="G20" s="19"/>
      <c r="H20" s="19"/>
      <c r="I20" s="19"/>
      <c r="J20" s="19"/>
      <c r="K20" s="19"/>
      <c r="L20" s="19" t="s">
        <v>7</v>
      </c>
      <c r="M20" s="28">
        <v>1</v>
      </c>
      <c r="N20" s="19" t="s">
        <v>25</v>
      </c>
      <c r="O20" s="19"/>
      <c r="P20" s="19"/>
      <c r="Q20" s="19"/>
      <c r="R20" s="19"/>
      <c r="T20" s="41"/>
      <c r="V20" s="40" t="s">
        <v>25</v>
      </c>
      <c r="W20" s="40">
        <v>2</v>
      </c>
      <c r="X20" s="40" t="s">
        <v>45</v>
      </c>
      <c r="Y20" s="40">
        <v>2</v>
      </c>
      <c r="Z20" s="40" t="s">
        <v>34</v>
      </c>
      <c r="AB20" s="40" t="s">
        <v>153</v>
      </c>
      <c r="AC20" s="40">
        <v>4</v>
      </c>
    </row>
    <row r="21" spans="1:29" ht="16.5" customHeight="1">
      <c r="A21" s="36">
        <v>2</v>
      </c>
      <c r="B21" s="19"/>
      <c r="C21" s="19"/>
      <c r="D21" s="19"/>
      <c r="E21" s="19" t="s">
        <v>796</v>
      </c>
      <c r="F21" s="19" t="s">
        <v>774</v>
      </c>
      <c r="G21" s="19"/>
      <c r="H21" s="19"/>
      <c r="I21" s="19"/>
      <c r="J21" s="19"/>
      <c r="K21" s="19"/>
      <c r="L21" s="19" t="s">
        <v>93</v>
      </c>
      <c r="M21" s="28">
        <v>2</v>
      </c>
      <c r="N21" s="19" t="s">
        <v>153</v>
      </c>
      <c r="O21" s="19"/>
      <c r="P21" s="19"/>
      <c r="Q21" s="19"/>
      <c r="R21" s="19"/>
      <c r="T21" s="41"/>
      <c r="V21" s="40" t="s">
        <v>2</v>
      </c>
      <c r="W21" s="40">
        <v>2</v>
      </c>
      <c r="X21" s="40" t="s">
        <v>14</v>
      </c>
      <c r="Y21" s="40">
        <v>2</v>
      </c>
      <c r="Z21" s="40" t="s">
        <v>38</v>
      </c>
      <c r="AB21" s="40" t="s">
        <v>26</v>
      </c>
      <c r="AC21" s="40">
        <v>2</v>
      </c>
    </row>
    <row r="22" spans="1:29" ht="16.5" customHeight="1">
      <c r="A22" s="36">
        <v>3</v>
      </c>
      <c r="B22" s="19"/>
      <c r="C22" s="19"/>
      <c r="D22" s="19"/>
      <c r="E22" s="19" t="s">
        <v>840</v>
      </c>
      <c r="F22" s="19" t="s">
        <v>840</v>
      </c>
      <c r="G22" s="19"/>
      <c r="H22" s="19"/>
      <c r="I22" s="19"/>
      <c r="J22" s="19"/>
      <c r="K22" s="19"/>
      <c r="L22" s="19" t="s">
        <v>840</v>
      </c>
      <c r="M22" s="28">
        <v>3</v>
      </c>
      <c r="N22" s="19" t="s">
        <v>840</v>
      </c>
      <c r="O22" s="19"/>
      <c r="P22" s="19"/>
      <c r="Q22" s="19"/>
      <c r="R22" s="19"/>
      <c r="T22" s="41"/>
      <c r="V22" s="40" t="s">
        <v>14</v>
      </c>
      <c r="W22" s="40">
        <v>0</v>
      </c>
      <c r="X22" s="40" t="s">
        <v>6</v>
      </c>
      <c r="Y22" s="40">
        <v>1</v>
      </c>
      <c r="Z22" s="40" t="s">
        <v>249</v>
      </c>
      <c r="AB22" s="40" t="s">
        <v>6</v>
      </c>
      <c r="AC22" s="40">
        <v>7</v>
      </c>
    </row>
    <row r="23" spans="1:29" ht="16.5" customHeight="1">
      <c r="A23" s="36" t="s">
        <v>20</v>
      </c>
      <c r="B23" s="19" t="s">
        <v>516</v>
      </c>
      <c r="C23" s="19" t="s">
        <v>13</v>
      </c>
      <c r="D23" s="19" t="s">
        <v>13</v>
      </c>
      <c r="E23" s="19" t="s">
        <v>13</v>
      </c>
      <c r="F23" s="19" t="s">
        <v>13</v>
      </c>
      <c r="G23" s="19" t="s">
        <v>314</v>
      </c>
      <c r="H23" s="19" t="s">
        <v>13</v>
      </c>
      <c r="I23" s="19" t="s">
        <v>13</v>
      </c>
      <c r="J23" s="19" t="s">
        <v>13</v>
      </c>
      <c r="K23" s="19" t="s">
        <v>13</v>
      </c>
      <c r="L23" s="19" t="s">
        <v>13</v>
      </c>
      <c r="M23" s="28" t="s">
        <v>20</v>
      </c>
      <c r="N23" s="19" t="s">
        <v>314</v>
      </c>
      <c r="O23" s="19" t="s">
        <v>6</v>
      </c>
      <c r="P23" s="19" t="s">
        <v>13</v>
      </c>
      <c r="Q23" s="19" t="s">
        <v>13</v>
      </c>
      <c r="R23" s="19" t="s">
        <v>13</v>
      </c>
      <c r="T23" s="41"/>
      <c r="V23" s="40" t="s">
        <v>7</v>
      </c>
      <c r="W23" s="40">
        <v>2</v>
      </c>
      <c r="X23" s="40" t="s">
        <v>23</v>
      </c>
      <c r="Y23" s="40">
        <v>1</v>
      </c>
      <c r="Z23" s="40" t="s">
        <v>10</v>
      </c>
      <c r="AB23" s="40" t="s">
        <v>152</v>
      </c>
      <c r="AC23" s="40">
        <v>6</v>
      </c>
    </row>
    <row r="24" spans="1:29" ht="16.5" customHeight="1">
      <c r="A24" s="36" t="s">
        <v>0</v>
      </c>
      <c r="B24" s="19"/>
      <c r="C24" s="19" t="s">
        <v>9</v>
      </c>
      <c r="D24" s="19" t="s">
        <v>13</v>
      </c>
      <c r="E24" s="19" t="s">
        <v>13</v>
      </c>
      <c r="F24" s="19"/>
      <c r="G24" s="19"/>
      <c r="H24" s="19"/>
      <c r="I24" s="19"/>
      <c r="J24" s="19" t="s">
        <v>9</v>
      </c>
      <c r="K24" s="19" t="s">
        <v>13</v>
      </c>
      <c r="L24" s="19" t="s">
        <v>13</v>
      </c>
      <c r="M24" s="28" t="s">
        <v>0</v>
      </c>
      <c r="N24" s="19"/>
      <c r="O24" s="19"/>
      <c r="P24" s="19"/>
      <c r="Q24" s="19"/>
      <c r="R24" s="19" t="s">
        <v>9</v>
      </c>
      <c r="T24" s="41"/>
      <c r="V24" s="40" t="s">
        <v>21</v>
      </c>
      <c r="W24" s="40">
        <v>1</v>
      </c>
      <c r="X24" s="40" t="s">
        <v>153</v>
      </c>
      <c r="Y24" s="40">
        <v>1</v>
      </c>
      <c r="Z24" s="40" t="s">
        <v>36</v>
      </c>
      <c r="AB24" s="40" t="s">
        <v>23</v>
      </c>
      <c r="AC24" s="40">
        <v>1.9</v>
      </c>
    </row>
    <row r="25" spans="1:29" ht="16.5" customHeight="1">
      <c r="A25" s="36" t="s">
        <v>1</v>
      </c>
      <c r="B25" s="19" t="s">
        <v>213</v>
      </c>
      <c r="C25" s="19" t="s">
        <v>13</v>
      </c>
      <c r="D25" s="19"/>
      <c r="E25" s="19"/>
      <c r="F25" s="19"/>
      <c r="G25" s="19"/>
      <c r="H25" s="19"/>
      <c r="I25" s="19"/>
      <c r="J25" s="19"/>
      <c r="K25" s="19"/>
      <c r="L25" s="19"/>
      <c r="M25" s="28" t="s">
        <v>1</v>
      </c>
      <c r="N25" s="19" t="s">
        <v>213</v>
      </c>
      <c r="O25" s="19" t="s">
        <v>13</v>
      </c>
      <c r="P25" s="19" t="s">
        <v>13</v>
      </c>
      <c r="Q25" s="19" t="s">
        <v>13</v>
      </c>
      <c r="R25" s="19" t="s">
        <v>13</v>
      </c>
      <c r="T25" s="41"/>
      <c r="V25" s="40" t="s">
        <v>26</v>
      </c>
      <c r="W25" s="40">
        <v>2</v>
      </c>
      <c r="X25" s="40" t="s">
        <v>327</v>
      </c>
      <c r="Y25" s="40">
        <v>2</v>
      </c>
      <c r="Z25" s="40" t="s">
        <v>37</v>
      </c>
      <c r="AB25" s="40" t="s">
        <v>25</v>
      </c>
      <c r="AC25" s="40">
        <v>8</v>
      </c>
    </row>
    <row r="26" spans="1:29" ht="16.5" customHeight="1">
      <c r="A26" s="36" t="s">
        <v>366</v>
      </c>
      <c r="B26" s="19" t="s">
        <v>839</v>
      </c>
      <c r="C26" s="19" t="s">
        <v>13</v>
      </c>
      <c r="D26" s="19"/>
      <c r="E26" s="19"/>
      <c r="F26" s="19" t="s">
        <v>839</v>
      </c>
      <c r="G26" s="19" t="s">
        <v>13</v>
      </c>
      <c r="H26" s="19" t="s">
        <v>13</v>
      </c>
      <c r="I26" s="19" t="s">
        <v>13</v>
      </c>
      <c r="J26" s="19" t="s">
        <v>13</v>
      </c>
      <c r="K26" s="19"/>
      <c r="L26" s="19"/>
      <c r="M26" s="28" t="s">
        <v>366</v>
      </c>
      <c r="N26" s="19" t="s">
        <v>839</v>
      </c>
      <c r="O26" s="19" t="s">
        <v>13</v>
      </c>
      <c r="P26" s="19" t="s">
        <v>13</v>
      </c>
      <c r="Q26" s="19" t="s">
        <v>13</v>
      </c>
      <c r="R26" s="19" t="s">
        <v>13</v>
      </c>
      <c r="T26" s="41"/>
      <c r="V26" s="40" t="s">
        <v>27</v>
      </c>
      <c r="W26" s="40">
        <v>2</v>
      </c>
      <c r="X26" s="40" t="s">
        <v>28</v>
      </c>
      <c r="Y26" s="40">
        <v>2</v>
      </c>
      <c r="AB26" s="40" t="s">
        <v>327</v>
      </c>
      <c r="AC26" s="40">
        <v>3</v>
      </c>
    </row>
    <row r="27" spans="1:29" ht="16.5" customHeight="1">
      <c r="A27" s="26" t="s">
        <v>216</v>
      </c>
      <c r="B27" s="27">
        <v>44414</v>
      </c>
      <c r="C27" s="31">
        <v>44415</v>
      </c>
      <c r="D27" s="31">
        <v>44416</v>
      </c>
      <c r="E27" s="27">
        <v>44417</v>
      </c>
      <c r="F27" s="27">
        <v>44418</v>
      </c>
      <c r="G27" s="31">
        <v>44419</v>
      </c>
      <c r="H27" s="31">
        <v>44420</v>
      </c>
      <c r="I27" s="31">
        <v>44421</v>
      </c>
      <c r="J27" s="31">
        <v>44422</v>
      </c>
      <c r="K27" s="31">
        <v>44423</v>
      </c>
      <c r="L27" s="27">
        <v>44424</v>
      </c>
      <c r="M27" s="27">
        <v>44425</v>
      </c>
      <c r="N27" s="27">
        <v>44426</v>
      </c>
      <c r="O27" s="27">
        <v>44427</v>
      </c>
      <c r="P27" s="27">
        <v>44428</v>
      </c>
      <c r="Q27" s="19"/>
      <c r="R27" s="19"/>
      <c r="T27" s="41"/>
      <c r="V27" s="40" t="s">
        <v>533</v>
      </c>
      <c r="W27" s="40">
        <v>1</v>
      </c>
      <c r="X27" s="40" t="s">
        <v>152</v>
      </c>
      <c r="Y27" s="40">
        <v>1</v>
      </c>
      <c r="AB27" s="40" t="s">
        <v>516</v>
      </c>
      <c r="AC27" s="40">
        <v>5</v>
      </c>
    </row>
    <row r="28" spans="1:29" ht="16.5" customHeight="1">
      <c r="A28" s="28">
        <v>1</v>
      </c>
      <c r="B28" s="19"/>
      <c r="C28" s="19" t="s">
        <v>312</v>
      </c>
      <c r="D28" s="19" t="s">
        <v>516</v>
      </c>
      <c r="E28" s="19"/>
      <c r="F28" s="19"/>
      <c r="G28" s="19" t="s">
        <v>314</v>
      </c>
      <c r="H28" s="19" t="s">
        <v>107</v>
      </c>
      <c r="I28" s="19" t="s">
        <v>315</v>
      </c>
      <c r="J28" s="19" t="s">
        <v>7</v>
      </c>
      <c r="K28" s="19" t="s">
        <v>2</v>
      </c>
      <c r="L28" s="19"/>
      <c r="M28" s="19"/>
      <c r="N28" s="19"/>
      <c r="O28" s="19"/>
      <c r="P28" s="19"/>
      <c r="Q28" s="19"/>
      <c r="R28" s="19"/>
      <c r="T28" s="41"/>
      <c r="V28" s="40" t="s">
        <v>516</v>
      </c>
      <c r="W28" s="40">
        <v>2</v>
      </c>
      <c r="X28" s="40" t="s">
        <v>796</v>
      </c>
      <c r="Y28" s="40">
        <v>2</v>
      </c>
    </row>
    <row r="29" spans="1:29" ht="16.5" customHeight="1">
      <c r="A29" s="28">
        <v>2</v>
      </c>
      <c r="B29" s="19"/>
      <c r="C29" s="19" t="s">
        <v>14</v>
      </c>
      <c r="D29" s="19" t="s">
        <v>313</v>
      </c>
      <c r="E29" s="19"/>
      <c r="F29" s="19"/>
      <c r="G29" s="19"/>
      <c r="H29" s="19"/>
      <c r="I29" s="19"/>
      <c r="J29" s="19"/>
      <c r="K29" s="19"/>
      <c r="L29" s="19"/>
      <c r="M29" s="19"/>
      <c r="N29" s="19"/>
      <c r="O29" s="19"/>
      <c r="P29" s="19"/>
      <c r="Q29" s="19"/>
      <c r="R29" s="19"/>
      <c r="T29" s="41"/>
    </row>
    <row r="30" spans="1:29" ht="16.5" customHeight="1">
      <c r="A30" s="28">
        <v>3</v>
      </c>
      <c r="B30" s="19"/>
      <c r="C30" s="19" t="s">
        <v>840</v>
      </c>
      <c r="D30" s="19" t="s">
        <v>840</v>
      </c>
      <c r="E30" s="19"/>
      <c r="F30" s="19"/>
      <c r="G30" s="19"/>
      <c r="H30" s="19"/>
      <c r="I30" s="19"/>
      <c r="J30" s="19"/>
      <c r="K30" s="19"/>
      <c r="L30" s="19"/>
      <c r="M30" s="19"/>
      <c r="N30" s="19"/>
      <c r="O30" s="19"/>
      <c r="P30" s="19"/>
      <c r="Q30" s="19"/>
      <c r="R30" s="19"/>
      <c r="T30" s="41"/>
    </row>
    <row r="31" spans="1:29" ht="16.5" customHeight="1">
      <c r="A31" s="28" t="s">
        <v>20</v>
      </c>
      <c r="B31" s="19" t="s">
        <v>6</v>
      </c>
      <c r="C31" s="19" t="s">
        <v>13</v>
      </c>
      <c r="D31" s="19" t="s">
        <v>13</v>
      </c>
      <c r="E31" s="19" t="s">
        <v>25</v>
      </c>
      <c r="F31" s="19" t="s">
        <v>13</v>
      </c>
      <c r="G31" s="19"/>
      <c r="H31" s="19"/>
      <c r="I31" s="19"/>
      <c r="J31" s="19"/>
      <c r="K31" s="19"/>
      <c r="L31" s="19" t="s">
        <v>23</v>
      </c>
      <c r="M31" s="19" t="s">
        <v>13</v>
      </c>
      <c r="N31" s="19" t="s">
        <v>13</v>
      </c>
      <c r="O31" s="19" t="s">
        <v>13</v>
      </c>
      <c r="P31" s="19" t="s">
        <v>13</v>
      </c>
      <c r="Q31" s="19"/>
      <c r="R31" s="19"/>
      <c r="T31" s="41"/>
    </row>
    <row r="32" spans="1:29" ht="16.5" customHeight="1">
      <c r="A32" s="28" t="s">
        <v>0</v>
      </c>
      <c r="B32" s="19" t="s">
        <v>9</v>
      </c>
      <c r="C32" s="19" t="s">
        <v>13</v>
      </c>
      <c r="D32" s="19"/>
      <c r="E32" s="19"/>
      <c r="F32" s="19"/>
      <c r="G32" s="19"/>
      <c r="H32" s="19"/>
      <c r="I32" s="19"/>
      <c r="J32" s="19"/>
      <c r="K32" s="19"/>
      <c r="L32" s="19"/>
      <c r="M32" s="19"/>
      <c r="N32" s="19"/>
      <c r="O32" s="19" t="s">
        <v>9</v>
      </c>
      <c r="P32" s="19" t="s">
        <v>13</v>
      </c>
      <c r="Q32" s="19"/>
      <c r="R32" s="19"/>
      <c r="T32" s="41"/>
      <c r="V32" s="40" t="s">
        <v>841</v>
      </c>
      <c r="W32" s="40">
        <f>SUM(W19:W31)</f>
        <v>14</v>
      </c>
      <c r="Y32" s="40">
        <f>SUM(Y19:Y31)</f>
        <v>14</v>
      </c>
      <c r="AA32" s="40">
        <f>SUM(AA19:AA31)</f>
        <v>0</v>
      </c>
    </row>
    <row r="33" spans="1:20" ht="16.5" customHeight="1">
      <c r="A33" s="28" t="s">
        <v>1</v>
      </c>
      <c r="B33" s="19"/>
      <c r="C33" s="19"/>
      <c r="D33" s="19"/>
      <c r="E33" s="19"/>
      <c r="F33" s="19"/>
      <c r="G33" s="19"/>
      <c r="H33" s="19"/>
      <c r="I33" s="19"/>
      <c r="J33" s="19"/>
      <c r="K33" s="19"/>
      <c r="L33" s="19" t="s">
        <v>213</v>
      </c>
      <c r="M33" s="19" t="s">
        <v>13</v>
      </c>
      <c r="N33" s="19" t="s">
        <v>13</v>
      </c>
      <c r="O33" s="19" t="s">
        <v>13</v>
      </c>
      <c r="P33" s="19"/>
      <c r="Q33" s="19"/>
      <c r="R33" s="19"/>
    </row>
    <row r="34" spans="1:20" ht="16.5" customHeight="1">
      <c r="A34" s="28" t="s">
        <v>366</v>
      </c>
      <c r="B34" s="19"/>
      <c r="C34" s="19"/>
      <c r="D34" s="19" t="s">
        <v>839</v>
      </c>
      <c r="E34" s="19" t="s">
        <v>13</v>
      </c>
      <c r="F34" s="19"/>
      <c r="G34" s="19"/>
      <c r="H34" s="19"/>
      <c r="I34" s="19"/>
      <c r="J34" s="19"/>
      <c r="K34" s="19"/>
      <c r="L34" s="19" t="s">
        <v>839</v>
      </c>
      <c r="M34" s="19" t="s">
        <v>13</v>
      </c>
      <c r="N34" s="19" t="s">
        <v>13</v>
      </c>
      <c r="O34" s="19" t="s">
        <v>13</v>
      </c>
      <c r="P34" s="19"/>
      <c r="Q34" s="19"/>
      <c r="R34" s="19"/>
    </row>
    <row r="35" spans="1:20" ht="12.75" customHeight="1">
      <c r="Q35" s="145" t="s">
        <v>82</v>
      </c>
      <c r="R35" s="145"/>
      <c r="T35" s="41"/>
    </row>
    <row r="36" spans="1:20">
      <c r="A36" s="40" t="s">
        <v>322</v>
      </c>
      <c r="H36" s="43"/>
      <c r="T36" s="41"/>
    </row>
    <row r="37" spans="1:20">
      <c r="A37" s="43" t="s">
        <v>2</v>
      </c>
      <c r="B37" s="43">
        <v>44408</v>
      </c>
      <c r="C37" s="43">
        <v>44409</v>
      </c>
      <c r="D37" s="43"/>
      <c r="E37" s="43"/>
      <c r="F37" s="43"/>
      <c r="G37" s="43"/>
      <c r="H37" s="43"/>
      <c r="I37" s="43"/>
      <c r="J37" s="43"/>
      <c r="K37" s="43"/>
      <c r="L37" s="43"/>
      <c r="M37" s="43"/>
      <c r="N37" s="43"/>
      <c r="O37" s="43"/>
      <c r="P37" s="43"/>
      <c r="Q37" s="43"/>
      <c r="R37" s="43"/>
      <c r="T37" s="41"/>
    </row>
    <row r="38" spans="1:20">
      <c r="A38" s="43" t="s">
        <v>315</v>
      </c>
      <c r="B38" s="43">
        <v>44388</v>
      </c>
      <c r="C38" s="43">
        <v>44409</v>
      </c>
      <c r="D38" s="43"/>
      <c r="E38" s="43"/>
      <c r="F38" s="43"/>
      <c r="G38" s="43"/>
      <c r="H38" s="43"/>
      <c r="I38" s="43"/>
      <c r="J38" s="43"/>
      <c r="K38" s="43"/>
      <c r="L38" s="43"/>
      <c r="M38" s="43"/>
      <c r="N38" s="43"/>
      <c r="O38" s="43"/>
      <c r="P38" s="43"/>
      <c r="Q38" s="43"/>
      <c r="R38" s="43"/>
      <c r="T38" s="41"/>
    </row>
    <row r="39" spans="1:20">
      <c r="A39" s="43" t="s">
        <v>313</v>
      </c>
      <c r="B39" s="43">
        <v>44401</v>
      </c>
      <c r="C39" s="43">
        <v>44402</v>
      </c>
      <c r="D39" s="43"/>
      <c r="E39" s="43"/>
      <c r="F39" s="43"/>
      <c r="G39" s="43"/>
      <c r="H39" s="43"/>
      <c r="I39" s="43"/>
      <c r="J39" s="43"/>
      <c r="K39" s="43"/>
      <c r="L39" s="43"/>
      <c r="M39" s="43"/>
      <c r="N39" s="43"/>
      <c r="O39" s="43"/>
      <c r="P39" s="43"/>
      <c r="Q39" s="43"/>
      <c r="R39" s="43"/>
      <c r="T39" s="41"/>
    </row>
    <row r="40" spans="1:20">
      <c r="A40" s="43" t="s">
        <v>7</v>
      </c>
      <c r="B40" s="43">
        <v>44373</v>
      </c>
      <c r="C40" s="43"/>
      <c r="D40" s="43"/>
      <c r="E40" s="43"/>
      <c r="F40" s="43"/>
      <c r="G40" s="43"/>
      <c r="H40" s="43"/>
      <c r="I40" s="43"/>
      <c r="J40" s="43"/>
      <c r="K40" s="43"/>
      <c r="L40" s="43"/>
      <c r="M40" s="43"/>
      <c r="N40" s="43"/>
      <c r="O40" s="43"/>
      <c r="P40" s="43"/>
      <c r="Q40" s="43"/>
      <c r="R40" s="43"/>
    </row>
    <row r="41" spans="1:20">
      <c r="A41" s="43" t="s">
        <v>312</v>
      </c>
      <c r="B41" s="43">
        <v>44374</v>
      </c>
      <c r="C41" s="43">
        <v>44381</v>
      </c>
      <c r="D41" s="43">
        <v>44388</v>
      </c>
      <c r="E41" s="43">
        <v>44395</v>
      </c>
      <c r="F41" s="43">
        <v>44402</v>
      </c>
      <c r="G41" s="43">
        <v>44409</v>
      </c>
      <c r="H41" s="43">
        <v>44416</v>
      </c>
      <c r="I41" s="43">
        <v>44423</v>
      </c>
      <c r="J41" s="43"/>
      <c r="K41" s="43"/>
      <c r="L41" s="43"/>
      <c r="M41" s="43"/>
      <c r="N41" s="43"/>
      <c r="O41" s="43"/>
      <c r="P41" s="43"/>
      <c r="Q41" s="43"/>
      <c r="R41" s="43"/>
      <c r="T41" s="41"/>
    </row>
    <row r="42" spans="1:20">
      <c r="A42" s="43" t="s">
        <v>516</v>
      </c>
      <c r="B42" s="43">
        <v>44373</v>
      </c>
      <c r="C42" s="43">
        <v>44374</v>
      </c>
      <c r="D42" s="43">
        <v>44408</v>
      </c>
      <c r="E42" s="43">
        <v>44409</v>
      </c>
      <c r="F42" s="43"/>
      <c r="G42" s="43"/>
      <c r="H42" s="43"/>
      <c r="I42" s="43"/>
      <c r="J42" s="43"/>
      <c r="K42" s="43"/>
      <c r="L42" s="43"/>
      <c r="M42" s="43"/>
      <c r="N42" s="43"/>
      <c r="O42" s="43"/>
      <c r="P42" s="43"/>
      <c r="Q42" s="43"/>
      <c r="R42" s="43"/>
      <c r="T42" s="41"/>
    </row>
    <row r="43" spans="1:20">
      <c r="A43" s="43" t="s">
        <v>25</v>
      </c>
      <c r="B43" s="43">
        <v>44380</v>
      </c>
      <c r="C43" s="43">
        <v>44387</v>
      </c>
      <c r="D43" s="43">
        <v>44401</v>
      </c>
      <c r="E43" s="43">
        <v>44408</v>
      </c>
      <c r="F43" s="43"/>
      <c r="G43" s="43"/>
      <c r="H43" s="43"/>
      <c r="I43" s="43"/>
      <c r="J43" s="43"/>
      <c r="K43" s="43"/>
      <c r="L43" s="43"/>
      <c r="M43" s="43"/>
      <c r="N43" s="43"/>
      <c r="O43" s="43"/>
      <c r="P43" s="43"/>
      <c r="Q43" s="43"/>
      <c r="R43" s="43"/>
      <c r="T43" s="41"/>
    </row>
    <row r="44" spans="1:20">
      <c r="A44" s="40" t="s">
        <v>153</v>
      </c>
      <c r="B44" s="43">
        <v>44373</v>
      </c>
      <c r="C44" s="43">
        <v>44374</v>
      </c>
      <c r="D44" s="43">
        <v>44380</v>
      </c>
      <c r="E44" s="43">
        <v>44381</v>
      </c>
      <c r="F44" s="43"/>
      <c r="G44" s="43"/>
      <c r="H44" s="43"/>
      <c r="I44" s="43"/>
      <c r="J44" s="43"/>
      <c r="K44" s="43"/>
      <c r="L44" s="43"/>
      <c r="M44" s="43"/>
      <c r="N44" s="43"/>
      <c r="O44" s="43"/>
      <c r="P44" s="43"/>
      <c r="Q44" s="43"/>
      <c r="R44" s="43"/>
      <c r="T44" s="41"/>
    </row>
    <row r="45" spans="1:20">
      <c r="A45" s="43"/>
      <c r="B45" s="43"/>
      <c r="C45" s="43"/>
      <c r="D45" s="43"/>
      <c r="E45" s="43"/>
      <c r="F45" s="43"/>
      <c r="G45" s="43"/>
      <c r="H45" s="43"/>
      <c r="I45" s="43"/>
      <c r="J45" s="43"/>
      <c r="K45" s="43"/>
      <c r="L45" s="43"/>
      <c r="M45" s="43"/>
      <c r="N45" s="43"/>
      <c r="O45" s="43"/>
      <c r="P45" s="43"/>
      <c r="Q45" s="43"/>
      <c r="R45" s="43"/>
    </row>
    <row r="46" spans="1:20">
      <c r="A46" s="43"/>
      <c r="B46" s="43"/>
      <c r="C46" s="43"/>
      <c r="D46" s="43"/>
      <c r="E46" s="43"/>
      <c r="F46" s="43"/>
      <c r="G46" s="43"/>
      <c r="H46" s="43"/>
      <c r="I46" s="43"/>
      <c r="J46" s="43"/>
      <c r="K46" s="43"/>
      <c r="L46" s="43"/>
      <c r="M46" s="43"/>
      <c r="N46" s="43"/>
      <c r="O46" s="43"/>
      <c r="P46" s="43"/>
      <c r="Q46" s="43"/>
      <c r="R46" s="43"/>
      <c r="T46" s="41"/>
    </row>
    <row r="47" spans="1:20">
      <c r="A47" s="43"/>
      <c r="B47" s="43"/>
      <c r="C47" s="43"/>
      <c r="D47" s="43"/>
      <c r="E47" s="43"/>
      <c r="F47" s="43"/>
      <c r="G47" s="43"/>
      <c r="H47" s="43"/>
      <c r="I47" s="43"/>
      <c r="J47" s="43"/>
      <c r="K47" s="43"/>
      <c r="L47" s="43"/>
      <c r="M47" s="43"/>
      <c r="N47" s="43"/>
      <c r="O47" s="43"/>
      <c r="P47" s="43"/>
      <c r="Q47" s="43"/>
      <c r="R47" s="43"/>
      <c r="T47" s="41"/>
    </row>
    <row r="48" spans="1:20">
      <c r="A48" s="43"/>
      <c r="B48" s="43"/>
      <c r="C48" s="43"/>
      <c r="D48" s="43"/>
      <c r="E48" s="43"/>
      <c r="F48" s="43"/>
      <c r="G48" s="43"/>
      <c r="H48" s="43"/>
      <c r="I48" s="43"/>
      <c r="J48" s="43"/>
      <c r="K48" s="43"/>
      <c r="L48" s="43"/>
      <c r="M48" s="43"/>
      <c r="N48" s="43"/>
      <c r="O48" s="43"/>
      <c r="P48" s="43"/>
      <c r="Q48" s="43"/>
      <c r="R48" s="43"/>
      <c r="T48" s="41"/>
    </row>
    <row r="49" spans="1:18">
      <c r="A49" s="43"/>
      <c r="B49" s="43"/>
      <c r="C49" s="43"/>
      <c r="D49" s="43"/>
      <c r="E49" s="43"/>
      <c r="F49" s="43"/>
      <c r="G49" s="43"/>
      <c r="H49" s="43"/>
      <c r="I49" s="43"/>
      <c r="J49" s="43"/>
      <c r="K49" s="43"/>
      <c r="L49" s="43"/>
      <c r="M49" s="43"/>
      <c r="N49" s="43"/>
      <c r="O49" s="43"/>
      <c r="P49" s="43"/>
      <c r="Q49" s="43"/>
      <c r="R49" s="43"/>
    </row>
    <row r="50" spans="1:18">
      <c r="A50" s="43"/>
      <c r="B50" s="43"/>
      <c r="C50" s="43"/>
      <c r="D50" s="43"/>
      <c r="E50" s="43"/>
      <c r="F50" s="43"/>
      <c r="G50" s="43"/>
      <c r="H50" s="43"/>
      <c r="I50" s="43"/>
      <c r="J50" s="43"/>
      <c r="K50" s="43"/>
      <c r="L50" s="43"/>
      <c r="M50" s="43"/>
      <c r="N50" s="43"/>
      <c r="O50" s="43"/>
      <c r="P50" s="43"/>
      <c r="Q50" s="43"/>
      <c r="R50" s="43"/>
    </row>
    <row r="51" spans="1:18">
      <c r="A51" s="43"/>
      <c r="B51" s="43"/>
      <c r="C51" s="43"/>
      <c r="D51" s="43"/>
      <c r="E51" s="43"/>
      <c r="F51" s="43"/>
      <c r="G51" s="43"/>
      <c r="H51" s="43"/>
      <c r="I51" s="43"/>
      <c r="J51" s="43"/>
      <c r="K51" s="43"/>
      <c r="L51" s="43"/>
      <c r="M51" s="43"/>
      <c r="N51" s="43"/>
      <c r="O51" s="43"/>
      <c r="P51" s="43"/>
      <c r="Q51" s="43"/>
      <c r="R51" s="43"/>
    </row>
  </sheetData>
  <mergeCells count="2">
    <mergeCell ref="A1:R1"/>
    <mergeCell ref="Q35:R35"/>
  </mergeCells>
  <phoneticPr fontId="2"/>
  <pageMargins left="0.70866141732283472" right="0.70866141732283472" top="0" bottom="0" header="0.31496062992125984" footer="0.31496062992125984"/>
  <pageSetup paperSize="9" orientation="landscape" r:id="rId1"/>
  <drawing r:id="rId2"/>
  <legacyDrawing r:id="rId3"/>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81EF9-8A6E-4500-8C02-87443825C7AD}">
  <dimension ref="A1:AC51"/>
  <sheetViews>
    <sheetView topLeftCell="A4" zoomScaleNormal="100" workbookViewId="0">
      <selection sqref="A1:R1"/>
    </sheetView>
  </sheetViews>
  <sheetFormatPr defaultColWidth="9" defaultRowHeight="18.75"/>
  <cols>
    <col min="1" max="18" width="6.625" style="40" customWidth="1"/>
    <col min="19" max="19" width="3.625" style="40" customWidth="1"/>
    <col min="20" max="20" width="6.625" style="40" customWidth="1"/>
    <col min="21" max="21" width="3.625" style="40" customWidth="1"/>
    <col min="22" max="37" width="6.625" style="40" customWidth="1"/>
    <col min="38" max="38" width="3.625" style="40" customWidth="1"/>
    <col min="39" max="16384" width="9" style="40"/>
  </cols>
  <sheetData>
    <row r="1" spans="1:29">
      <c r="A1" s="147" t="s">
        <v>798</v>
      </c>
      <c r="B1" s="147"/>
      <c r="C1" s="147"/>
      <c r="D1" s="147"/>
      <c r="E1" s="147"/>
      <c r="F1" s="147"/>
      <c r="G1" s="147"/>
      <c r="H1" s="147"/>
      <c r="I1" s="147"/>
      <c r="J1" s="147"/>
      <c r="K1" s="147"/>
      <c r="L1" s="147"/>
      <c r="M1" s="147"/>
      <c r="N1" s="147"/>
      <c r="O1" s="147"/>
      <c r="P1" s="147"/>
      <c r="Q1" s="147"/>
      <c r="R1" s="147"/>
      <c r="X1" s="40" t="s">
        <v>779</v>
      </c>
    </row>
    <row r="2" spans="1:29" ht="16.5" customHeight="1">
      <c r="A2" s="26" t="s">
        <v>325</v>
      </c>
      <c r="B2" s="27">
        <v>44307</v>
      </c>
      <c r="C2" s="27">
        <v>44308</v>
      </c>
      <c r="D2" s="27">
        <v>44309</v>
      </c>
      <c r="E2" s="31">
        <v>44310</v>
      </c>
      <c r="F2" s="31">
        <v>44311</v>
      </c>
      <c r="G2" s="27">
        <v>44312</v>
      </c>
      <c r="H2" s="27">
        <v>44313</v>
      </c>
      <c r="I2" s="27">
        <v>44314</v>
      </c>
      <c r="J2" s="27">
        <v>44315</v>
      </c>
      <c r="K2" s="27">
        <v>44316</v>
      </c>
      <c r="L2" s="27"/>
      <c r="M2" s="23" t="s">
        <v>354</v>
      </c>
      <c r="N2" s="30">
        <v>44317</v>
      </c>
      <c r="O2" s="30">
        <v>44318</v>
      </c>
      <c r="P2" s="30">
        <v>44319</v>
      </c>
      <c r="Q2" s="30">
        <v>44320</v>
      </c>
      <c r="R2" s="30">
        <v>44321</v>
      </c>
      <c r="V2" s="40" t="s">
        <v>63</v>
      </c>
      <c r="X2" s="40" t="s">
        <v>64</v>
      </c>
      <c r="Z2" s="40" t="s">
        <v>65</v>
      </c>
      <c r="AB2" s="40" t="s">
        <v>169</v>
      </c>
    </row>
    <row r="3" spans="1:29" ht="16.5" customHeight="1">
      <c r="A3" s="28">
        <v>1</v>
      </c>
      <c r="B3" s="19"/>
      <c r="C3" s="19"/>
      <c r="D3" s="19"/>
      <c r="E3" s="19" t="s">
        <v>831</v>
      </c>
      <c r="F3" s="19" t="s">
        <v>829</v>
      </c>
      <c r="G3" s="19"/>
      <c r="H3" s="19"/>
      <c r="I3" s="19"/>
      <c r="J3" s="19"/>
      <c r="K3" s="19"/>
      <c r="L3" s="19"/>
      <c r="M3" s="36">
        <v>1</v>
      </c>
      <c r="N3" s="19"/>
      <c r="O3" s="19"/>
      <c r="P3" s="19"/>
      <c r="Q3" s="19"/>
      <c r="R3" s="19"/>
      <c r="V3" s="40" t="s">
        <v>25</v>
      </c>
      <c r="W3" s="40">
        <v>2</v>
      </c>
      <c r="X3" s="40" t="s">
        <v>45</v>
      </c>
      <c r="Y3" s="40">
        <v>2</v>
      </c>
      <c r="Z3" s="40" t="s">
        <v>34</v>
      </c>
      <c r="AB3" s="40" t="s">
        <v>153</v>
      </c>
      <c r="AC3" s="40">
        <v>5</v>
      </c>
    </row>
    <row r="4" spans="1:29" ht="16.5" customHeight="1">
      <c r="A4" s="28">
        <v>2</v>
      </c>
      <c r="B4" s="19"/>
      <c r="C4" s="19"/>
      <c r="D4" s="19"/>
      <c r="E4" s="19" t="s">
        <v>774</v>
      </c>
      <c r="F4" s="19" t="s">
        <v>314</v>
      </c>
      <c r="G4" s="19"/>
      <c r="H4" s="19"/>
      <c r="I4" s="19"/>
      <c r="J4" s="19"/>
      <c r="K4" s="19"/>
      <c r="L4" s="19"/>
      <c r="M4" s="36">
        <v>2</v>
      </c>
      <c r="N4" s="19"/>
      <c r="O4" s="19"/>
      <c r="P4" s="19"/>
      <c r="Q4" s="19"/>
      <c r="R4" s="19"/>
      <c r="T4" s="41"/>
      <c r="U4" s="41"/>
      <c r="V4" s="40" t="s">
        <v>2</v>
      </c>
      <c r="W4" s="40">
        <v>2</v>
      </c>
      <c r="X4" s="40" t="s">
        <v>14</v>
      </c>
      <c r="Y4" s="40">
        <v>2</v>
      </c>
      <c r="Z4" s="40" t="s">
        <v>38</v>
      </c>
      <c r="AB4" s="40" t="s">
        <v>26</v>
      </c>
      <c r="AC4" s="40">
        <v>3</v>
      </c>
    </row>
    <row r="5" spans="1:29" ht="16.5" customHeight="1">
      <c r="A5" s="28">
        <v>3</v>
      </c>
      <c r="B5" s="19"/>
      <c r="C5" s="19"/>
      <c r="D5" s="19"/>
      <c r="E5" s="19" t="s">
        <v>768</v>
      </c>
      <c r="F5" s="19" t="s">
        <v>768</v>
      </c>
      <c r="G5" s="19"/>
      <c r="H5" s="19"/>
      <c r="I5" s="19"/>
      <c r="J5" s="19"/>
      <c r="K5" s="19"/>
      <c r="L5" s="19"/>
      <c r="M5" s="36">
        <v>3</v>
      </c>
      <c r="N5" s="19"/>
      <c r="O5" s="19"/>
      <c r="P5" s="19"/>
      <c r="Q5" s="19"/>
      <c r="R5" s="19"/>
      <c r="T5" s="41"/>
      <c r="U5" s="41"/>
      <c r="V5" s="40" t="s">
        <v>14</v>
      </c>
      <c r="W5" s="40">
        <v>0</v>
      </c>
      <c r="X5" s="40" t="s">
        <v>6</v>
      </c>
      <c r="Y5" s="40">
        <v>1</v>
      </c>
      <c r="Z5" s="40" t="s">
        <v>249</v>
      </c>
      <c r="AB5" s="40" t="s">
        <v>6</v>
      </c>
      <c r="AC5" s="40">
        <v>8</v>
      </c>
    </row>
    <row r="6" spans="1:29" ht="16.5" customHeight="1">
      <c r="A6" s="28" t="s">
        <v>20</v>
      </c>
      <c r="B6" s="19" t="s">
        <v>799</v>
      </c>
      <c r="C6" s="19" t="s">
        <v>800</v>
      </c>
      <c r="D6" s="19" t="s">
        <v>800</v>
      </c>
      <c r="E6" s="19" t="s">
        <v>800</v>
      </c>
      <c r="F6" s="19" t="s">
        <v>800</v>
      </c>
      <c r="G6" s="19" t="s">
        <v>801</v>
      </c>
      <c r="H6" s="19" t="s">
        <v>800</v>
      </c>
      <c r="I6" s="19" t="s">
        <v>800</v>
      </c>
      <c r="J6" s="19" t="s">
        <v>800</v>
      </c>
      <c r="K6" s="19" t="s">
        <v>800</v>
      </c>
      <c r="L6" s="19"/>
      <c r="M6" s="36" t="s">
        <v>20</v>
      </c>
      <c r="N6" s="19"/>
      <c r="O6" s="19"/>
      <c r="P6" s="19"/>
      <c r="Q6" s="19"/>
      <c r="R6" s="19"/>
      <c r="T6" s="41"/>
      <c r="U6" s="41"/>
      <c r="V6" s="40" t="s">
        <v>7</v>
      </c>
      <c r="W6" s="40">
        <v>2</v>
      </c>
      <c r="X6" s="40" t="s">
        <v>23</v>
      </c>
      <c r="Y6" s="40">
        <v>3</v>
      </c>
      <c r="Z6" s="40" t="s">
        <v>10</v>
      </c>
      <c r="AB6" s="40" t="s">
        <v>152</v>
      </c>
      <c r="AC6" s="40">
        <v>7</v>
      </c>
    </row>
    <row r="7" spans="1:29" ht="16.5" customHeight="1">
      <c r="A7" s="28" t="s">
        <v>0</v>
      </c>
      <c r="B7" s="19"/>
      <c r="C7" s="19" t="s">
        <v>809</v>
      </c>
      <c r="D7" s="19" t="s">
        <v>13</v>
      </c>
      <c r="E7" s="19" t="s">
        <v>13</v>
      </c>
      <c r="F7" s="19"/>
      <c r="G7" s="19"/>
      <c r="H7" s="19"/>
      <c r="I7" s="19"/>
      <c r="J7" s="19" t="s">
        <v>809</v>
      </c>
      <c r="K7" s="19" t="s">
        <v>13</v>
      </c>
      <c r="L7" s="19"/>
      <c r="M7" s="36" t="s">
        <v>0</v>
      </c>
      <c r="N7" s="19"/>
      <c r="O7" s="19"/>
      <c r="P7" s="19"/>
      <c r="Q7" s="19"/>
      <c r="R7" s="19"/>
      <c r="T7" s="41"/>
      <c r="U7" s="41"/>
      <c r="V7" s="40" t="s">
        <v>21</v>
      </c>
      <c r="W7" s="40">
        <v>2</v>
      </c>
      <c r="X7" s="40" t="s">
        <v>153</v>
      </c>
      <c r="Y7" s="40">
        <v>2</v>
      </c>
      <c r="Z7" s="40" t="s">
        <v>36</v>
      </c>
      <c r="AB7" s="40" t="s">
        <v>23</v>
      </c>
      <c r="AC7" s="40">
        <v>2</v>
      </c>
    </row>
    <row r="8" spans="1:29" ht="16.5" customHeight="1">
      <c r="A8" s="28" t="s">
        <v>1</v>
      </c>
      <c r="B8" s="19" t="s">
        <v>810</v>
      </c>
      <c r="C8" s="19" t="s">
        <v>13</v>
      </c>
      <c r="D8" s="19"/>
      <c r="E8" s="19"/>
      <c r="F8" s="19" t="s">
        <v>811</v>
      </c>
      <c r="G8" s="19" t="s">
        <v>13</v>
      </c>
      <c r="H8" s="19" t="s">
        <v>13</v>
      </c>
      <c r="I8" s="19" t="s">
        <v>13</v>
      </c>
      <c r="J8" s="19" t="s">
        <v>13</v>
      </c>
      <c r="K8" s="19"/>
      <c r="L8" s="19"/>
      <c r="M8" s="36" t="s">
        <v>1</v>
      </c>
      <c r="N8" s="19"/>
      <c r="O8" s="19"/>
      <c r="P8" s="19"/>
      <c r="Q8" s="19"/>
      <c r="R8" s="19"/>
      <c r="T8" s="41"/>
      <c r="V8" s="40" t="s">
        <v>26</v>
      </c>
      <c r="W8" s="40">
        <v>2</v>
      </c>
      <c r="X8" s="40" t="s">
        <v>327</v>
      </c>
      <c r="Y8" s="40">
        <v>2</v>
      </c>
      <c r="Z8" s="40" t="s">
        <v>37</v>
      </c>
      <c r="AB8" s="40" t="s">
        <v>25</v>
      </c>
      <c r="AC8" s="40">
        <v>1</v>
      </c>
    </row>
    <row r="9" spans="1:29" ht="16.5" customHeight="1">
      <c r="A9" s="28" t="s">
        <v>366</v>
      </c>
      <c r="B9" s="19"/>
      <c r="C9" s="19"/>
      <c r="D9" s="19"/>
      <c r="E9" s="19"/>
      <c r="F9" s="19"/>
      <c r="G9" s="19"/>
      <c r="H9" s="19"/>
      <c r="I9" s="19"/>
      <c r="J9" s="19"/>
      <c r="K9" s="19"/>
      <c r="L9" s="19"/>
      <c r="M9" s="36" t="s">
        <v>366</v>
      </c>
      <c r="N9" s="19"/>
      <c r="O9" s="19"/>
      <c r="P9" s="19"/>
      <c r="Q9" s="19"/>
      <c r="R9" s="19"/>
      <c r="T9" s="41"/>
      <c r="V9" s="40" t="s">
        <v>27</v>
      </c>
      <c r="W9" s="40">
        <v>2</v>
      </c>
      <c r="X9" s="40" t="s">
        <v>28</v>
      </c>
      <c r="Y9" s="40">
        <v>1</v>
      </c>
      <c r="AB9" s="40" t="s">
        <v>327</v>
      </c>
      <c r="AC9" s="40">
        <v>4</v>
      </c>
    </row>
    <row r="10" spans="1:29" ht="16.5" customHeight="1">
      <c r="A10" s="23" t="s">
        <v>354</v>
      </c>
      <c r="B10" s="25">
        <v>44322</v>
      </c>
      <c r="C10" s="25">
        <v>44323</v>
      </c>
      <c r="D10" s="30">
        <v>44324</v>
      </c>
      <c r="E10" s="30">
        <v>44325</v>
      </c>
      <c r="F10" s="25">
        <v>44326</v>
      </c>
      <c r="G10" s="25">
        <v>44327</v>
      </c>
      <c r="H10" s="25">
        <v>44328</v>
      </c>
      <c r="I10" s="25">
        <v>44329</v>
      </c>
      <c r="J10" s="25">
        <v>44330</v>
      </c>
      <c r="K10" s="30">
        <v>44331</v>
      </c>
      <c r="L10" s="30">
        <v>44332</v>
      </c>
      <c r="M10" s="25">
        <v>44333</v>
      </c>
      <c r="N10" s="25">
        <v>44334</v>
      </c>
      <c r="O10" s="25">
        <v>44335</v>
      </c>
      <c r="P10" s="25">
        <v>44336</v>
      </c>
      <c r="Q10" s="19"/>
      <c r="R10" s="19"/>
      <c r="T10" s="41"/>
      <c r="V10" s="40" t="s">
        <v>533</v>
      </c>
      <c r="W10" s="40">
        <v>2</v>
      </c>
      <c r="X10" s="40" t="s">
        <v>152</v>
      </c>
      <c r="Y10" s="40">
        <v>2</v>
      </c>
      <c r="AB10" s="40" t="s">
        <v>516</v>
      </c>
      <c r="AC10" s="40">
        <v>6</v>
      </c>
    </row>
    <row r="11" spans="1:29" ht="16.5" customHeight="1">
      <c r="A11" s="36">
        <v>1</v>
      </c>
      <c r="B11" s="19"/>
      <c r="C11" s="19"/>
      <c r="D11" s="19" t="s">
        <v>830</v>
      </c>
      <c r="E11" s="19" t="s">
        <v>834</v>
      </c>
      <c r="F11" s="19"/>
      <c r="G11" s="19"/>
      <c r="H11" s="19"/>
      <c r="I11" s="19"/>
      <c r="J11" s="19"/>
      <c r="K11" s="19" t="s">
        <v>835</v>
      </c>
      <c r="L11" s="19" t="s">
        <v>832</v>
      </c>
      <c r="M11" s="19"/>
      <c r="N11" s="19"/>
      <c r="O11" s="19"/>
      <c r="P11" s="19"/>
      <c r="Q11" s="19"/>
      <c r="R11" s="19"/>
      <c r="T11" s="41"/>
      <c r="V11" s="40" t="s">
        <v>516</v>
      </c>
      <c r="W11" s="40">
        <v>3</v>
      </c>
      <c r="X11" s="40" t="s">
        <v>690</v>
      </c>
      <c r="Y11" s="40">
        <v>0</v>
      </c>
    </row>
    <row r="12" spans="1:29" ht="16.5" customHeight="1">
      <c r="A12" s="36">
        <v>2</v>
      </c>
      <c r="B12" s="19"/>
      <c r="C12" s="19"/>
      <c r="D12" s="19" t="s">
        <v>823</v>
      </c>
      <c r="E12" s="19" t="s">
        <v>822</v>
      </c>
      <c r="F12" s="19"/>
      <c r="G12" s="19"/>
      <c r="H12" s="19"/>
      <c r="I12" s="19"/>
      <c r="J12" s="19"/>
      <c r="K12" s="19" t="s">
        <v>824</v>
      </c>
      <c r="L12" s="19" t="s">
        <v>825</v>
      </c>
      <c r="M12" s="19"/>
      <c r="N12" s="19"/>
      <c r="O12" s="19"/>
      <c r="P12" s="19"/>
      <c r="Q12" s="19"/>
      <c r="R12" s="19"/>
      <c r="T12" s="41"/>
      <c r="X12" s="40" t="s">
        <v>796</v>
      </c>
      <c r="Y12" s="40">
        <v>2</v>
      </c>
    </row>
    <row r="13" spans="1:29" ht="16.5" customHeight="1">
      <c r="A13" s="36">
        <v>3</v>
      </c>
      <c r="B13" s="19"/>
      <c r="C13" s="19"/>
      <c r="D13" s="19" t="s">
        <v>768</v>
      </c>
      <c r="E13" s="19" t="s">
        <v>768</v>
      </c>
      <c r="F13" s="19"/>
      <c r="G13" s="19"/>
      <c r="H13" s="19"/>
      <c r="I13" s="19"/>
      <c r="J13" s="19"/>
      <c r="K13" s="19" t="s">
        <v>768</v>
      </c>
      <c r="L13" s="19" t="s">
        <v>768</v>
      </c>
      <c r="M13" s="19"/>
      <c r="N13" s="19"/>
      <c r="O13" s="19"/>
      <c r="P13" s="19"/>
      <c r="Q13" s="19"/>
      <c r="R13" s="19"/>
      <c r="T13" s="41"/>
    </row>
    <row r="14" spans="1:29" ht="16.5" customHeight="1">
      <c r="A14" s="36" t="s">
        <v>20</v>
      </c>
      <c r="B14" s="19" t="s">
        <v>802</v>
      </c>
      <c r="C14" s="19" t="s">
        <v>800</v>
      </c>
      <c r="D14" s="19" t="s">
        <v>800</v>
      </c>
      <c r="E14" s="19" t="s">
        <v>800</v>
      </c>
      <c r="F14" s="19" t="s">
        <v>803</v>
      </c>
      <c r="G14" s="19" t="s">
        <v>800</v>
      </c>
      <c r="H14" s="19" t="s">
        <v>800</v>
      </c>
      <c r="I14" s="19" t="s">
        <v>800</v>
      </c>
      <c r="J14" s="19" t="s">
        <v>800</v>
      </c>
      <c r="K14" s="19" t="s">
        <v>800</v>
      </c>
      <c r="L14" s="19" t="s">
        <v>800</v>
      </c>
      <c r="M14" s="19" t="s">
        <v>805</v>
      </c>
      <c r="N14" s="19" t="s">
        <v>806</v>
      </c>
      <c r="O14" s="19" t="s">
        <v>806</v>
      </c>
      <c r="P14" s="19" t="s">
        <v>806</v>
      </c>
      <c r="Q14" s="19"/>
      <c r="R14" s="19"/>
      <c r="T14" s="41"/>
    </row>
    <row r="15" spans="1:29" ht="16.5" customHeight="1">
      <c r="A15" s="36" t="s">
        <v>0</v>
      </c>
      <c r="B15" s="19" t="s">
        <v>809</v>
      </c>
      <c r="C15" s="19" t="s">
        <v>13</v>
      </c>
      <c r="D15" s="19" t="s">
        <v>13</v>
      </c>
      <c r="E15" s="19"/>
      <c r="F15" s="19"/>
      <c r="G15" s="19"/>
      <c r="H15" s="19"/>
      <c r="I15" s="19" t="s">
        <v>809</v>
      </c>
      <c r="J15" s="19" t="s">
        <v>13</v>
      </c>
      <c r="K15" s="19" t="s">
        <v>13</v>
      </c>
      <c r="L15" s="19"/>
      <c r="M15" s="19"/>
      <c r="N15" s="19"/>
      <c r="O15" s="19"/>
      <c r="P15" s="19" t="s">
        <v>809</v>
      </c>
      <c r="Q15" s="19"/>
      <c r="R15" s="19"/>
      <c r="T15" s="41"/>
      <c r="V15" s="40" t="s">
        <v>780</v>
      </c>
      <c r="W15" s="40">
        <f>SUM(W2:W14)</f>
        <v>17</v>
      </c>
      <c r="Y15" s="40">
        <f>SUM(Y2:Y14)</f>
        <v>17</v>
      </c>
      <c r="AA15" s="40">
        <f>SUM(AA2:AA14)</f>
        <v>0</v>
      </c>
    </row>
    <row r="16" spans="1:29" ht="16.5" customHeight="1">
      <c r="A16" s="36" t="s">
        <v>1</v>
      </c>
      <c r="B16" s="19" t="s">
        <v>810</v>
      </c>
      <c r="C16" s="19"/>
      <c r="D16" s="19"/>
      <c r="E16" s="19" t="s">
        <v>811</v>
      </c>
      <c r="F16" s="19" t="s">
        <v>13</v>
      </c>
      <c r="G16" s="19" t="s">
        <v>13</v>
      </c>
      <c r="H16" s="19" t="s">
        <v>13</v>
      </c>
      <c r="I16" s="19" t="s">
        <v>13</v>
      </c>
      <c r="J16" s="19"/>
      <c r="K16" s="19"/>
      <c r="L16" s="19" t="s">
        <v>810</v>
      </c>
      <c r="M16" s="19" t="s">
        <v>812</v>
      </c>
      <c r="N16" s="19" t="s">
        <v>812</v>
      </c>
      <c r="O16" s="19" t="s">
        <v>812</v>
      </c>
      <c r="P16" s="19" t="s">
        <v>812</v>
      </c>
      <c r="Q16" s="19"/>
      <c r="R16" s="19"/>
      <c r="T16" s="41"/>
    </row>
    <row r="17" spans="1:29" ht="16.5" customHeight="1">
      <c r="A17" s="36" t="s">
        <v>366</v>
      </c>
      <c r="B17" s="19"/>
      <c r="C17" s="19"/>
      <c r="D17" s="19"/>
      <c r="E17" s="19"/>
      <c r="F17" s="19"/>
      <c r="G17" s="19"/>
      <c r="H17" s="19"/>
      <c r="I17" s="19"/>
      <c r="J17" s="19"/>
      <c r="K17" s="19"/>
      <c r="L17" s="19"/>
      <c r="M17" s="19"/>
      <c r="N17" s="19"/>
      <c r="O17" s="19"/>
      <c r="P17" s="19"/>
      <c r="Q17" s="19"/>
      <c r="R17" s="19"/>
      <c r="T17" s="41"/>
    </row>
    <row r="18" spans="1:29" ht="11.25" customHeight="1">
      <c r="A18" s="42"/>
      <c r="B18" s="37"/>
      <c r="C18" s="37"/>
      <c r="D18" s="37"/>
      <c r="E18" s="37"/>
      <c r="F18" s="37"/>
      <c r="G18" s="37"/>
      <c r="H18" s="38"/>
      <c r="I18" s="38"/>
      <c r="J18" s="38"/>
      <c r="K18" s="38"/>
      <c r="L18" s="38"/>
      <c r="M18" s="38"/>
      <c r="N18" s="38"/>
      <c r="O18" s="38"/>
      <c r="P18" s="37"/>
      <c r="Q18" s="37"/>
      <c r="R18" s="39"/>
      <c r="T18" s="41"/>
      <c r="X18" s="40" t="s">
        <v>116</v>
      </c>
    </row>
    <row r="19" spans="1:29" ht="16.5" customHeight="1">
      <c r="A19" s="23" t="s">
        <v>354</v>
      </c>
      <c r="B19" s="25">
        <v>44337</v>
      </c>
      <c r="C19" s="30">
        <v>44338</v>
      </c>
      <c r="D19" s="30">
        <v>44339</v>
      </c>
      <c r="E19" s="25">
        <v>44340</v>
      </c>
      <c r="F19" s="25">
        <v>44341</v>
      </c>
      <c r="G19" s="25">
        <v>44342</v>
      </c>
      <c r="H19" s="25">
        <v>44343</v>
      </c>
      <c r="I19" s="25">
        <v>44344</v>
      </c>
      <c r="J19" s="30">
        <v>44345</v>
      </c>
      <c r="K19" s="30">
        <v>44346</v>
      </c>
      <c r="L19" s="25">
        <v>44347</v>
      </c>
      <c r="M19" s="26" t="s">
        <v>355</v>
      </c>
      <c r="N19" s="27">
        <v>44348</v>
      </c>
      <c r="O19" s="27">
        <v>44349</v>
      </c>
      <c r="P19" s="27">
        <v>44350</v>
      </c>
      <c r="Q19" s="27">
        <v>44351</v>
      </c>
      <c r="R19" s="31">
        <v>44352</v>
      </c>
      <c r="T19" s="41"/>
      <c r="V19" s="40" t="s">
        <v>63</v>
      </c>
      <c r="X19" s="40" t="s">
        <v>64</v>
      </c>
      <c r="Z19" s="40" t="s">
        <v>65</v>
      </c>
      <c r="AB19" s="40" t="s">
        <v>169</v>
      </c>
    </row>
    <row r="20" spans="1:29" ht="16.5" customHeight="1">
      <c r="A20" s="36">
        <v>1</v>
      </c>
      <c r="B20" s="19"/>
      <c r="C20" s="19" t="s">
        <v>833</v>
      </c>
      <c r="D20" s="19" t="s">
        <v>836</v>
      </c>
      <c r="E20" s="19"/>
      <c r="F20" s="19"/>
      <c r="G20" s="19"/>
      <c r="H20" s="19"/>
      <c r="I20" s="19"/>
      <c r="J20" s="19" t="s">
        <v>831</v>
      </c>
      <c r="K20" s="19" t="s">
        <v>829</v>
      </c>
      <c r="L20" s="19"/>
      <c r="M20" s="28">
        <v>1</v>
      </c>
      <c r="N20" s="19"/>
      <c r="O20" s="19"/>
      <c r="P20" s="19"/>
      <c r="Q20" s="19"/>
      <c r="R20" s="19" t="s">
        <v>830</v>
      </c>
      <c r="T20" s="41"/>
      <c r="V20" s="40" t="s">
        <v>25</v>
      </c>
      <c r="W20" s="40">
        <v>2</v>
      </c>
      <c r="X20" s="40" t="s">
        <v>45</v>
      </c>
      <c r="Y20" s="40">
        <v>2</v>
      </c>
      <c r="Z20" s="40" t="s">
        <v>34</v>
      </c>
      <c r="AB20" s="40" t="s">
        <v>153</v>
      </c>
      <c r="AC20" s="40">
        <v>5</v>
      </c>
    </row>
    <row r="21" spans="1:29" ht="16.5" customHeight="1">
      <c r="A21" s="36">
        <v>2</v>
      </c>
      <c r="B21" s="19"/>
      <c r="C21" s="19" t="s">
        <v>826</v>
      </c>
      <c r="D21" s="19" t="s">
        <v>827</v>
      </c>
      <c r="E21" s="19"/>
      <c r="F21" s="19"/>
      <c r="G21" s="19"/>
      <c r="H21" s="19"/>
      <c r="I21" s="19"/>
      <c r="J21" s="19" t="s">
        <v>820</v>
      </c>
      <c r="K21" s="19" t="s">
        <v>823</v>
      </c>
      <c r="L21" s="19"/>
      <c r="M21" s="28">
        <v>2</v>
      </c>
      <c r="N21" s="19"/>
      <c r="O21" s="19"/>
      <c r="P21" s="19"/>
      <c r="Q21" s="19"/>
      <c r="R21" s="19" t="s">
        <v>822</v>
      </c>
      <c r="T21" s="41"/>
      <c r="V21" s="40" t="s">
        <v>2</v>
      </c>
      <c r="W21" s="40">
        <v>2</v>
      </c>
      <c r="X21" s="40" t="s">
        <v>14</v>
      </c>
      <c r="Y21" s="40">
        <v>2</v>
      </c>
      <c r="Z21" s="40" t="s">
        <v>38</v>
      </c>
      <c r="AB21" s="40" t="s">
        <v>26</v>
      </c>
      <c r="AC21" s="40">
        <v>3</v>
      </c>
    </row>
    <row r="22" spans="1:29" ht="16.5" customHeight="1">
      <c r="A22" s="36">
        <v>3</v>
      </c>
      <c r="B22" s="19"/>
      <c r="C22" s="19" t="s">
        <v>768</v>
      </c>
      <c r="D22" s="19" t="s">
        <v>768</v>
      </c>
      <c r="E22" s="19"/>
      <c r="F22" s="19"/>
      <c r="G22" s="19"/>
      <c r="H22" s="19"/>
      <c r="I22" s="19"/>
      <c r="J22" s="19" t="s">
        <v>768</v>
      </c>
      <c r="K22" s="19" t="s">
        <v>768</v>
      </c>
      <c r="L22" s="19"/>
      <c r="M22" s="28">
        <v>3</v>
      </c>
      <c r="N22" s="19"/>
      <c r="O22" s="19"/>
      <c r="P22" s="19"/>
      <c r="Q22" s="19"/>
      <c r="R22" s="19" t="s">
        <v>768</v>
      </c>
      <c r="T22" s="41"/>
      <c r="V22" s="40" t="s">
        <v>14</v>
      </c>
      <c r="W22" s="40">
        <v>0</v>
      </c>
      <c r="X22" s="40" t="s">
        <v>6</v>
      </c>
      <c r="Y22" s="40">
        <v>2</v>
      </c>
      <c r="Z22" s="40" t="s">
        <v>249</v>
      </c>
      <c r="AB22" s="40" t="s">
        <v>6</v>
      </c>
      <c r="AC22" s="40">
        <v>8</v>
      </c>
    </row>
    <row r="23" spans="1:29" ht="16.5" customHeight="1">
      <c r="A23" s="36" t="s">
        <v>20</v>
      </c>
      <c r="B23" s="19" t="s">
        <v>805</v>
      </c>
      <c r="C23" s="19" t="s">
        <v>806</v>
      </c>
      <c r="D23" s="19" t="s">
        <v>806</v>
      </c>
      <c r="E23" s="19" t="s">
        <v>807</v>
      </c>
      <c r="F23" s="19" t="s">
        <v>806</v>
      </c>
      <c r="G23" s="19" t="s">
        <v>806</v>
      </c>
      <c r="H23" s="19" t="s">
        <v>806</v>
      </c>
      <c r="I23" s="19" t="s">
        <v>806</v>
      </c>
      <c r="J23" s="19" t="s">
        <v>806</v>
      </c>
      <c r="K23" s="19" t="s">
        <v>806</v>
      </c>
      <c r="L23" s="19" t="s">
        <v>808</v>
      </c>
      <c r="M23" s="28" t="s">
        <v>20</v>
      </c>
      <c r="N23" s="19" t="s">
        <v>808</v>
      </c>
      <c r="O23" s="19" t="s">
        <v>806</v>
      </c>
      <c r="P23" s="19" t="s">
        <v>806</v>
      </c>
      <c r="Q23" s="19" t="s">
        <v>806</v>
      </c>
      <c r="R23" s="19" t="s">
        <v>806</v>
      </c>
      <c r="T23" s="41"/>
      <c r="V23" s="40" t="s">
        <v>7</v>
      </c>
      <c r="W23" s="40">
        <v>2</v>
      </c>
      <c r="X23" s="40" t="s">
        <v>23</v>
      </c>
      <c r="Y23" s="40">
        <v>2</v>
      </c>
      <c r="Z23" s="40" t="s">
        <v>10</v>
      </c>
      <c r="AB23" s="40" t="s">
        <v>152</v>
      </c>
      <c r="AC23" s="40">
        <v>7</v>
      </c>
    </row>
    <row r="24" spans="1:29" ht="16.5" customHeight="1">
      <c r="A24" s="36" t="s">
        <v>0</v>
      </c>
      <c r="B24" s="19" t="s">
        <v>809</v>
      </c>
      <c r="C24" s="19" t="s">
        <v>13</v>
      </c>
      <c r="D24" s="19"/>
      <c r="E24" s="19"/>
      <c r="F24" s="19"/>
      <c r="G24" s="19"/>
      <c r="H24" s="19" t="s">
        <v>809</v>
      </c>
      <c r="I24" s="19" t="s">
        <v>13</v>
      </c>
      <c r="J24" s="19" t="s">
        <v>13</v>
      </c>
      <c r="K24" s="19"/>
      <c r="L24" s="19"/>
      <c r="M24" s="28" t="s">
        <v>0</v>
      </c>
      <c r="N24" s="19"/>
      <c r="O24" s="19"/>
      <c r="P24" s="19" t="s">
        <v>809</v>
      </c>
      <c r="Q24" s="19" t="s">
        <v>13</v>
      </c>
      <c r="R24" s="19" t="s">
        <v>13</v>
      </c>
      <c r="T24" s="41"/>
      <c r="V24" s="40" t="s">
        <v>21</v>
      </c>
      <c r="W24" s="40">
        <v>2</v>
      </c>
      <c r="X24" s="40" t="s">
        <v>153</v>
      </c>
      <c r="Y24" s="40">
        <v>1</v>
      </c>
      <c r="Z24" s="40" t="s">
        <v>36</v>
      </c>
      <c r="AB24" s="40" t="s">
        <v>23</v>
      </c>
      <c r="AC24" s="40">
        <v>2</v>
      </c>
    </row>
    <row r="25" spans="1:29" ht="16.5" customHeight="1">
      <c r="A25" s="36" t="s">
        <v>1</v>
      </c>
      <c r="B25" s="19"/>
      <c r="C25" s="19"/>
      <c r="D25" s="19" t="s">
        <v>811</v>
      </c>
      <c r="E25" s="19" t="s">
        <v>13</v>
      </c>
      <c r="F25" s="19" t="s">
        <v>13</v>
      </c>
      <c r="G25" s="19" t="s">
        <v>13</v>
      </c>
      <c r="H25" s="19" t="s">
        <v>13</v>
      </c>
      <c r="I25" s="19"/>
      <c r="J25" s="19"/>
      <c r="K25" s="19" t="s">
        <v>810</v>
      </c>
      <c r="L25" s="19" t="s">
        <v>13</v>
      </c>
      <c r="M25" s="28" t="s">
        <v>1</v>
      </c>
      <c r="N25" s="19" t="s">
        <v>810</v>
      </c>
      <c r="O25" s="19" t="s">
        <v>13</v>
      </c>
      <c r="P25" s="19" t="s">
        <v>13</v>
      </c>
      <c r="Q25" s="19"/>
      <c r="R25" s="19"/>
      <c r="T25" s="41"/>
      <c r="V25" s="40" t="s">
        <v>26</v>
      </c>
      <c r="W25" s="40">
        <v>2</v>
      </c>
      <c r="X25" s="40" t="s">
        <v>327</v>
      </c>
      <c r="Y25" s="40">
        <v>2</v>
      </c>
      <c r="Z25" s="40" t="s">
        <v>37</v>
      </c>
      <c r="AB25" s="40" t="s">
        <v>25</v>
      </c>
      <c r="AC25" s="40" t="s">
        <v>837</v>
      </c>
    </row>
    <row r="26" spans="1:29" ht="16.5" customHeight="1">
      <c r="A26" s="36" t="s">
        <v>366</v>
      </c>
      <c r="B26" s="19"/>
      <c r="C26" s="19"/>
      <c r="D26" s="19"/>
      <c r="E26" s="19"/>
      <c r="F26" s="19"/>
      <c r="G26" s="19"/>
      <c r="H26" s="19"/>
      <c r="I26" s="19"/>
      <c r="J26" s="19"/>
      <c r="K26" s="19"/>
      <c r="L26" s="19"/>
      <c r="M26" s="28" t="s">
        <v>366</v>
      </c>
      <c r="N26" s="19"/>
      <c r="O26" s="19"/>
      <c r="P26" s="19"/>
      <c r="Q26" s="19"/>
      <c r="R26" s="19"/>
      <c r="T26" s="41"/>
      <c r="V26" s="40" t="s">
        <v>27</v>
      </c>
      <c r="W26" s="40">
        <v>2</v>
      </c>
      <c r="X26" s="40" t="s">
        <v>28</v>
      </c>
      <c r="Y26" s="40">
        <v>2</v>
      </c>
      <c r="AB26" s="40" t="s">
        <v>327</v>
      </c>
      <c r="AC26" s="40">
        <v>4</v>
      </c>
    </row>
    <row r="27" spans="1:29" ht="16.5" customHeight="1">
      <c r="A27" s="26" t="s">
        <v>355</v>
      </c>
      <c r="B27" s="31">
        <v>44353</v>
      </c>
      <c r="C27" s="27">
        <v>44354</v>
      </c>
      <c r="D27" s="27">
        <v>44355</v>
      </c>
      <c r="E27" s="27">
        <v>44356</v>
      </c>
      <c r="F27" s="27">
        <v>44357</v>
      </c>
      <c r="G27" s="27">
        <v>44358</v>
      </c>
      <c r="H27" s="31">
        <v>44359</v>
      </c>
      <c r="I27" s="31">
        <v>44360</v>
      </c>
      <c r="J27" s="27">
        <v>44361</v>
      </c>
      <c r="K27" s="27">
        <v>44362</v>
      </c>
      <c r="L27" s="27">
        <v>44363</v>
      </c>
      <c r="M27" s="27">
        <v>44364</v>
      </c>
      <c r="N27" s="27">
        <v>44365</v>
      </c>
      <c r="O27" s="31">
        <v>44366</v>
      </c>
      <c r="P27" s="31">
        <v>44367</v>
      </c>
      <c r="Q27" s="19"/>
      <c r="R27" s="19"/>
      <c r="T27" s="41"/>
      <c r="V27" s="40" t="s">
        <v>533</v>
      </c>
      <c r="W27" s="40">
        <v>2</v>
      </c>
      <c r="X27" s="40" t="s">
        <v>152</v>
      </c>
      <c r="Y27" s="40">
        <v>2</v>
      </c>
      <c r="AB27" s="40" t="s">
        <v>516</v>
      </c>
      <c r="AC27" s="40">
        <v>6</v>
      </c>
    </row>
    <row r="28" spans="1:29" ht="16.5" customHeight="1">
      <c r="A28" s="28">
        <v>1</v>
      </c>
      <c r="B28" s="19" t="s">
        <v>834</v>
      </c>
      <c r="C28" s="19"/>
      <c r="D28" s="19"/>
      <c r="E28" s="19"/>
      <c r="F28" s="19"/>
      <c r="G28" s="19"/>
      <c r="H28" s="19" t="s">
        <v>832</v>
      </c>
      <c r="I28" s="19" t="s">
        <v>835</v>
      </c>
      <c r="J28" s="19"/>
      <c r="K28" s="19"/>
      <c r="L28" s="19"/>
      <c r="M28" s="19"/>
      <c r="N28" s="19"/>
      <c r="O28" s="19" t="s">
        <v>836</v>
      </c>
      <c r="P28" s="19" t="s">
        <v>833</v>
      </c>
      <c r="Q28" s="19"/>
      <c r="R28" s="19"/>
      <c r="T28" s="41"/>
      <c r="V28" s="40" t="s">
        <v>516</v>
      </c>
      <c r="W28" s="40">
        <v>2</v>
      </c>
      <c r="X28" s="40" t="s">
        <v>690</v>
      </c>
      <c r="Y28" s="40">
        <v>0</v>
      </c>
    </row>
    <row r="29" spans="1:29" ht="16.5" customHeight="1">
      <c r="A29" s="28">
        <v>2</v>
      </c>
      <c r="B29" s="19" t="s">
        <v>828</v>
      </c>
      <c r="C29" s="19"/>
      <c r="D29" s="19"/>
      <c r="E29" s="19"/>
      <c r="F29" s="19"/>
      <c r="G29" s="19"/>
      <c r="H29" s="19" t="s">
        <v>825</v>
      </c>
      <c r="I29" s="19" t="s">
        <v>824</v>
      </c>
      <c r="J29" s="19"/>
      <c r="K29" s="19"/>
      <c r="L29" s="19"/>
      <c r="M29" s="19"/>
      <c r="N29" s="19"/>
      <c r="O29" s="19" t="s">
        <v>826</v>
      </c>
      <c r="P29" s="19" t="s">
        <v>821</v>
      </c>
      <c r="Q29" s="19"/>
      <c r="R29" s="19"/>
      <c r="T29" s="41"/>
      <c r="X29" s="40" t="s">
        <v>796</v>
      </c>
      <c r="Y29" s="40">
        <v>1</v>
      </c>
    </row>
    <row r="30" spans="1:29" ht="16.5" customHeight="1">
      <c r="A30" s="28">
        <v>3</v>
      </c>
      <c r="B30" s="19" t="s">
        <v>768</v>
      </c>
      <c r="C30" s="19"/>
      <c r="D30" s="19"/>
      <c r="E30" s="19"/>
      <c r="F30" s="19"/>
      <c r="G30" s="19"/>
      <c r="H30" s="19" t="s">
        <v>768</v>
      </c>
      <c r="I30" s="19" t="s">
        <v>768</v>
      </c>
      <c r="J30" s="19"/>
      <c r="K30" s="19"/>
      <c r="L30" s="19"/>
      <c r="M30" s="19"/>
      <c r="N30" s="19"/>
      <c r="O30" s="19" t="s">
        <v>768</v>
      </c>
      <c r="P30" s="19" t="s">
        <v>768</v>
      </c>
      <c r="Q30" s="19"/>
      <c r="R30" s="19"/>
      <c r="T30" s="41"/>
    </row>
    <row r="31" spans="1:29" ht="16.5" customHeight="1">
      <c r="A31" s="28" t="s">
        <v>20</v>
      </c>
      <c r="B31" s="19" t="s">
        <v>808</v>
      </c>
      <c r="C31" s="19" t="s">
        <v>6</v>
      </c>
      <c r="D31" s="19" t="s">
        <v>806</v>
      </c>
      <c r="E31" s="19" t="s">
        <v>806</v>
      </c>
      <c r="F31" s="19" t="s">
        <v>806</v>
      </c>
      <c r="G31" s="19" t="s">
        <v>806</v>
      </c>
      <c r="H31" s="19" t="s">
        <v>806</v>
      </c>
      <c r="I31" s="19" t="s">
        <v>806</v>
      </c>
      <c r="J31" s="19" t="s">
        <v>25</v>
      </c>
      <c r="K31" s="19" t="s">
        <v>806</v>
      </c>
      <c r="L31" s="19" t="s">
        <v>806</v>
      </c>
      <c r="M31" s="19" t="s">
        <v>806</v>
      </c>
      <c r="N31" s="19" t="s">
        <v>806</v>
      </c>
      <c r="O31" s="19" t="s">
        <v>806</v>
      </c>
      <c r="P31" s="19" t="s">
        <v>806</v>
      </c>
      <c r="Q31" s="19"/>
      <c r="R31" s="19"/>
      <c r="T31" s="41"/>
    </row>
    <row r="32" spans="1:29" ht="16.5" customHeight="1">
      <c r="A32" s="28" t="s">
        <v>0</v>
      </c>
      <c r="B32" s="19"/>
      <c r="C32" s="19"/>
      <c r="D32" s="19"/>
      <c r="E32" s="19"/>
      <c r="F32" s="19" t="s">
        <v>809</v>
      </c>
      <c r="G32" s="19" t="s">
        <v>13</v>
      </c>
      <c r="H32" s="19" t="s">
        <v>13</v>
      </c>
      <c r="I32" s="19"/>
      <c r="J32" s="19"/>
      <c r="K32" s="19"/>
      <c r="L32" s="19"/>
      <c r="M32" s="19" t="s">
        <v>809</v>
      </c>
      <c r="N32" s="19" t="s">
        <v>13</v>
      </c>
      <c r="O32" s="19" t="s">
        <v>13</v>
      </c>
      <c r="P32" s="19"/>
      <c r="Q32" s="19"/>
      <c r="R32" s="19"/>
      <c r="T32" s="41"/>
      <c r="V32" s="40" t="s">
        <v>696</v>
      </c>
      <c r="W32" s="40">
        <f>SUM(W19:W31)</f>
        <v>16</v>
      </c>
      <c r="Y32" s="40">
        <f>SUM(Y19:Y31)</f>
        <v>16</v>
      </c>
      <c r="AA32" s="40">
        <f>SUM(AA19:AA31)</f>
        <v>0</v>
      </c>
    </row>
    <row r="33" spans="1:20" ht="16.5" customHeight="1">
      <c r="A33" s="28" t="s">
        <v>1</v>
      </c>
      <c r="B33" s="19" t="s">
        <v>811</v>
      </c>
      <c r="C33" s="19" t="s">
        <v>13</v>
      </c>
      <c r="D33" s="19" t="s">
        <v>13</v>
      </c>
      <c r="E33" s="19" t="s">
        <v>13</v>
      </c>
      <c r="F33" s="19" t="s">
        <v>13</v>
      </c>
      <c r="G33" s="19"/>
      <c r="H33" s="19"/>
      <c r="I33" s="19" t="s">
        <v>810</v>
      </c>
      <c r="J33" s="19" t="s">
        <v>13</v>
      </c>
      <c r="K33" s="19" t="s">
        <v>13</v>
      </c>
      <c r="L33" s="19" t="s">
        <v>13</v>
      </c>
      <c r="M33" s="19" t="s">
        <v>13</v>
      </c>
      <c r="N33" s="19"/>
      <c r="O33" s="19"/>
      <c r="P33" s="19" t="s">
        <v>811</v>
      </c>
      <c r="Q33" s="19"/>
      <c r="R33" s="19"/>
    </row>
    <row r="34" spans="1:20" ht="16.5" customHeight="1">
      <c r="A34" s="28" t="s">
        <v>366</v>
      </c>
      <c r="B34" s="19"/>
      <c r="C34" s="19"/>
      <c r="D34" s="19"/>
      <c r="E34" s="19"/>
      <c r="F34" s="19"/>
      <c r="G34" s="19"/>
      <c r="H34" s="19"/>
      <c r="I34" s="19"/>
      <c r="J34" s="19"/>
      <c r="K34" s="19"/>
      <c r="L34" s="19"/>
      <c r="M34" s="19"/>
      <c r="N34" s="19"/>
      <c r="O34" s="19"/>
      <c r="P34" s="19"/>
      <c r="Q34" s="19"/>
      <c r="R34" s="19"/>
    </row>
    <row r="35" spans="1:20" ht="12.75" customHeight="1">
      <c r="Q35" s="145" t="s">
        <v>82</v>
      </c>
      <c r="R35" s="145"/>
      <c r="T35" s="41"/>
    </row>
    <row r="36" spans="1:20">
      <c r="A36" s="40" t="s">
        <v>322</v>
      </c>
      <c r="H36" s="43"/>
      <c r="T36" s="41"/>
    </row>
    <row r="37" spans="1:20">
      <c r="A37" s="43" t="s">
        <v>813</v>
      </c>
      <c r="B37" s="43">
        <v>44310</v>
      </c>
      <c r="C37" s="43">
        <v>44324</v>
      </c>
      <c r="D37" s="43">
        <v>44331</v>
      </c>
      <c r="E37" s="43"/>
      <c r="F37" s="43"/>
      <c r="G37" s="43"/>
      <c r="H37" s="43"/>
      <c r="I37" s="43"/>
      <c r="J37" s="43"/>
      <c r="K37" s="43"/>
      <c r="L37" s="43"/>
      <c r="M37" s="43"/>
      <c r="N37" s="43"/>
      <c r="O37" s="43"/>
      <c r="P37" s="43"/>
      <c r="Q37" s="43"/>
      <c r="R37" s="43"/>
      <c r="T37" s="41"/>
    </row>
    <row r="38" spans="1:20">
      <c r="A38" s="43" t="s">
        <v>814</v>
      </c>
      <c r="B38" s="43">
        <v>44317</v>
      </c>
      <c r="C38" s="43">
        <v>44318</v>
      </c>
      <c r="D38" s="43">
        <v>44319</v>
      </c>
      <c r="E38" s="43">
        <v>44320</v>
      </c>
      <c r="F38" s="43"/>
      <c r="G38" s="43"/>
      <c r="H38" s="43"/>
      <c r="I38" s="43"/>
      <c r="J38" s="43"/>
      <c r="K38" s="43"/>
      <c r="L38" s="43"/>
      <c r="M38" s="43"/>
      <c r="N38" s="43"/>
      <c r="O38" s="43"/>
      <c r="P38" s="43"/>
      <c r="Q38" s="43"/>
      <c r="R38" s="43"/>
      <c r="T38" s="41"/>
    </row>
    <row r="39" spans="1:20">
      <c r="A39" s="43" t="s">
        <v>313</v>
      </c>
      <c r="B39" s="43">
        <v>44324</v>
      </c>
      <c r="C39" s="43">
        <v>44325</v>
      </c>
      <c r="D39" s="43">
        <v>44332</v>
      </c>
      <c r="E39" s="43">
        <v>44346</v>
      </c>
      <c r="F39" s="43"/>
      <c r="G39" s="43"/>
      <c r="H39" s="43"/>
      <c r="I39" s="43"/>
      <c r="J39" s="43"/>
      <c r="K39" s="43"/>
      <c r="L39" s="43"/>
      <c r="M39" s="43"/>
      <c r="N39" s="43"/>
      <c r="O39" s="43"/>
      <c r="P39" s="43"/>
      <c r="Q39" s="43"/>
      <c r="R39" s="43"/>
      <c r="T39" s="41"/>
    </row>
    <row r="40" spans="1:20">
      <c r="A40" s="43" t="s">
        <v>774</v>
      </c>
      <c r="B40" s="43">
        <v>44317</v>
      </c>
      <c r="C40" s="43">
        <v>44318</v>
      </c>
      <c r="D40" s="43">
        <v>44324</v>
      </c>
      <c r="E40" s="43">
        <v>44325</v>
      </c>
      <c r="F40" s="43" t="s">
        <v>804</v>
      </c>
      <c r="G40" s="43"/>
      <c r="H40" s="43"/>
      <c r="I40" s="43"/>
      <c r="J40" s="43"/>
      <c r="K40" s="43"/>
      <c r="L40" s="43"/>
      <c r="M40" s="43"/>
      <c r="N40" s="43"/>
      <c r="O40" s="43"/>
      <c r="P40" s="43"/>
      <c r="Q40" s="43"/>
      <c r="R40" s="43"/>
    </row>
    <row r="41" spans="1:20">
      <c r="A41" s="43" t="s">
        <v>815</v>
      </c>
      <c r="B41" s="43">
        <v>44310</v>
      </c>
      <c r="C41" s="43">
        <v>44311</v>
      </c>
      <c r="D41" s="43">
        <v>44345</v>
      </c>
      <c r="E41" s="43">
        <v>44346</v>
      </c>
      <c r="F41" s="43"/>
      <c r="G41" s="43"/>
      <c r="H41" s="43"/>
      <c r="I41" s="43"/>
      <c r="J41" s="43"/>
      <c r="K41" s="43"/>
      <c r="L41" s="43"/>
      <c r="M41" s="43"/>
      <c r="N41" s="43"/>
      <c r="O41" s="43"/>
      <c r="P41" s="43"/>
      <c r="Q41" s="43"/>
      <c r="R41" s="43"/>
      <c r="T41" s="41"/>
    </row>
    <row r="42" spans="1:20">
      <c r="A42" s="43" t="s">
        <v>816</v>
      </c>
      <c r="B42" s="43">
        <v>44311</v>
      </c>
      <c r="C42" s="43">
        <v>44318</v>
      </c>
      <c r="D42" s="43">
        <v>44325</v>
      </c>
      <c r="E42" s="43">
        <v>44332</v>
      </c>
      <c r="F42" s="43">
        <v>44338</v>
      </c>
      <c r="G42" s="43">
        <v>44339</v>
      </c>
      <c r="H42" s="43">
        <v>44346</v>
      </c>
      <c r="I42" s="43">
        <v>44353</v>
      </c>
      <c r="J42" s="43">
        <v>44360</v>
      </c>
      <c r="K42" s="43">
        <v>44367</v>
      </c>
      <c r="L42" s="43"/>
      <c r="M42" s="43"/>
      <c r="N42" s="43"/>
      <c r="O42" s="43"/>
      <c r="P42" s="43"/>
      <c r="Q42" s="43"/>
      <c r="R42" s="43"/>
      <c r="T42" s="41"/>
    </row>
    <row r="43" spans="1:20">
      <c r="A43" s="43" t="s">
        <v>817</v>
      </c>
      <c r="B43" s="43">
        <v>44318</v>
      </c>
      <c r="C43" s="43">
        <v>44319</v>
      </c>
      <c r="D43" s="43">
        <v>44320</v>
      </c>
      <c r="E43" s="43"/>
      <c r="F43" s="43"/>
      <c r="G43" s="43"/>
      <c r="H43" s="43"/>
      <c r="I43" s="43"/>
      <c r="J43" s="43"/>
      <c r="K43" s="43"/>
      <c r="L43" s="43"/>
      <c r="M43" s="43"/>
      <c r="N43" s="43"/>
      <c r="O43" s="43"/>
      <c r="P43" s="43"/>
      <c r="Q43" s="43"/>
      <c r="R43" s="43"/>
      <c r="T43" s="41"/>
    </row>
    <row r="44" spans="1:20">
      <c r="A44" s="40" t="s">
        <v>25</v>
      </c>
      <c r="B44" s="43">
        <v>44317</v>
      </c>
      <c r="C44" s="43">
        <v>44318</v>
      </c>
      <c r="D44" s="43">
        <v>44324</v>
      </c>
      <c r="E44" s="43">
        <v>44331</v>
      </c>
      <c r="F44" s="43">
        <v>44352</v>
      </c>
      <c r="G44" s="43">
        <v>44359</v>
      </c>
      <c r="H44" s="43"/>
      <c r="I44" s="43"/>
      <c r="J44" s="43"/>
      <c r="K44" s="43"/>
      <c r="L44" s="43"/>
      <c r="M44" s="43"/>
      <c r="N44" s="43"/>
      <c r="O44" s="43"/>
      <c r="P44" s="43"/>
      <c r="Q44" s="43"/>
      <c r="R44" s="43"/>
      <c r="T44" s="41"/>
    </row>
    <row r="45" spans="1:20">
      <c r="A45" s="43" t="s">
        <v>818</v>
      </c>
      <c r="B45" s="43">
        <v>44310</v>
      </c>
      <c r="C45" s="43">
        <v>44311</v>
      </c>
      <c r="D45" s="43">
        <v>44319</v>
      </c>
      <c r="E45" s="43">
        <v>44320</v>
      </c>
      <c r="F45" s="43">
        <v>44321</v>
      </c>
      <c r="G45" s="43"/>
      <c r="H45" s="43"/>
      <c r="I45" s="43"/>
      <c r="J45" s="43"/>
      <c r="K45" s="43"/>
      <c r="L45" s="43"/>
      <c r="M45" s="43"/>
      <c r="N45" s="43"/>
      <c r="O45" s="43"/>
      <c r="P45" s="43"/>
      <c r="Q45" s="43"/>
      <c r="R45" s="43"/>
    </row>
    <row r="46" spans="1:20">
      <c r="A46" s="43" t="s">
        <v>819</v>
      </c>
      <c r="B46" s="43">
        <v>44317</v>
      </c>
      <c r="C46" s="43">
        <v>44321</v>
      </c>
      <c r="D46" s="43">
        <v>44324</v>
      </c>
      <c r="E46" s="43">
        <v>44325</v>
      </c>
      <c r="F46" s="43"/>
      <c r="G46" s="43"/>
      <c r="H46" s="43"/>
      <c r="I46" s="43"/>
      <c r="J46" s="43"/>
      <c r="K46" s="43"/>
      <c r="L46" s="43"/>
      <c r="M46" s="43"/>
      <c r="N46" s="43"/>
      <c r="O46" s="43"/>
      <c r="P46" s="43"/>
      <c r="Q46" s="43"/>
      <c r="R46" s="43"/>
      <c r="T46" s="41"/>
    </row>
    <row r="47" spans="1:20">
      <c r="A47" s="43"/>
      <c r="B47" s="43"/>
      <c r="C47" s="43"/>
      <c r="D47" s="43"/>
      <c r="E47" s="43"/>
      <c r="F47" s="43"/>
      <c r="G47" s="43"/>
      <c r="H47" s="43"/>
      <c r="I47" s="43"/>
      <c r="J47" s="43"/>
      <c r="K47" s="43"/>
      <c r="L47" s="43"/>
      <c r="M47" s="43"/>
      <c r="N47" s="43"/>
      <c r="O47" s="43"/>
      <c r="P47" s="43"/>
      <c r="Q47" s="43"/>
      <c r="R47" s="43"/>
      <c r="T47" s="41"/>
    </row>
    <row r="48" spans="1:20">
      <c r="A48" s="43"/>
      <c r="B48" s="43"/>
      <c r="C48" s="43"/>
      <c r="D48" s="43"/>
      <c r="E48" s="43"/>
      <c r="F48" s="43"/>
      <c r="G48" s="43"/>
      <c r="H48" s="43"/>
      <c r="I48" s="43"/>
      <c r="J48" s="43"/>
      <c r="K48" s="43"/>
      <c r="L48" s="43"/>
      <c r="M48" s="43"/>
      <c r="N48" s="43"/>
      <c r="O48" s="43"/>
      <c r="P48" s="43"/>
      <c r="Q48" s="43"/>
      <c r="R48" s="43"/>
      <c r="T48" s="41"/>
    </row>
    <row r="49" spans="1:18">
      <c r="A49" s="43"/>
      <c r="B49" s="43"/>
      <c r="C49" s="43"/>
      <c r="D49" s="43"/>
      <c r="E49" s="43"/>
      <c r="F49" s="43"/>
      <c r="G49" s="43"/>
      <c r="H49" s="43"/>
      <c r="I49" s="43"/>
      <c r="J49" s="43"/>
      <c r="K49" s="43"/>
      <c r="L49" s="43"/>
      <c r="M49" s="43"/>
      <c r="N49" s="43"/>
      <c r="O49" s="43"/>
      <c r="P49" s="43"/>
      <c r="Q49" s="43"/>
      <c r="R49" s="43"/>
    </row>
    <row r="50" spans="1:18">
      <c r="A50" s="43"/>
      <c r="B50" s="43"/>
      <c r="C50" s="43"/>
      <c r="D50" s="43"/>
      <c r="E50" s="43"/>
      <c r="F50" s="43"/>
      <c r="G50" s="43"/>
      <c r="H50" s="43"/>
      <c r="I50" s="43"/>
      <c r="J50" s="43"/>
      <c r="K50" s="43"/>
      <c r="L50" s="43"/>
      <c r="M50" s="43"/>
      <c r="N50" s="43"/>
      <c r="O50" s="43"/>
      <c r="P50" s="43"/>
      <c r="Q50" s="43"/>
      <c r="R50" s="43"/>
    </row>
    <row r="51" spans="1:18">
      <c r="A51" s="43"/>
      <c r="B51" s="43"/>
      <c r="C51" s="43"/>
      <c r="D51" s="43"/>
      <c r="E51" s="43"/>
      <c r="F51" s="43"/>
      <c r="G51" s="43"/>
      <c r="H51" s="43"/>
      <c r="I51" s="43"/>
      <c r="J51" s="43"/>
      <c r="K51" s="43"/>
      <c r="L51" s="43"/>
      <c r="M51" s="43"/>
      <c r="N51" s="43"/>
      <c r="O51" s="43"/>
      <c r="P51" s="43"/>
      <c r="Q51" s="43"/>
      <c r="R51" s="43"/>
    </row>
  </sheetData>
  <mergeCells count="2">
    <mergeCell ref="A1:R1"/>
    <mergeCell ref="Q35:R35"/>
  </mergeCells>
  <phoneticPr fontId="2"/>
  <pageMargins left="0.70866141732283472" right="0.70866141732283472" top="0" bottom="0" header="0.31496062992125984" footer="0.31496062992125984"/>
  <pageSetup paperSize="9" orientation="landscape" r:id="rId1"/>
  <drawing r:id="rId2"/>
  <legacyDrawing r:id="rId3"/>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2A3EF-E66F-4AB7-BC1F-F18002E5B68A}">
  <dimension ref="A1:AC51"/>
  <sheetViews>
    <sheetView topLeftCell="A16" zoomScaleNormal="100" workbookViewId="0">
      <selection activeCell="C36" sqref="C36"/>
    </sheetView>
  </sheetViews>
  <sheetFormatPr defaultColWidth="9" defaultRowHeight="18.75"/>
  <cols>
    <col min="1" max="18" width="6.625" style="40" customWidth="1"/>
    <col min="19" max="19" width="3.625" style="40" customWidth="1"/>
    <col min="20" max="20" width="6.625" style="40" customWidth="1"/>
    <col min="21" max="21" width="3.625" style="40" customWidth="1"/>
    <col min="22" max="37" width="6.625" style="40" customWidth="1"/>
    <col min="38" max="38" width="3.625" style="40" customWidth="1"/>
    <col min="39" max="16384" width="9" style="40"/>
  </cols>
  <sheetData>
    <row r="1" spans="1:29">
      <c r="A1" s="147" t="s">
        <v>765</v>
      </c>
      <c r="B1" s="147"/>
      <c r="C1" s="147"/>
      <c r="D1" s="147"/>
      <c r="E1" s="147"/>
      <c r="F1" s="147"/>
      <c r="G1" s="147"/>
      <c r="H1" s="147"/>
      <c r="I1" s="147"/>
      <c r="J1" s="147"/>
      <c r="K1" s="147"/>
      <c r="L1" s="147"/>
      <c r="M1" s="147"/>
      <c r="N1" s="147"/>
      <c r="O1" s="147"/>
      <c r="P1" s="147"/>
      <c r="Q1" s="147"/>
      <c r="R1" s="147"/>
      <c r="X1" s="40" t="s">
        <v>495</v>
      </c>
    </row>
    <row r="2" spans="1:29" ht="16.5" customHeight="1">
      <c r="A2" s="26" t="s">
        <v>279</v>
      </c>
      <c r="B2" s="31">
        <v>44248</v>
      </c>
      <c r="C2" s="27">
        <v>44249</v>
      </c>
      <c r="D2" s="27">
        <v>44250</v>
      </c>
      <c r="E2" s="27">
        <v>44251</v>
      </c>
      <c r="F2" s="27">
        <v>44252</v>
      </c>
      <c r="G2" s="27">
        <v>44253</v>
      </c>
      <c r="H2" s="31">
        <v>44254</v>
      </c>
      <c r="I2" s="31">
        <v>44255</v>
      </c>
      <c r="J2" s="27"/>
      <c r="K2" s="27"/>
      <c r="L2" s="27"/>
      <c r="M2" s="23" t="s">
        <v>324</v>
      </c>
      <c r="N2" s="25">
        <v>44256</v>
      </c>
      <c r="O2" s="25">
        <v>44257</v>
      </c>
      <c r="P2" s="25">
        <v>44258</v>
      </c>
      <c r="Q2" s="25">
        <v>44259</v>
      </c>
      <c r="R2" s="25">
        <v>44260</v>
      </c>
      <c r="V2" s="40" t="s">
        <v>63</v>
      </c>
      <c r="X2" s="40" t="s">
        <v>64</v>
      </c>
      <c r="Z2" s="40" t="s">
        <v>65</v>
      </c>
      <c r="AB2" s="40" t="s">
        <v>169</v>
      </c>
    </row>
    <row r="3" spans="1:29" ht="16.5" customHeight="1">
      <c r="A3" s="28">
        <v>1</v>
      </c>
      <c r="B3" s="19" t="s">
        <v>787</v>
      </c>
      <c r="C3" s="19"/>
      <c r="D3" s="19"/>
      <c r="E3" s="19"/>
      <c r="F3" s="19"/>
      <c r="G3" s="19"/>
      <c r="H3" s="19" t="s">
        <v>786</v>
      </c>
      <c r="I3" s="19" t="s">
        <v>785</v>
      </c>
      <c r="J3" s="19"/>
      <c r="K3" s="19"/>
      <c r="L3" s="19"/>
      <c r="M3" s="36"/>
      <c r="N3" s="19"/>
      <c r="O3" s="19"/>
      <c r="P3" s="19"/>
      <c r="Q3" s="19"/>
      <c r="R3" s="19"/>
      <c r="V3" s="40" t="s">
        <v>25</v>
      </c>
      <c r="W3" s="40">
        <v>2</v>
      </c>
      <c r="X3" s="40" t="s">
        <v>45</v>
      </c>
      <c r="Y3" s="40">
        <v>2</v>
      </c>
      <c r="Z3" s="40" t="s">
        <v>34</v>
      </c>
      <c r="AA3" s="40">
        <v>3</v>
      </c>
      <c r="AB3" s="40" t="s">
        <v>153</v>
      </c>
      <c r="AC3" s="40">
        <v>5</v>
      </c>
    </row>
    <row r="4" spans="1:29" ht="16.5" customHeight="1">
      <c r="A4" s="28">
        <v>2</v>
      </c>
      <c r="B4" s="19" t="s">
        <v>781</v>
      </c>
      <c r="C4" s="19"/>
      <c r="D4" s="19"/>
      <c r="E4" s="19"/>
      <c r="F4" s="19"/>
      <c r="G4" s="19"/>
      <c r="H4" s="19" t="s">
        <v>782</v>
      </c>
      <c r="I4" s="19" t="s">
        <v>783</v>
      </c>
      <c r="J4" s="19"/>
      <c r="K4" s="19"/>
      <c r="L4" s="19"/>
      <c r="M4" s="36"/>
      <c r="N4" s="19"/>
      <c r="O4" s="19"/>
      <c r="P4" s="19"/>
      <c r="Q4" s="19"/>
      <c r="R4" s="19"/>
      <c r="T4" s="41"/>
      <c r="U4" s="41"/>
      <c r="V4" s="40" t="s">
        <v>2</v>
      </c>
      <c r="W4" s="40">
        <v>2</v>
      </c>
      <c r="X4" s="40" t="s">
        <v>46</v>
      </c>
      <c r="Y4" s="40">
        <v>0</v>
      </c>
      <c r="Z4" s="40" t="s">
        <v>38</v>
      </c>
      <c r="AA4" s="40">
        <v>2</v>
      </c>
      <c r="AB4" s="40" t="s">
        <v>26</v>
      </c>
      <c r="AC4" s="40">
        <v>3</v>
      </c>
    </row>
    <row r="5" spans="1:29" ht="16.5" customHeight="1">
      <c r="A5" s="28">
        <v>3</v>
      </c>
      <c r="B5" s="19" t="s">
        <v>768</v>
      </c>
      <c r="C5" s="19"/>
      <c r="D5" s="19"/>
      <c r="E5" s="19"/>
      <c r="F5" s="19"/>
      <c r="G5" s="19"/>
      <c r="H5" s="19" t="s">
        <v>768</v>
      </c>
      <c r="I5" s="19" t="s">
        <v>768</v>
      </c>
      <c r="J5" s="19"/>
      <c r="K5" s="19"/>
      <c r="L5" s="19"/>
      <c r="M5" s="36"/>
      <c r="N5" s="19"/>
      <c r="O5" s="19"/>
      <c r="P5" s="19"/>
      <c r="Q5" s="19"/>
      <c r="R5" s="19"/>
      <c r="T5" s="41"/>
      <c r="U5" s="41"/>
      <c r="V5" s="40" t="s">
        <v>14</v>
      </c>
      <c r="W5" s="40">
        <v>2</v>
      </c>
      <c r="X5" s="40" t="s">
        <v>6</v>
      </c>
      <c r="Y5" s="40">
        <v>2</v>
      </c>
      <c r="Z5" s="40" t="s">
        <v>249</v>
      </c>
      <c r="AA5" s="40">
        <v>2</v>
      </c>
      <c r="AB5" s="40" t="s">
        <v>6</v>
      </c>
      <c r="AC5" s="40">
        <v>8</v>
      </c>
    </row>
    <row r="6" spans="1:29" ht="16.5" customHeight="1">
      <c r="A6" s="28" t="s">
        <v>20</v>
      </c>
      <c r="B6" s="19" t="s">
        <v>6</v>
      </c>
      <c r="C6" s="19" t="s">
        <v>770</v>
      </c>
      <c r="D6" s="19" t="s">
        <v>13</v>
      </c>
      <c r="E6" s="19" t="s">
        <v>13</v>
      </c>
      <c r="F6" s="19" t="s">
        <v>13</v>
      </c>
      <c r="G6" s="19" t="s">
        <v>13</v>
      </c>
      <c r="H6" s="19" t="s">
        <v>13</v>
      </c>
      <c r="I6" s="19" t="s">
        <v>13</v>
      </c>
      <c r="J6" s="19"/>
      <c r="K6" s="19"/>
      <c r="L6" s="19"/>
      <c r="M6" s="36"/>
      <c r="N6" s="19" t="s">
        <v>771</v>
      </c>
      <c r="O6" s="19" t="s">
        <v>772</v>
      </c>
      <c r="P6" s="19" t="s">
        <v>772</v>
      </c>
      <c r="Q6" s="19" t="s">
        <v>772</v>
      </c>
      <c r="R6" s="19" t="s">
        <v>772</v>
      </c>
      <c r="T6" s="41"/>
      <c r="U6" s="41"/>
      <c r="V6" s="40" t="s">
        <v>7</v>
      </c>
      <c r="W6" s="40">
        <v>1</v>
      </c>
      <c r="X6" s="40" t="s">
        <v>23</v>
      </c>
      <c r="Y6" s="40">
        <v>1</v>
      </c>
      <c r="Z6" s="40" t="s">
        <v>10</v>
      </c>
      <c r="AA6" s="40">
        <v>2</v>
      </c>
      <c r="AB6" s="40" t="s">
        <v>152</v>
      </c>
      <c r="AC6" s="40">
        <v>7</v>
      </c>
    </row>
    <row r="7" spans="1:29" ht="16.5" customHeight="1">
      <c r="A7" s="28" t="s">
        <v>0</v>
      </c>
      <c r="B7" s="19"/>
      <c r="C7" s="19"/>
      <c r="D7" s="19"/>
      <c r="E7" s="19"/>
      <c r="F7" s="19" t="s">
        <v>766</v>
      </c>
      <c r="G7" s="19" t="s">
        <v>13</v>
      </c>
      <c r="H7" s="19" t="s">
        <v>13</v>
      </c>
      <c r="I7" s="19"/>
      <c r="J7" s="19"/>
      <c r="K7" s="19"/>
      <c r="L7" s="19"/>
      <c r="M7" s="36"/>
      <c r="N7" s="19"/>
      <c r="O7" s="19"/>
      <c r="P7" s="19"/>
      <c r="Q7" s="19" t="s">
        <v>766</v>
      </c>
      <c r="R7" s="19" t="s">
        <v>767</v>
      </c>
      <c r="T7" s="41"/>
      <c r="U7" s="41"/>
      <c r="V7" s="40" t="s">
        <v>21</v>
      </c>
      <c r="W7" s="40">
        <v>2</v>
      </c>
      <c r="X7" s="40" t="s">
        <v>153</v>
      </c>
      <c r="Y7" s="40">
        <v>2</v>
      </c>
      <c r="Z7" s="40" t="s">
        <v>36</v>
      </c>
      <c r="AA7" s="40">
        <v>3</v>
      </c>
      <c r="AB7" s="40" t="s">
        <v>23</v>
      </c>
      <c r="AC7" s="40">
        <v>2</v>
      </c>
    </row>
    <row r="8" spans="1:29" ht="16.5" customHeight="1">
      <c r="A8" s="28" t="s">
        <v>1</v>
      </c>
      <c r="B8" s="19" t="s">
        <v>166</v>
      </c>
      <c r="C8" s="19" t="s">
        <v>13</v>
      </c>
      <c r="D8" s="19" t="s">
        <v>13</v>
      </c>
      <c r="E8" s="19" t="s">
        <v>13</v>
      </c>
      <c r="F8" s="19" t="s">
        <v>13</v>
      </c>
      <c r="G8" s="19"/>
      <c r="H8" s="19"/>
      <c r="I8" s="19" t="s">
        <v>213</v>
      </c>
      <c r="J8" s="19"/>
      <c r="K8" s="19"/>
      <c r="L8" s="19"/>
      <c r="M8" s="36"/>
      <c r="N8" s="19" t="s">
        <v>213</v>
      </c>
      <c r="O8" s="19" t="s">
        <v>13</v>
      </c>
      <c r="P8" s="19" t="s">
        <v>13</v>
      </c>
      <c r="Q8" s="19" t="s">
        <v>13</v>
      </c>
      <c r="R8" s="19"/>
      <c r="T8" s="41"/>
      <c r="V8" s="40" t="s">
        <v>26</v>
      </c>
      <c r="W8" s="40">
        <v>1</v>
      </c>
      <c r="X8" s="40" t="s">
        <v>327</v>
      </c>
      <c r="Y8" s="40">
        <v>2</v>
      </c>
      <c r="Z8" s="40" t="s">
        <v>37</v>
      </c>
      <c r="AA8" s="40">
        <v>3</v>
      </c>
      <c r="AB8" s="40" t="s">
        <v>25</v>
      </c>
      <c r="AC8" s="40">
        <v>1</v>
      </c>
    </row>
    <row r="9" spans="1:29" ht="16.5" customHeight="1">
      <c r="A9" s="28" t="s">
        <v>366</v>
      </c>
      <c r="B9" s="19"/>
      <c r="C9" s="19"/>
      <c r="D9" s="19"/>
      <c r="E9" s="19"/>
      <c r="F9" s="19"/>
      <c r="G9" s="19"/>
      <c r="H9" s="19"/>
      <c r="I9" s="19"/>
      <c r="J9" s="19"/>
      <c r="K9" s="19"/>
      <c r="L9" s="19"/>
      <c r="M9" s="36"/>
      <c r="N9" s="19"/>
      <c r="O9" s="19"/>
      <c r="P9" s="19"/>
      <c r="Q9" s="19"/>
      <c r="R9" s="19"/>
      <c r="T9" s="41"/>
      <c r="V9" s="40" t="s">
        <v>27</v>
      </c>
      <c r="W9" s="40">
        <v>2</v>
      </c>
      <c r="X9" s="40" t="s">
        <v>28</v>
      </c>
      <c r="Y9" s="40">
        <v>2</v>
      </c>
      <c r="AB9" s="40" t="s">
        <v>327</v>
      </c>
      <c r="AC9" s="40">
        <v>4</v>
      </c>
    </row>
    <row r="10" spans="1:29" ht="16.5" customHeight="1">
      <c r="A10" s="23" t="s">
        <v>324</v>
      </c>
      <c r="B10" s="30">
        <v>44261</v>
      </c>
      <c r="C10" s="30">
        <v>44262</v>
      </c>
      <c r="D10" s="25">
        <v>44263</v>
      </c>
      <c r="E10" s="25">
        <v>44264</v>
      </c>
      <c r="F10" s="25">
        <v>44265</v>
      </c>
      <c r="G10" s="25">
        <v>44266</v>
      </c>
      <c r="H10" s="25">
        <v>44267</v>
      </c>
      <c r="I10" s="30">
        <v>44268</v>
      </c>
      <c r="J10" s="30">
        <v>44269</v>
      </c>
      <c r="K10" s="25">
        <v>44270</v>
      </c>
      <c r="L10" s="25">
        <v>44271</v>
      </c>
      <c r="M10" s="25">
        <v>44272</v>
      </c>
      <c r="N10" s="25">
        <v>44273</v>
      </c>
      <c r="O10" s="25">
        <v>44274</v>
      </c>
      <c r="P10" s="30">
        <v>44275</v>
      </c>
      <c r="Q10" s="19"/>
      <c r="R10" s="19"/>
      <c r="T10" s="41"/>
      <c r="V10" s="40" t="s">
        <v>533</v>
      </c>
      <c r="W10" s="40">
        <v>2</v>
      </c>
      <c r="X10" s="40" t="s">
        <v>152</v>
      </c>
      <c r="Y10" s="40">
        <v>2</v>
      </c>
      <c r="AB10" s="40" t="s">
        <v>516</v>
      </c>
      <c r="AC10" s="40">
        <v>6</v>
      </c>
    </row>
    <row r="11" spans="1:29" ht="16.5" customHeight="1">
      <c r="A11" s="36">
        <v>1</v>
      </c>
      <c r="B11" s="19" t="s">
        <v>788</v>
      </c>
      <c r="C11" s="19" t="s">
        <v>790</v>
      </c>
      <c r="D11" s="19"/>
      <c r="E11" s="19"/>
      <c r="F11" s="19"/>
      <c r="G11" s="19"/>
      <c r="H11" s="19"/>
      <c r="I11" s="19" t="s">
        <v>792</v>
      </c>
      <c r="J11" s="19" t="s">
        <v>791</v>
      </c>
      <c r="K11" s="19"/>
      <c r="L11" s="19"/>
      <c r="M11" s="19"/>
      <c r="N11" s="19"/>
      <c r="O11" s="19"/>
      <c r="P11" s="19" t="s">
        <v>787</v>
      </c>
      <c r="Q11" s="19"/>
      <c r="R11" s="19"/>
      <c r="T11" s="41"/>
      <c r="V11" s="40" t="s">
        <v>516</v>
      </c>
      <c r="W11" s="40">
        <v>1</v>
      </c>
      <c r="X11" s="40" t="s">
        <v>690</v>
      </c>
      <c r="Y11" s="40">
        <v>2</v>
      </c>
    </row>
    <row r="12" spans="1:29" ht="16.5" customHeight="1">
      <c r="A12" s="36">
        <v>2</v>
      </c>
      <c r="B12" s="19" t="s">
        <v>784</v>
      </c>
      <c r="C12" s="19" t="s">
        <v>789</v>
      </c>
      <c r="D12" s="19"/>
      <c r="E12" s="19"/>
      <c r="F12" s="19"/>
      <c r="G12" s="19"/>
      <c r="H12" s="19"/>
      <c r="I12" s="19" t="s">
        <v>795</v>
      </c>
      <c r="J12" s="19" t="s">
        <v>794</v>
      </c>
      <c r="K12" s="19"/>
      <c r="L12" s="19"/>
      <c r="M12" s="19"/>
      <c r="N12" s="19"/>
      <c r="O12" s="19"/>
      <c r="P12" s="19" t="s">
        <v>796</v>
      </c>
      <c r="Q12" s="19"/>
      <c r="R12" s="19"/>
      <c r="T12" s="41"/>
    </row>
    <row r="13" spans="1:29" ht="16.5" customHeight="1">
      <c r="A13" s="36">
        <v>3</v>
      </c>
      <c r="B13" s="19" t="s">
        <v>768</v>
      </c>
      <c r="C13" s="19" t="s">
        <v>768</v>
      </c>
      <c r="D13" s="19"/>
      <c r="E13" s="19"/>
      <c r="F13" s="19"/>
      <c r="G13" s="19"/>
      <c r="H13" s="19"/>
      <c r="I13" s="19" t="s">
        <v>768</v>
      </c>
      <c r="J13" s="19" t="s">
        <v>768</v>
      </c>
      <c r="K13" s="19"/>
      <c r="L13" s="19"/>
      <c r="M13" s="19"/>
      <c r="N13" s="19"/>
      <c r="O13" s="19"/>
      <c r="P13" s="19" t="s">
        <v>768</v>
      </c>
      <c r="Q13" s="19"/>
      <c r="R13" s="19"/>
      <c r="T13" s="41"/>
    </row>
    <row r="14" spans="1:29" ht="16.5" customHeight="1">
      <c r="A14" s="36" t="s">
        <v>20</v>
      </c>
      <c r="B14" s="19" t="s">
        <v>771</v>
      </c>
      <c r="C14" s="19" t="s">
        <v>13</v>
      </c>
      <c r="D14" s="19" t="s">
        <v>773</v>
      </c>
      <c r="E14" s="19" t="s">
        <v>13</v>
      </c>
      <c r="F14" s="19" t="s">
        <v>13</v>
      </c>
      <c r="G14" s="19" t="s">
        <v>13</v>
      </c>
      <c r="H14" s="19" t="s">
        <v>13</v>
      </c>
      <c r="I14" s="19" t="s">
        <v>13</v>
      </c>
      <c r="J14" s="19" t="s">
        <v>13</v>
      </c>
      <c r="K14" s="19" t="s">
        <v>774</v>
      </c>
      <c r="L14" s="19" t="s">
        <v>13</v>
      </c>
      <c r="M14" s="19" t="s">
        <v>13</v>
      </c>
      <c r="N14" s="19" t="s">
        <v>13</v>
      </c>
      <c r="O14" s="19" t="s">
        <v>13</v>
      </c>
      <c r="P14" s="19" t="s">
        <v>13</v>
      </c>
      <c r="Q14" s="19"/>
      <c r="R14" s="19"/>
      <c r="T14" s="41"/>
    </row>
    <row r="15" spans="1:29" ht="16.5" customHeight="1">
      <c r="A15" s="36" t="s">
        <v>0</v>
      </c>
      <c r="B15" s="19" t="s">
        <v>766</v>
      </c>
      <c r="C15" s="19"/>
      <c r="D15" s="19"/>
      <c r="E15" s="19"/>
      <c r="F15" s="19"/>
      <c r="G15" s="19" t="s">
        <v>766</v>
      </c>
      <c r="H15" s="19" t="s">
        <v>13</v>
      </c>
      <c r="I15" s="19" t="s">
        <v>13</v>
      </c>
      <c r="J15" s="19"/>
      <c r="K15" s="19"/>
      <c r="L15" s="19"/>
      <c r="M15" s="19"/>
      <c r="N15" s="19" t="s">
        <v>766</v>
      </c>
      <c r="O15" s="19" t="s">
        <v>13</v>
      </c>
      <c r="P15" s="19" t="s">
        <v>13</v>
      </c>
      <c r="Q15" s="19"/>
      <c r="R15" s="19"/>
      <c r="T15" s="41"/>
      <c r="V15" s="40" t="s">
        <v>602</v>
      </c>
      <c r="W15" s="40">
        <f>SUM(W2:W14)</f>
        <v>15</v>
      </c>
      <c r="Y15" s="40">
        <f>SUM(Y2:Y14)</f>
        <v>15</v>
      </c>
      <c r="AA15" s="40">
        <f>SUM(AA2:AA14)</f>
        <v>15</v>
      </c>
    </row>
    <row r="16" spans="1:29" ht="16.5" customHeight="1">
      <c r="A16" s="36" t="s">
        <v>1</v>
      </c>
      <c r="B16" s="19"/>
      <c r="C16" s="19" t="s">
        <v>166</v>
      </c>
      <c r="D16" s="19" t="s">
        <v>13</v>
      </c>
      <c r="E16" s="19" t="s">
        <v>13</v>
      </c>
      <c r="F16" s="19" t="s">
        <v>13</v>
      </c>
      <c r="G16" s="19" t="s">
        <v>13</v>
      </c>
      <c r="H16" s="19"/>
      <c r="I16" s="19"/>
      <c r="J16" s="19" t="s">
        <v>213</v>
      </c>
      <c r="K16" s="19" t="s">
        <v>13</v>
      </c>
      <c r="L16" s="19" t="s">
        <v>13</v>
      </c>
      <c r="M16" s="19" t="s">
        <v>13</v>
      </c>
      <c r="N16" s="19" t="s">
        <v>13</v>
      </c>
      <c r="O16" s="19"/>
      <c r="P16" s="19"/>
      <c r="Q16" s="19"/>
      <c r="R16" s="19"/>
      <c r="T16" s="41"/>
    </row>
    <row r="17" spans="1:29" ht="16.5" customHeight="1">
      <c r="A17" s="36" t="s">
        <v>366</v>
      </c>
      <c r="B17" s="19"/>
      <c r="C17" s="19"/>
      <c r="D17" s="19"/>
      <c r="E17" s="19"/>
      <c r="F17" s="19"/>
      <c r="G17" s="19"/>
      <c r="H17" s="19"/>
      <c r="I17" s="19"/>
      <c r="J17" s="19"/>
      <c r="K17" s="19"/>
      <c r="L17" s="19"/>
      <c r="M17" s="19"/>
      <c r="N17" s="19"/>
      <c r="O17" s="19"/>
      <c r="P17" s="19"/>
      <c r="Q17" s="19"/>
      <c r="R17" s="19"/>
      <c r="T17" s="41"/>
    </row>
    <row r="18" spans="1:29" ht="11.25" customHeight="1">
      <c r="A18" s="42"/>
      <c r="B18" s="37"/>
      <c r="C18" s="37"/>
      <c r="D18" s="37"/>
      <c r="E18" s="37"/>
      <c r="F18" s="37"/>
      <c r="G18" s="37"/>
      <c r="H18" s="38"/>
      <c r="I18" s="38"/>
      <c r="J18" s="38"/>
      <c r="K18" s="38"/>
      <c r="L18" s="38"/>
      <c r="M18" s="38"/>
      <c r="N18" s="38"/>
      <c r="O18" s="38"/>
      <c r="P18" s="37"/>
      <c r="Q18" s="37"/>
      <c r="R18" s="39"/>
      <c r="T18" s="41"/>
      <c r="X18" s="40" t="s">
        <v>779</v>
      </c>
    </row>
    <row r="19" spans="1:29" ht="16.5" customHeight="1">
      <c r="A19" s="23" t="s">
        <v>324</v>
      </c>
      <c r="B19" s="30">
        <v>44276</v>
      </c>
      <c r="C19" s="25">
        <v>44277</v>
      </c>
      <c r="D19" s="25">
        <v>44278</v>
      </c>
      <c r="E19" s="25">
        <v>44279</v>
      </c>
      <c r="F19" s="25">
        <v>44280</v>
      </c>
      <c r="G19" s="25">
        <v>44281</v>
      </c>
      <c r="H19" s="30">
        <v>44282</v>
      </c>
      <c r="I19" s="30">
        <v>44283</v>
      </c>
      <c r="J19" s="25">
        <v>44284</v>
      </c>
      <c r="K19" s="25">
        <v>44285</v>
      </c>
      <c r="L19" s="25">
        <v>44286</v>
      </c>
      <c r="M19" s="26" t="s">
        <v>325</v>
      </c>
      <c r="N19" s="27">
        <v>44287</v>
      </c>
      <c r="O19" s="27">
        <v>44288</v>
      </c>
      <c r="P19" s="31">
        <v>44289</v>
      </c>
      <c r="Q19" s="31">
        <v>44290</v>
      </c>
      <c r="R19" s="27">
        <v>44291</v>
      </c>
      <c r="T19" s="41"/>
      <c r="V19" s="40" t="s">
        <v>63</v>
      </c>
      <c r="X19" s="40" t="s">
        <v>64</v>
      </c>
      <c r="Z19" s="40" t="s">
        <v>65</v>
      </c>
      <c r="AB19" s="40" t="s">
        <v>169</v>
      </c>
    </row>
    <row r="20" spans="1:29" ht="16.5" customHeight="1">
      <c r="A20" s="36">
        <v>1</v>
      </c>
      <c r="B20" s="19" t="s">
        <v>793</v>
      </c>
      <c r="C20" s="19"/>
      <c r="D20" s="19"/>
      <c r="E20" s="19"/>
      <c r="F20" s="19"/>
      <c r="G20" s="19"/>
      <c r="H20" s="19" t="s">
        <v>786</v>
      </c>
      <c r="I20" s="19" t="s">
        <v>785</v>
      </c>
      <c r="J20" s="19"/>
      <c r="K20" s="19"/>
      <c r="L20" s="19"/>
      <c r="M20" s="28"/>
      <c r="N20" s="19"/>
      <c r="O20" s="19"/>
      <c r="P20" s="19" t="s">
        <v>790</v>
      </c>
      <c r="Q20" s="19" t="s">
        <v>788</v>
      </c>
      <c r="R20" s="19"/>
      <c r="T20" s="41"/>
      <c r="V20" s="40" t="s">
        <v>25</v>
      </c>
      <c r="W20" s="40">
        <v>2</v>
      </c>
      <c r="X20" s="40" t="s">
        <v>45</v>
      </c>
      <c r="Y20" s="40">
        <v>2</v>
      </c>
      <c r="Z20" s="40" t="s">
        <v>34</v>
      </c>
      <c r="AB20" s="40" t="s">
        <v>153</v>
      </c>
      <c r="AC20" s="40">
        <v>5</v>
      </c>
    </row>
    <row r="21" spans="1:29" ht="16.5" customHeight="1">
      <c r="A21" s="36">
        <v>2</v>
      </c>
      <c r="B21" s="19" t="s">
        <v>781</v>
      </c>
      <c r="C21" s="19"/>
      <c r="D21" s="19"/>
      <c r="E21" s="19"/>
      <c r="F21" s="19"/>
      <c r="G21" s="19"/>
      <c r="H21" s="19" t="s">
        <v>783</v>
      </c>
      <c r="I21" s="19" t="s">
        <v>782</v>
      </c>
      <c r="J21" s="19"/>
      <c r="K21" s="19"/>
      <c r="L21" s="19"/>
      <c r="M21" s="28"/>
      <c r="N21" s="19"/>
      <c r="O21" s="19"/>
      <c r="P21" s="19" t="s">
        <v>774</v>
      </c>
      <c r="Q21" s="19" t="s">
        <v>313</v>
      </c>
      <c r="R21" s="19"/>
      <c r="T21" s="41"/>
      <c r="V21" s="40" t="s">
        <v>2</v>
      </c>
      <c r="W21" s="40">
        <v>2</v>
      </c>
      <c r="X21" s="40" t="s">
        <v>14</v>
      </c>
      <c r="Y21" s="40">
        <v>2</v>
      </c>
      <c r="Z21" s="40" t="s">
        <v>38</v>
      </c>
      <c r="AB21" s="40" t="s">
        <v>26</v>
      </c>
      <c r="AC21" s="40">
        <v>3</v>
      </c>
    </row>
    <row r="22" spans="1:29" ht="16.5" customHeight="1">
      <c r="A22" s="36">
        <v>3</v>
      </c>
      <c r="B22" s="19" t="s">
        <v>768</v>
      </c>
      <c r="C22" s="19"/>
      <c r="D22" s="19"/>
      <c r="E22" s="19"/>
      <c r="F22" s="19"/>
      <c r="G22" s="19"/>
      <c r="H22" s="19" t="s">
        <v>768</v>
      </c>
      <c r="I22" s="19" t="s">
        <v>768</v>
      </c>
      <c r="J22" s="19"/>
      <c r="K22" s="19"/>
      <c r="L22" s="19"/>
      <c r="M22" s="28"/>
      <c r="N22" s="19"/>
      <c r="O22" s="19"/>
      <c r="P22" s="19" t="s">
        <v>768</v>
      </c>
      <c r="Q22" s="19" t="s">
        <v>768</v>
      </c>
      <c r="R22" s="19"/>
      <c r="T22" s="41"/>
      <c r="V22" s="40" t="s">
        <v>14</v>
      </c>
      <c r="W22" s="40">
        <v>0</v>
      </c>
      <c r="X22" s="40" t="s">
        <v>6</v>
      </c>
      <c r="Y22" s="40">
        <v>1</v>
      </c>
      <c r="Z22" s="40" t="s">
        <v>249</v>
      </c>
      <c r="AB22" s="40" t="s">
        <v>6</v>
      </c>
      <c r="AC22" s="40">
        <v>8</v>
      </c>
    </row>
    <row r="23" spans="1:29" ht="16.5" customHeight="1">
      <c r="A23" s="36" t="s">
        <v>20</v>
      </c>
      <c r="B23" s="19" t="s">
        <v>774</v>
      </c>
      <c r="C23" s="19" t="s">
        <v>775</v>
      </c>
      <c r="D23" s="19" t="s">
        <v>13</v>
      </c>
      <c r="E23" s="19" t="s">
        <v>13</v>
      </c>
      <c r="F23" s="19" t="s">
        <v>13</v>
      </c>
      <c r="G23" s="19" t="s">
        <v>13</v>
      </c>
      <c r="H23" s="19" t="s">
        <v>13</v>
      </c>
      <c r="I23" s="19" t="s">
        <v>13</v>
      </c>
      <c r="J23" s="19" t="s">
        <v>776</v>
      </c>
      <c r="K23" s="19" t="s">
        <v>13</v>
      </c>
      <c r="L23" s="19" t="s">
        <v>13</v>
      </c>
      <c r="M23" s="28"/>
      <c r="N23" s="19" t="s">
        <v>776</v>
      </c>
      <c r="O23" s="19" t="s">
        <v>13</v>
      </c>
      <c r="P23" s="19" t="s">
        <v>13</v>
      </c>
      <c r="Q23" s="19" t="s">
        <v>13</v>
      </c>
      <c r="R23" s="19" t="s">
        <v>777</v>
      </c>
      <c r="T23" s="41"/>
      <c r="V23" s="40" t="s">
        <v>7</v>
      </c>
      <c r="W23" s="40">
        <v>2</v>
      </c>
      <c r="X23" s="40" t="s">
        <v>23</v>
      </c>
      <c r="Y23" s="40">
        <v>3</v>
      </c>
      <c r="Z23" s="40" t="s">
        <v>10</v>
      </c>
      <c r="AB23" s="40" t="s">
        <v>152</v>
      </c>
      <c r="AC23" s="40">
        <v>7</v>
      </c>
    </row>
    <row r="24" spans="1:29" ht="16.5" customHeight="1">
      <c r="A24" s="36" t="s">
        <v>0</v>
      </c>
      <c r="B24" s="19"/>
      <c r="C24" s="19"/>
      <c r="D24" s="19"/>
      <c r="E24" s="19"/>
      <c r="F24" s="19" t="s">
        <v>766</v>
      </c>
      <c r="G24" s="19" t="s">
        <v>767</v>
      </c>
      <c r="H24" s="19" t="s">
        <v>767</v>
      </c>
      <c r="I24" s="19"/>
      <c r="J24" s="19"/>
      <c r="K24" s="19"/>
      <c r="L24" s="19"/>
      <c r="M24" s="28"/>
      <c r="N24" s="19" t="s">
        <v>766</v>
      </c>
      <c r="O24" s="19" t="s">
        <v>767</v>
      </c>
      <c r="P24" s="19" t="s">
        <v>767</v>
      </c>
      <c r="Q24" s="19"/>
      <c r="R24" s="19"/>
      <c r="T24" s="41"/>
      <c r="V24" s="40" t="s">
        <v>21</v>
      </c>
      <c r="W24" s="40">
        <v>2</v>
      </c>
      <c r="X24" s="40" t="s">
        <v>153</v>
      </c>
      <c r="Y24" s="40">
        <v>2</v>
      </c>
      <c r="Z24" s="40" t="s">
        <v>36</v>
      </c>
      <c r="AB24" s="40" t="s">
        <v>23</v>
      </c>
      <c r="AC24" s="40">
        <v>2</v>
      </c>
    </row>
    <row r="25" spans="1:29" ht="16.5" customHeight="1">
      <c r="A25" s="36" t="s">
        <v>1</v>
      </c>
      <c r="B25" s="19" t="s">
        <v>166</v>
      </c>
      <c r="C25" s="19" t="s">
        <v>13</v>
      </c>
      <c r="D25" s="19" t="s">
        <v>13</v>
      </c>
      <c r="E25" s="19" t="s">
        <v>13</v>
      </c>
      <c r="F25" s="19" t="s">
        <v>13</v>
      </c>
      <c r="G25" s="19"/>
      <c r="H25" s="19"/>
      <c r="I25" s="19" t="s">
        <v>213</v>
      </c>
      <c r="J25" s="19" t="s">
        <v>13</v>
      </c>
      <c r="K25" s="19" t="s">
        <v>13</v>
      </c>
      <c r="L25" s="19" t="s">
        <v>13</v>
      </c>
      <c r="M25" s="28"/>
      <c r="N25" s="19" t="s">
        <v>213</v>
      </c>
      <c r="O25" s="19"/>
      <c r="P25" s="19"/>
      <c r="Q25" s="19" t="s">
        <v>166</v>
      </c>
      <c r="R25" s="19" t="s">
        <v>13</v>
      </c>
      <c r="T25" s="41"/>
      <c r="V25" s="40" t="s">
        <v>26</v>
      </c>
      <c r="W25" s="40">
        <v>2</v>
      </c>
      <c r="X25" s="40" t="s">
        <v>327</v>
      </c>
      <c r="Y25" s="40">
        <v>2</v>
      </c>
      <c r="Z25" s="40" t="s">
        <v>37</v>
      </c>
      <c r="AB25" s="40" t="s">
        <v>25</v>
      </c>
      <c r="AC25" s="40">
        <v>1</v>
      </c>
    </row>
    <row r="26" spans="1:29" ht="16.5" customHeight="1">
      <c r="A26" s="36" t="s">
        <v>366</v>
      </c>
      <c r="B26" s="19"/>
      <c r="C26" s="19"/>
      <c r="D26" s="19"/>
      <c r="E26" s="19"/>
      <c r="F26" s="19"/>
      <c r="G26" s="19"/>
      <c r="H26" s="19"/>
      <c r="I26" s="19"/>
      <c r="J26" s="19"/>
      <c r="K26" s="19"/>
      <c r="L26" s="19"/>
      <c r="M26" s="28"/>
      <c r="N26" s="19"/>
      <c r="O26" s="19"/>
      <c r="P26" s="19"/>
      <c r="Q26" s="19"/>
      <c r="R26" s="19"/>
      <c r="T26" s="41"/>
      <c r="V26" s="40" t="s">
        <v>27</v>
      </c>
      <c r="W26" s="40">
        <v>2</v>
      </c>
      <c r="X26" s="40" t="s">
        <v>28</v>
      </c>
      <c r="Y26" s="40">
        <v>1</v>
      </c>
      <c r="AB26" s="40" t="s">
        <v>327</v>
      </c>
      <c r="AC26" s="40">
        <v>4</v>
      </c>
    </row>
    <row r="27" spans="1:29" ht="16.5" customHeight="1">
      <c r="A27" s="26" t="s">
        <v>325</v>
      </c>
      <c r="B27" s="27">
        <v>44292</v>
      </c>
      <c r="C27" s="27">
        <v>44293</v>
      </c>
      <c r="D27" s="27">
        <v>44294</v>
      </c>
      <c r="E27" s="27">
        <v>44295</v>
      </c>
      <c r="F27" s="31">
        <v>44296</v>
      </c>
      <c r="G27" s="31">
        <v>44297</v>
      </c>
      <c r="H27" s="27">
        <v>44298</v>
      </c>
      <c r="I27" s="27">
        <v>44299</v>
      </c>
      <c r="J27" s="27">
        <v>44300</v>
      </c>
      <c r="K27" s="27">
        <v>44301</v>
      </c>
      <c r="L27" s="27">
        <v>44302</v>
      </c>
      <c r="M27" s="31">
        <v>44303</v>
      </c>
      <c r="N27" s="31">
        <v>44304</v>
      </c>
      <c r="O27" s="27">
        <v>44305</v>
      </c>
      <c r="P27" s="27">
        <v>44306</v>
      </c>
      <c r="Q27" s="19"/>
      <c r="R27" s="19"/>
      <c r="T27" s="41"/>
      <c r="V27" s="40" t="s">
        <v>533</v>
      </c>
      <c r="W27" s="40">
        <v>2</v>
      </c>
      <c r="X27" s="40" t="s">
        <v>152</v>
      </c>
      <c r="Y27" s="40">
        <v>2</v>
      </c>
      <c r="AB27" s="40" t="s">
        <v>516</v>
      </c>
      <c r="AC27" s="40">
        <v>6</v>
      </c>
    </row>
    <row r="28" spans="1:29" ht="16.5" customHeight="1">
      <c r="A28" s="28">
        <v>1</v>
      </c>
      <c r="B28" s="19"/>
      <c r="C28" s="19"/>
      <c r="D28" s="19"/>
      <c r="E28" s="19"/>
      <c r="F28" s="19" t="s">
        <v>792</v>
      </c>
      <c r="G28" s="19" t="s">
        <v>791</v>
      </c>
      <c r="H28" s="19"/>
      <c r="I28" s="19"/>
      <c r="J28" s="19"/>
      <c r="K28" s="19"/>
      <c r="L28" s="19"/>
      <c r="M28" s="19" t="s">
        <v>793</v>
      </c>
      <c r="N28" s="19" t="s">
        <v>787</v>
      </c>
      <c r="O28" s="19"/>
      <c r="P28" s="19"/>
      <c r="Q28" s="19"/>
      <c r="R28" s="19"/>
      <c r="T28" s="41"/>
      <c r="V28" s="40" t="s">
        <v>516</v>
      </c>
      <c r="W28" s="40">
        <v>3</v>
      </c>
      <c r="X28" s="40" t="s">
        <v>690</v>
      </c>
      <c r="Y28" s="40">
        <v>0</v>
      </c>
    </row>
    <row r="29" spans="1:29" ht="16.5" customHeight="1">
      <c r="A29" s="28">
        <v>2</v>
      </c>
      <c r="B29" s="19"/>
      <c r="C29" s="19"/>
      <c r="D29" s="19"/>
      <c r="E29" s="19"/>
      <c r="F29" s="19" t="s">
        <v>789</v>
      </c>
      <c r="G29" s="19" t="s">
        <v>795</v>
      </c>
      <c r="H29" s="19"/>
      <c r="I29" s="19"/>
      <c r="J29" s="19"/>
      <c r="K29" s="19"/>
      <c r="L29" s="19"/>
      <c r="M29" s="19" t="s">
        <v>796</v>
      </c>
      <c r="N29" s="19" t="s">
        <v>781</v>
      </c>
      <c r="O29" s="19"/>
      <c r="P29" s="19"/>
      <c r="Q29" s="19"/>
      <c r="R29" s="19"/>
      <c r="T29" s="41"/>
      <c r="X29" s="40" t="s">
        <v>797</v>
      </c>
      <c r="Y29" s="40">
        <v>2</v>
      </c>
    </row>
    <row r="30" spans="1:29" ht="16.5" customHeight="1">
      <c r="A30" s="28">
        <v>3</v>
      </c>
      <c r="B30" s="19"/>
      <c r="C30" s="19"/>
      <c r="D30" s="19"/>
      <c r="E30" s="19"/>
      <c r="F30" s="19" t="s">
        <v>768</v>
      </c>
      <c r="G30" s="19" t="s">
        <v>768</v>
      </c>
      <c r="H30" s="19"/>
      <c r="I30" s="19"/>
      <c r="J30" s="19"/>
      <c r="K30" s="19"/>
      <c r="L30" s="19"/>
      <c r="M30" s="19" t="s">
        <v>768</v>
      </c>
      <c r="N30" s="19" t="s">
        <v>768</v>
      </c>
      <c r="O30" s="19"/>
      <c r="P30" s="19"/>
      <c r="Q30" s="19"/>
      <c r="R30" s="19"/>
      <c r="T30" s="41"/>
    </row>
    <row r="31" spans="1:29" ht="16.5" customHeight="1">
      <c r="A31" s="28" t="s">
        <v>20</v>
      </c>
      <c r="B31" s="19" t="s">
        <v>777</v>
      </c>
      <c r="C31" s="19" t="s">
        <v>13</v>
      </c>
      <c r="D31" s="19" t="s">
        <v>13</v>
      </c>
      <c r="E31" s="19" t="s">
        <v>13</v>
      </c>
      <c r="F31" s="19" t="s">
        <v>13</v>
      </c>
      <c r="G31" s="19" t="s">
        <v>13</v>
      </c>
      <c r="H31" s="19" t="s">
        <v>778</v>
      </c>
      <c r="I31" s="19" t="s">
        <v>13</v>
      </c>
      <c r="J31" s="19" t="s">
        <v>13</v>
      </c>
      <c r="K31" s="19" t="s">
        <v>13</v>
      </c>
      <c r="L31" s="19" t="s">
        <v>13</v>
      </c>
      <c r="M31" s="19" t="s">
        <v>13</v>
      </c>
      <c r="N31" s="19" t="s">
        <v>13</v>
      </c>
      <c r="O31" s="19" t="s">
        <v>770</v>
      </c>
      <c r="P31" s="19" t="s">
        <v>13</v>
      </c>
      <c r="Q31" s="19"/>
      <c r="R31" s="19"/>
      <c r="T31" s="41"/>
    </row>
    <row r="32" spans="1:29" ht="16.5" customHeight="1">
      <c r="A32" s="28" t="s">
        <v>0</v>
      </c>
      <c r="B32" s="19"/>
      <c r="C32" s="19"/>
      <c r="D32" s="19" t="s">
        <v>766</v>
      </c>
      <c r="E32" s="19" t="s">
        <v>13</v>
      </c>
      <c r="F32" s="19" t="s">
        <v>13</v>
      </c>
      <c r="G32" s="19"/>
      <c r="H32" s="19"/>
      <c r="I32" s="19"/>
      <c r="J32" s="19"/>
      <c r="K32" s="19" t="s">
        <v>766</v>
      </c>
      <c r="L32" s="19" t="s">
        <v>13</v>
      </c>
      <c r="M32" s="19" t="s">
        <v>13</v>
      </c>
      <c r="N32" s="19"/>
      <c r="O32" s="19"/>
      <c r="P32" s="19"/>
      <c r="Q32" s="19"/>
      <c r="R32" s="19"/>
      <c r="T32" s="41"/>
      <c r="V32" s="40" t="s">
        <v>780</v>
      </c>
      <c r="W32" s="40">
        <f>SUM(W19:W31)</f>
        <v>17</v>
      </c>
      <c r="Y32" s="40">
        <f>SUM(Y19:Y31)</f>
        <v>17</v>
      </c>
      <c r="AA32" s="40">
        <f>SUM(AA19:AA31)</f>
        <v>0</v>
      </c>
    </row>
    <row r="33" spans="1:20" ht="16.5" customHeight="1">
      <c r="A33" s="28" t="s">
        <v>1</v>
      </c>
      <c r="B33" s="19" t="s">
        <v>245</v>
      </c>
      <c r="C33" s="19" t="s">
        <v>13</v>
      </c>
      <c r="D33" s="19" t="s">
        <v>13</v>
      </c>
      <c r="E33" s="19"/>
      <c r="F33" s="19"/>
      <c r="G33" s="19" t="s">
        <v>213</v>
      </c>
      <c r="H33" s="19" t="s">
        <v>13</v>
      </c>
      <c r="I33" s="19" t="s">
        <v>13</v>
      </c>
      <c r="J33" s="19" t="s">
        <v>13</v>
      </c>
      <c r="K33" s="19" t="s">
        <v>13</v>
      </c>
      <c r="L33" s="19"/>
      <c r="M33" s="19"/>
      <c r="N33" s="19" t="s">
        <v>166</v>
      </c>
      <c r="O33" s="19" t="s">
        <v>13</v>
      </c>
      <c r="P33" s="19" t="s">
        <v>13</v>
      </c>
      <c r="Q33" s="19"/>
      <c r="R33" s="19"/>
    </row>
    <row r="34" spans="1:20" ht="16.5" customHeight="1">
      <c r="A34" s="28" t="s">
        <v>366</v>
      </c>
      <c r="B34" s="19"/>
      <c r="C34" s="19"/>
      <c r="D34" s="19"/>
      <c r="E34" s="19"/>
      <c r="F34" s="19"/>
      <c r="G34" s="19"/>
      <c r="H34" s="19"/>
      <c r="I34" s="19"/>
      <c r="J34" s="19"/>
      <c r="K34" s="19"/>
      <c r="L34" s="19"/>
      <c r="M34" s="19"/>
      <c r="N34" s="19"/>
      <c r="O34" s="19"/>
      <c r="P34" s="19"/>
      <c r="Q34" s="19"/>
      <c r="R34" s="19"/>
    </row>
    <row r="35" spans="1:20" ht="12.75" customHeight="1">
      <c r="Q35" s="145" t="s">
        <v>82</v>
      </c>
      <c r="R35" s="145"/>
      <c r="T35" s="41"/>
    </row>
    <row r="36" spans="1:20">
      <c r="A36" s="40" t="s">
        <v>322</v>
      </c>
      <c r="H36" s="43"/>
      <c r="T36" s="41"/>
    </row>
    <row r="37" spans="1:20">
      <c r="A37" s="43" t="s">
        <v>769</v>
      </c>
      <c r="B37" s="43">
        <v>44254</v>
      </c>
      <c r="C37" s="43">
        <v>44255</v>
      </c>
      <c r="D37" s="43"/>
      <c r="E37" s="43"/>
      <c r="F37" s="43"/>
      <c r="G37" s="43"/>
      <c r="H37" s="43"/>
      <c r="I37" s="43"/>
      <c r="J37" s="43"/>
      <c r="K37" s="43"/>
      <c r="L37" s="43"/>
      <c r="M37" s="43"/>
      <c r="N37" s="43"/>
      <c r="O37" s="43"/>
      <c r="P37" s="43"/>
      <c r="Q37" s="43"/>
      <c r="R37" s="43"/>
      <c r="T37" s="41"/>
    </row>
    <row r="38" spans="1:20">
      <c r="A38" s="43" t="s">
        <v>314</v>
      </c>
      <c r="B38" s="43">
        <v>44255</v>
      </c>
      <c r="C38" s="43">
        <v>44261</v>
      </c>
      <c r="D38" s="43">
        <v>44262</v>
      </c>
      <c r="E38" s="43">
        <v>44268</v>
      </c>
      <c r="F38" s="43"/>
      <c r="G38" s="43"/>
      <c r="H38" s="43"/>
      <c r="I38" s="43"/>
      <c r="J38" s="43"/>
      <c r="K38" s="43"/>
      <c r="L38" s="43"/>
      <c r="M38" s="43"/>
      <c r="N38" s="43"/>
      <c r="O38" s="43"/>
      <c r="P38" s="43"/>
      <c r="Q38" s="43"/>
      <c r="R38" s="43"/>
      <c r="T38" s="41"/>
    </row>
    <row r="39" spans="1:20">
      <c r="A39" s="43" t="s">
        <v>313</v>
      </c>
      <c r="B39" s="43">
        <v>44289</v>
      </c>
      <c r="C39" s="43">
        <v>44296</v>
      </c>
      <c r="D39" s="43"/>
      <c r="E39" s="43"/>
      <c r="F39" s="43"/>
      <c r="G39" s="43"/>
      <c r="H39" s="43"/>
      <c r="I39" s="43"/>
      <c r="J39" s="43"/>
      <c r="K39" s="43"/>
      <c r="L39" s="43"/>
      <c r="M39" s="43"/>
      <c r="N39" s="43"/>
      <c r="O39" s="43"/>
      <c r="P39" s="43"/>
      <c r="Q39" s="43"/>
      <c r="R39" s="43"/>
      <c r="T39" s="41"/>
    </row>
    <row r="40" spans="1:20">
      <c r="A40" s="43" t="s">
        <v>25</v>
      </c>
      <c r="B40" s="43">
        <v>44268</v>
      </c>
      <c r="C40" s="43">
        <v>44275</v>
      </c>
      <c r="D40" s="43">
        <v>44289</v>
      </c>
      <c r="E40" s="43">
        <v>44296</v>
      </c>
      <c r="F40" s="43"/>
      <c r="G40" s="43"/>
      <c r="H40" s="43"/>
      <c r="I40" s="43"/>
      <c r="J40" s="43"/>
      <c r="K40" s="43"/>
      <c r="L40" s="43"/>
      <c r="M40" s="43"/>
      <c r="N40" s="43"/>
      <c r="O40" s="43"/>
      <c r="P40" s="43"/>
      <c r="Q40" s="43"/>
      <c r="R40" s="43"/>
    </row>
    <row r="41" spans="1:20">
      <c r="A41" s="43" t="s">
        <v>2</v>
      </c>
      <c r="B41" s="43">
        <v>44275</v>
      </c>
      <c r="C41" s="43">
        <v>44310</v>
      </c>
      <c r="D41" s="43"/>
      <c r="E41" s="43"/>
      <c r="F41" s="43"/>
      <c r="G41" s="43"/>
      <c r="H41" s="43"/>
      <c r="I41" s="43"/>
      <c r="J41" s="43"/>
      <c r="K41" s="43"/>
      <c r="L41" s="43"/>
      <c r="M41" s="43"/>
      <c r="N41" s="43"/>
      <c r="O41" s="43"/>
      <c r="P41" s="43"/>
      <c r="Q41" s="43"/>
      <c r="R41" s="43"/>
      <c r="T41" s="41"/>
    </row>
    <row r="42" spans="1:20">
      <c r="A42" s="43" t="s">
        <v>26</v>
      </c>
      <c r="B42" s="43">
        <v>44248</v>
      </c>
      <c r="C42" s="43">
        <v>44255</v>
      </c>
      <c r="D42" s="43">
        <v>44262</v>
      </c>
      <c r="E42" s="43">
        <v>44269</v>
      </c>
      <c r="F42" s="43">
        <v>44275</v>
      </c>
      <c r="G42" s="43">
        <v>44276</v>
      </c>
      <c r="H42" s="43">
        <v>44283</v>
      </c>
      <c r="I42" s="43">
        <v>44290</v>
      </c>
      <c r="J42" s="43">
        <v>44296</v>
      </c>
      <c r="K42" s="43">
        <v>44297</v>
      </c>
      <c r="L42" s="43">
        <v>44304</v>
      </c>
      <c r="M42" s="43"/>
      <c r="N42" s="43"/>
      <c r="O42" s="43"/>
      <c r="P42" s="43"/>
      <c r="Q42" s="43"/>
      <c r="R42" s="43"/>
      <c r="T42" s="41"/>
    </row>
    <row r="43" spans="1:20">
      <c r="A43" s="43"/>
      <c r="B43" s="43"/>
      <c r="C43" s="43"/>
      <c r="D43" s="43"/>
      <c r="E43" s="43"/>
      <c r="F43" s="43"/>
      <c r="G43" s="43"/>
      <c r="H43" s="43"/>
      <c r="I43" s="43"/>
      <c r="J43" s="43"/>
      <c r="K43" s="43"/>
      <c r="L43" s="43"/>
      <c r="M43" s="43"/>
      <c r="N43" s="43"/>
      <c r="O43" s="43"/>
      <c r="P43" s="43"/>
      <c r="Q43" s="43"/>
      <c r="R43" s="43"/>
      <c r="T43" s="41"/>
    </row>
    <row r="44" spans="1:20">
      <c r="D44" s="43"/>
      <c r="E44" s="43"/>
      <c r="F44" s="43"/>
      <c r="G44" s="43"/>
      <c r="H44" s="43"/>
      <c r="I44" s="43"/>
      <c r="J44" s="43"/>
      <c r="K44" s="43"/>
      <c r="L44" s="43"/>
      <c r="M44" s="43"/>
      <c r="N44" s="43"/>
      <c r="O44" s="43"/>
      <c r="P44" s="43"/>
      <c r="Q44" s="43"/>
      <c r="R44" s="43"/>
      <c r="T44" s="41"/>
    </row>
    <row r="45" spans="1:20">
      <c r="A45" s="43"/>
      <c r="B45" s="43"/>
      <c r="C45" s="43"/>
      <c r="D45" s="43"/>
      <c r="E45" s="43"/>
      <c r="F45" s="43"/>
      <c r="G45" s="43"/>
      <c r="H45" s="43"/>
      <c r="I45" s="43"/>
      <c r="J45" s="43"/>
      <c r="K45" s="43"/>
      <c r="L45" s="43"/>
      <c r="M45" s="43"/>
      <c r="N45" s="43"/>
      <c r="O45" s="43"/>
      <c r="P45" s="43"/>
      <c r="Q45" s="43"/>
      <c r="R45" s="43"/>
    </row>
    <row r="46" spans="1:20">
      <c r="A46" s="43"/>
      <c r="B46" s="43"/>
      <c r="C46" s="43"/>
      <c r="D46" s="43"/>
      <c r="E46" s="43"/>
      <c r="F46" s="43"/>
      <c r="G46" s="43"/>
      <c r="H46" s="43"/>
      <c r="I46" s="43"/>
      <c r="J46" s="43"/>
      <c r="K46" s="43"/>
      <c r="L46" s="43"/>
      <c r="M46" s="43"/>
      <c r="N46" s="43"/>
      <c r="O46" s="43"/>
      <c r="P46" s="43"/>
      <c r="Q46" s="43"/>
      <c r="R46" s="43"/>
      <c r="T46" s="41"/>
    </row>
    <row r="47" spans="1:20">
      <c r="A47" s="43"/>
      <c r="B47" s="43"/>
      <c r="C47" s="43"/>
      <c r="D47" s="43"/>
      <c r="E47" s="43"/>
      <c r="F47" s="43"/>
      <c r="G47" s="43"/>
      <c r="H47" s="43"/>
      <c r="I47" s="43"/>
      <c r="J47" s="43"/>
      <c r="K47" s="43"/>
      <c r="L47" s="43"/>
      <c r="M47" s="43"/>
      <c r="N47" s="43"/>
      <c r="O47" s="43"/>
      <c r="P47" s="43"/>
      <c r="Q47" s="43"/>
      <c r="R47" s="43"/>
      <c r="T47" s="41"/>
    </row>
    <row r="48" spans="1:20">
      <c r="A48" s="43"/>
      <c r="B48" s="43"/>
      <c r="C48" s="43"/>
      <c r="D48" s="43"/>
      <c r="E48" s="43"/>
      <c r="F48" s="43"/>
      <c r="G48" s="43"/>
      <c r="H48" s="43"/>
      <c r="I48" s="43"/>
      <c r="J48" s="43"/>
      <c r="K48" s="43"/>
      <c r="L48" s="43"/>
      <c r="M48" s="43"/>
      <c r="N48" s="43"/>
      <c r="O48" s="43"/>
      <c r="P48" s="43"/>
      <c r="Q48" s="43"/>
      <c r="R48" s="43"/>
      <c r="T48" s="41"/>
    </row>
    <row r="49" spans="1:18">
      <c r="A49" s="43"/>
      <c r="B49" s="43"/>
      <c r="C49" s="43"/>
      <c r="D49" s="43"/>
      <c r="E49" s="43"/>
      <c r="F49" s="43"/>
      <c r="G49" s="43"/>
      <c r="H49" s="43"/>
      <c r="I49" s="43"/>
      <c r="J49" s="43"/>
      <c r="K49" s="43"/>
      <c r="L49" s="43"/>
      <c r="M49" s="43"/>
      <c r="N49" s="43"/>
      <c r="O49" s="43"/>
      <c r="P49" s="43"/>
      <c r="Q49" s="43"/>
      <c r="R49" s="43"/>
    </row>
    <row r="50" spans="1:18">
      <c r="A50" s="43"/>
      <c r="B50" s="43"/>
      <c r="C50" s="43"/>
      <c r="D50" s="43"/>
      <c r="E50" s="43"/>
      <c r="F50" s="43"/>
      <c r="G50" s="43"/>
      <c r="H50" s="43"/>
      <c r="I50" s="43"/>
      <c r="J50" s="43"/>
      <c r="K50" s="43"/>
      <c r="L50" s="43"/>
      <c r="M50" s="43"/>
      <c r="N50" s="43"/>
      <c r="O50" s="43"/>
      <c r="P50" s="43"/>
      <c r="Q50" s="43"/>
      <c r="R50" s="43"/>
    </row>
    <row r="51" spans="1:18">
      <c r="A51" s="43"/>
      <c r="B51" s="43"/>
      <c r="C51" s="43"/>
      <c r="D51" s="43"/>
      <c r="E51" s="43"/>
      <c r="F51" s="43"/>
      <c r="G51" s="43"/>
      <c r="H51" s="43"/>
      <c r="I51" s="43"/>
      <c r="J51" s="43"/>
      <c r="K51" s="43"/>
      <c r="L51" s="43"/>
      <c r="M51" s="43"/>
      <c r="N51" s="43"/>
      <c r="O51" s="43"/>
      <c r="P51" s="43"/>
      <c r="Q51" s="43"/>
      <c r="R51" s="43"/>
    </row>
  </sheetData>
  <mergeCells count="2">
    <mergeCell ref="A1:R1"/>
    <mergeCell ref="Q35:R35"/>
  </mergeCells>
  <phoneticPr fontId="2"/>
  <pageMargins left="0.70866141732283472" right="0.70866141732283472" top="0" bottom="0" header="0.31496062992125984" footer="0.31496062992125984"/>
  <pageSetup paperSize="9" orientation="landscape" horizontalDpi="4294967293" r:id="rId1"/>
  <drawing r:id="rId2"/>
  <legacyDrawing r:id="rId3"/>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CBCE-A9B9-4DF7-9E60-61F15DADB5BC}">
  <dimension ref="A1:AC51"/>
  <sheetViews>
    <sheetView zoomScaleNormal="100" workbookViewId="0">
      <selection activeCell="B36" sqref="B36"/>
    </sheetView>
  </sheetViews>
  <sheetFormatPr defaultColWidth="9" defaultRowHeight="18.75"/>
  <cols>
    <col min="1" max="18" width="6.625" style="40" customWidth="1"/>
    <col min="19" max="19" width="3.625" style="40" customWidth="1"/>
    <col min="20" max="20" width="6.625" style="40" customWidth="1"/>
    <col min="21" max="21" width="3.625" style="40" customWidth="1"/>
    <col min="22" max="37" width="6.625" style="40" customWidth="1"/>
    <col min="38" max="38" width="3.625" style="40" customWidth="1"/>
    <col min="39" max="16384" width="9" style="40"/>
  </cols>
  <sheetData>
    <row r="1" spans="1:29">
      <c r="A1" s="147" t="s">
        <v>722</v>
      </c>
      <c r="B1" s="147"/>
      <c r="C1" s="147"/>
      <c r="D1" s="147"/>
      <c r="E1" s="147"/>
      <c r="F1" s="147"/>
      <c r="G1" s="147"/>
      <c r="H1" s="147"/>
      <c r="I1" s="147"/>
      <c r="J1" s="147"/>
      <c r="K1" s="147"/>
      <c r="L1" s="147"/>
      <c r="M1" s="147"/>
      <c r="N1" s="147"/>
      <c r="O1" s="147"/>
      <c r="P1" s="147"/>
      <c r="Q1" s="147"/>
      <c r="R1" s="147"/>
      <c r="X1" s="40" t="s">
        <v>669</v>
      </c>
    </row>
    <row r="2" spans="1:29" ht="16.5" customHeight="1">
      <c r="A2" s="26" t="s">
        <v>244</v>
      </c>
      <c r="B2" s="27">
        <v>44186</v>
      </c>
      <c r="C2" s="27">
        <v>44187</v>
      </c>
      <c r="D2" s="27">
        <v>44188</v>
      </c>
      <c r="E2" s="27">
        <v>44189</v>
      </c>
      <c r="F2" s="27">
        <v>44190</v>
      </c>
      <c r="G2" s="31">
        <v>44191</v>
      </c>
      <c r="H2" s="31">
        <v>44192</v>
      </c>
      <c r="I2" s="27">
        <v>44193</v>
      </c>
      <c r="J2" s="27">
        <v>44194</v>
      </c>
      <c r="K2" s="31">
        <v>44195</v>
      </c>
      <c r="L2" s="31">
        <v>44196</v>
      </c>
      <c r="M2" s="23" t="s">
        <v>278</v>
      </c>
      <c r="N2" s="30">
        <v>44197</v>
      </c>
      <c r="O2" s="30">
        <v>44198</v>
      </c>
      <c r="P2" s="30">
        <v>44199</v>
      </c>
      <c r="Q2" s="30">
        <v>44200</v>
      </c>
      <c r="R2" s="25">
        <v>44201</v>
      </c>
      <c r="V2" s="40" t="s">
        <v>63</v>
      </c>
      <c r="X2" s="40" t="s">
        <v>64</v>
      </c>
      <c r="Z2" s="40" t="s">
        <v>65</v>
      </c>
      <c r="AB2" s="40" t="s">
        <v>169</v>
      </c>
    </row>
    <row r="3" spans="1:29" ht="16.5" customHeight="1">
      <c r="A3" s="28">
        <v>1</v>
      </c>
      <c r="B3" s="19"/>
      <c r="C3" s="19"/>
      <c r="D3" s="19"/>
      <c r="E3" s="19"/>
      <c r="F3" s="19"/>
      <c r="G3" s="19" t="s">
        <v>737</v>
      </c>
      <c r="H3" s="19" t="s">
        <v>21</v>
      </c>
      <c r="I3" s="19"/>
      <c r="J3" s="19"/>
      <c r="K3" s="19"/>
      <c r="L3" s="19"/>
      <c r="M3" s="36"/>
      <c r="N3" s="19"/>
      <c r="O3" s="19"/>
      <c r="P3" s="19"/>
      <c r="Q3" s="19"/>
      <c r="R3" s="19"/>
      <c r="V3" s="40" t="s">
        <v>25</v>
      </c>
      <c r="W3" s="40">
        <v>1</v>
      </c>
      <c r="X3" s="40" t="s">
        <v>45</v>
      </c>
      <c r="Y3" s="40">
        <v>2</v>
      </c>
      <c r="Z3" s="40" t="s">
        <v>34</v>
      </c>
      <c r="AB3" s="40" t="s">
        <v>153</v>
      </c>
      <c r="AC3" s="40">
        <v>6</v>
      </c>
    </row>
    <row r="4" spans="1:29" ht="16.5" customHeight="1">
      <c r="A4" s="28">
        <v>2</v>
      </c>
      <c r="B4" s="19"/>
      <c r="C4" s="19"/>
      <c r="D4" s="19"/>
      <c r="E4" s="19"/>
      <c r="F4" s="19"/>
      <c r="G4" s="19" t="s">
        <v>741</v>
      </c>
      <c r="H4" s="19" t="s">
        <v>742</v>
      </c>
      <c r="I4" s="19"/>
      <c r="J4" s="19"/>
      <c r="K4" s="19"/>
      <c r="L4" s="19"/>
      <c r="M4" s="36"/>
      <c r="N4" s="19"/>
      <c r="O4" s="19"/>
      <c r="P4" s="19"/>
      <c r="Q4" s="19"/>
      <c r="R4" s="19"/>
      <c r="T4" s="41"/>
      <c r="U4" s="41"/>
      <c r="V4" s="40" t="s">
        <v>2</v>
      </c>
      <c r="W4" s="40">
        <v>2</v>
      </c>
      <c r="X4" s="40" t="s">
        <v>46</v>
      </c>
      <c r="Y4" s="40">
        <v>0</v>
      </c>
      <c r="Z4" s="40" t="s">
        <v>35</v>
      </c>
      <c r="AB4" s="40" t="s">
        <v>26</v>
      </c>
      <c r="AC4" s="40">
        <v>4</v>
      </c>
    </row>
    <row r="5" spans="1:29" ht="16.5" customHeight="1">
      <c r="A5" s="28">
        <v>3</v>
      </c>
      <c r="B5" s="19"/>
      <c r="C5" s="19"/>
      <c r="D5" s="19"/>
      <c r="E5" s="19"/>
      <c r="F5" s="19"/>
      <c r="G5" s="19" t="s">
        <v>756</v>
      </c>
      <c r="H5" s="19" t="s">
        <v>757</v>
      </c>
      <c r="I5" s="19"/>
      <c r="J5" s="19"/>
      <c r="K5" s="19"/>
      <c r="L5" s="19"/>
      <c r="M5" s="36"/>
      <c r="N5" s="19"/>
      <c r="O5" s="19"/>
      <c r="P5" s="19"/>
      <c r="Q5" s="19"/>
      <c r="R5" s="19"/>
      <c r="T5" s="41"/>
      <c r="U5" s="41"/>
      <c r="V5" s="40" t="s">
        <v>14</v>
      </c>
      <c r="W5" s="40">
        <v>2</v>
      </c>
      <c r="X5" s="40" t="s">
        <v>6</v>
      </c>
      <c r="Y5" s="40">
        <v>2</v>
      </c>
      <c r="Z5" s="40" t="s">
        <v>8</v>
      </c>
      <c r="AB5" s="40" t="s">
        <v>6</v>
      </c>
      <c r="AC5" s="40">
        <v>1</v>
      </c>
    </row>
    <row r="6" spans="1:29" ht="16.5" customHeight="1">
      <c r="A6" s="28" t="s">
        <v>20</v>
      </c>
      <c r="B6" s="19" t="s">
        <v>728</v>
      </c>
      <c r="C6" s="19" t="s">
        <v>13</v>
      </c>
      <c r="D6" s="19" t="s">
        <v>13</v>
      </c>
      <c r="E6" s="19" t="s">
        <v>13</v>
      </c>
      <c r="F6" s="19" t="s">
        <v>13</v>
      </c>
      <c r="G6" s="19" t="s">
        <v>13</v>
      </c>
      <c r="H6" s="19" t="s">
        <v>13</v>
      </c>
      <c r="I6" s="19" t="s">
        <v>729</v>
      </c>
      <c r="J6" s="19" t="s">
        <v>13</v>
      </c>
      <c r="K6" s="19"/>
      <c r="L6" s="19"/>
      <c r="M6" s="36"/>
      <c r="N6" s="19"/>
      <c r="O6" s="19"/>
      <c r="P6" s="19"/>
      <c r="Q6" s="19"/>
      <c r="R6" s="19" t="s">
        <v>729</v>
      </c>
      <c r="T6" s="41"/>
      <c r="U6" s="41"/>
      <c r="V6" s="40" t="s">
        <v>7</v>
      </c>
      <c r="W6" s="40">
        <v>2</v>
      </c>
      <c r="X6" s="40" t="s">
        <v>23</v>
      </c>
      <c r="Y6" s="40">
        <v>1</v>
      </c>
      <c r="Z6" s="40" t="s">
        <v>38</v>
      </c>
      <c r="AB6" s="40" t="s">
        <v>152</v>
      </c>
      <c r="AC6" s="40">
        <v>8</v>
      </c>
    </row>
    <row r="7" spans="1:29" ht="16.5" customHeight="1">
      <c r="A7" s="28" t="s">
        <v>0</v>
      </c>
      <c r="B7" s="19"/>
      <c r="C7" s="19"/>
      <c r="D7" s="19"/>
      <c r="E7" s="19" t="s">
        <v>726</v>
      </c>
      <c r="F7" s="19" t="s">
        <v>724</v>
      </c>
      <c r="G7" s="19" t="s">
        <v>724</v>
      </c>
      <c r="H7" s="19"/>
      <c r="I7" s="19"/>
      <c r="J7" s="19"/>
      <c r="K7" s="19"/>
      <c r="L7" s="19"/>
      <c r="M7" s="36"/>
      <c r="N7" s="19"/>
      <c r="O7" s="19"/>
      <c r="P7" s="19"/>
      <c r="Q7" s="19"/>
      <c r="R7" s="19"/>
      <c r="T7" s="41"/>
      <c r="U7" s="41"/>
      <c r="V7" s="40" t="s">
        <v>21</v>
      </c>
      <c r="W7" s="40">
        <v>2</v>
      </c>
      <c r="X7" s="40" t="s">
        <v>153</v>
      </c>
      <c r="Y7" s="40">
        <v>1</v>
      </c>
      <c r="Z7" s="40" t="s">
        <v>36</v>
      </c>
      <c r="AB7" s="40" t="s">
        <v>23</v>
      </c>
      <c r="AC7" s="40">
        <v>3</v>
      </c>
    </row>
    <row r="8" spans="1:29" ht="16.5" customHeight="1">
      <c r="A8" s="28" t="s">
        <v>1</v>
      </c>
      <c r="B8" s="19" t="s">
        <v>723</v>
      </c>
      <c r="C8" s="19" t="s">
        <v>724</v>
      </c>
      <c r="D8" s="19" t="s">
        <v>724</v>
      </c>
      <c r="E8" s="19" t="s">
        <v>724</v>
      </c>
      <c r="F8" s="19"/>
      <c r="G8" s="19"/>
      <c r="H8" s="19" t="s">
        <v>725</v>
      </c>
      <c r="I8" s="19" t="s">
        <v>724</v>
      </c>
      <c r="J8" s="19" t="s">
        <v>13</v>
      </c>
      <c r="K8" s="19"/>
      <c r="L8" s="19"/>
      <c r="M8" s="36"/>
      <c r="N8" s="19"/>
      <c r="O8" s="19"/>
      <c r="P8" s="19"/>
      <c r="Q8" s="19"/>
      <c r="R8" s="19" t="s">
        <v>723</v>
      </c>
      <c r="T8" s="41"/>
      <c r="V8" s="40" t="s">
        <v>26</v>
      </c>
      <c r="W8" s="40">
        <v>2</v>
      </c>
      <c r="X8" s="40" t="s">
        <v>327</v>
      </c>
      <c r="Y8" s="40">
        <v>2</v>
      </c>
      <c r="Z8" s="40" t="s">
        <v>37</v>
      </c>
      <c r="AB8" s="40" t="s">
        <v>25</v>
      </c>
      <c r="AC8" s="40">
        <v>2</v>
      </c>
    </row>
    <row r="9" spans="1:29" ht="16.5" customHeight="1">
      <c r="A9" s="28" t="s">
        <v>366</v>
      </c>
      <c r="B9" s="19"/>
      <c r="C9" s="19"/>
      <c r="D9" s="19"/>
      <c r="E9" s="19"/>
      <c r="F9" s="19"/>
      <c r="G9" s="19"/>
      <c r="H9" s="19"/>
      <c r="I9" s="19"/>
      <c r="J9" s="19"/>
      <c r="K9" s="19"/>
      <c r="L9" s="19"/>
      <c r="M9" s="36"/>
      <c r="N9" s="19"/>
      <c r="O9" s="19"/>
      <c r="P9" s="19"/>
      <c r="Q9" s="19"/>
      <c r="R9" s="19"/>
      <c r="T9" s="41"/>
      <c r="V9" s="40" t="s">
        <v>27</v>
      </c>
      <c r="W9" s="40">
        <v>2</v>
      </c>
      <c r="X9" s="40" t="s">
        <v>28</v>
      </c>
      <c r="Y9" s="40">
        <v>2</v>
      </c>
      <c r="Z9" s="40" t="s">
        <v>249</v>
      </c>
      <c r="AB9" s="40" t="s">
        <v>327</v>
      </c>
      <c r="AC9" s="40">
        <v>5</v>
      </c>
    </row>
    <row r="10" spans="1:29" ht="16.5" customHeight="1">
      <c r="A10" s="23" t="s">
        <v>278</v>
      </c>
      <c r="B10" s="25">
        <v>44202</v>
      </c>
      <c r="C10" s="25">
        <v>44203</v>
      </c>
      <c r="D10" s="25">
        <v>44204</v>
      </c>
      <c r="E10" s="30">
        <v>44205</v>
      </c>
      <c r="F10" s="30">
        <v>44206</v>
      </c>
      <c r="G10" s="25">
        <v>44207</v>
      </c>
      <c r="H10" s="25">
        <v>44208</v>
      </c>
      <c r="I10" s="25">
        <v>44209</v>
      </c>
      <c r="J10" s="25">
        <v>44210</v>
      </c>
      <c r="K10" s="25">
        <v>44211</v>
      </c>
      <c r="L10" s="30">
        <v>44212</v>
      </c>
      <c r="M10" s="30">
        <v>44213</v>
      </c>
      <c r="N10" s="25">
        <v>44214</v>
      </c>
      <c r="O10" s="25">
        <v>44215</v>
      </c>
      <c r="P10" s="25">
        <v>44216</v>
      </c>
      <c r="Q10" s="19"/>
      <c r="R10" s="19"/>
      <c r="T10" s="41"/>
      <c r="V10" s="40" t="s">
        <v>533</v>
      </c>
      <c r="W10" s="40">
        <v>1</v>
      </c>
      <c r="X10" s="40" t="s">
        <v>152</v>
      </c>
      <c r="Y10" s="40">
        <v>2</v>
      </c>
      <c r="AB10" s="40" t="s">
        <v>516</v>
      </c>
      <c r="AC10" s="40">
        <v>7</v>
      </c>
    </row>
    <row r="11" spans="1:29" ht="16.5" customHeight="1">
      <c r="A11" s="36">
        <v>1</v>
      </c>
      <c r="B11" s="19"/>
      <c r="C11" s="19"/>
      <c r="D11" s="19"/>
      <c r="E11" s="19" t="s">
        <v>14</v>
      </c>
      <c r="F11" s="19" t="s">
        <v>738</v>
      </c>
      <c r="G11" s="19"/>
      <c r="H11" s="19"/>
      <c r="I11" s="19"/>
      <c r="J11" s="19"/>
      <c r="K11" s="19"/>
      <c r="L11" s="19" t="s">
        <v>749</v>
      </c>
      <c r="M11" s="19" t="s">
        <v>748</v>
      </c>
      <c r="N11" s="19"/>
      <c r="O11" s="19"/>
      <c r="P11" s="19"/>
      <c r="Q11" s="19"/>
      <c r="R11" s="19"/>
      <c r="T11" s="41"/>
      <c r="V11" s="40" t="s">
        <v>516</v>
      </c>
      <c r="W11" s="40">
        <v>2</v>
      </c>
      <c r="X11" s="40" t="s">
        <v>249</v>
      </c>
      <c r="Y11" s="40">
        <v>2</v>
      </c>
    </row>
    <row r="12" spans="1:29" ht="16.5" customHeight="1">
      <c r="A12" s="36">
        <v>2</v>
      </c>
      <c r="B12" s="19"/>
      <c r="C12" s="19"/>
      <c r="D12" s="19"/>
      <c r="E12" s="19" t="s">
        <v>747</v>
      </c>
      <c r="F12" s="19" t="s">
        <v>743</v>
      </c>
      <c r="G12" s="19"/>
      <c r="H12" s="19"/>
      <c r="I12" s="19"/>
      <c r="J12" s="19"/>
      <c r="K12" s="19"/>
      <c r="L12" s="19" t="s">
        <v>740</v>
      </c>
      <c r="M12" s="19" t="s">
        <v>746</v>
      </c>
      <c r="N12" s="19"/>
      <c r="O12" s="19"/>
      <c r="P12" s="19"/>
      <c r="Q12" s="19"/>
      <c r="R12" s="19"/>
      <c r="T12" s="41"/>
      <c r="X12" s="40" t="s">
        <v>690</v>
      </c>
      <c r="Y12" s="40">
        <v>2</v>
      </c>
    </row>
    <row r="13" spans="1:29" ht="16.5" customHeight="1">
      <c r="A13" s="36">
        <v>3</v>
      </c>
      <c r="B13" s="19"/>
      <c r="C13" s="19"/>
      <c r="D13" s="19"/>
      <c r="E13" s="19" t="s">
        <v>758</v>
      </c>
      <c r="F13" s="19" t="s">
        <v>759</v>
      </c>
      <c r="G13" s="19"/>
      <c r="H13" s="19"/>
      <c r="I13" s="19"/>
      <c r="J13" s="19"/>
      <c r="K13" s="19"/>
      <c r="L13" s="19" t="s">
        <v>763</v>
      </c>
      <c r="M13" s="19" t="s">
        <v>760</v>
      </c>
      <c r="N13" s="19"/>
      <c r="O13" s="19"/>
      <c r="P13" s="19"/>
      <c r="Q13" s="19"/>
      <c r="R13" s="19"/>
      <c r="T13" s="41"/>
    </row>
    <row r="14" spans="1:29" ht="16.5" customHeight="1">
      <c r="A14" s="36" t="s">
        <v>20</v>
      </c>
      <c r="B14" s="19" t="s">
        <v>729</v>
      </c>
      <c r="C14" s="19" t="s">
        <v>13</v>
      </c>
      <c r="D14" s="19" t="s">
        <v>13</v>
      </c>
      <c r="E14" s="19" t="s">
        <v>13</v>
      </c>
      <c r="F14" s="19" t="s">
        <v>13</v>
      </c>
      <c r="G14" s="19" t="s">
        <v>730</v>
      </c>
      <c r="H14" s="19" t="s">
        <v>13</v>
      </c>
      <c r="I14" s="19" t="s">
        <v>13</v>
      </c>
      <c r="J14" s="19" t="s">
        <v>13</v>
      </c>
      <c r="K14" s="19" t="s">
        <v>13</v>
      </c>
      <c r="L14" s="19" t="s">
        <v>13</v>
      </c>
      <c r="M14" s="19" t="s">
        <v>13</v>
      </c>
      <c r="N14" s="19" t="s">
        <v>731</v>
      </c>
      <c r="O14" s="19" t="s">
        <v>13</v>
      </c>
      <c r="P14" s="19" t="s">
        <v>13</v>
      </c>
      <c r="Q14" s="19"/>
      <c r="R14" s="19"/>
      <c r="T14" s="41"/>
    </row>
    <row r="15" spans="1:29" ht="16.5" customHeight="1">
      <c r="A15" s="36" t="s">
        <v>0</v>
      </c>
      <c r="B15" s="19"/>
      <c r="C15" s="19" t="s">
        <v>726</v>
      </c>
      <c r="D15" s="19" t="s">
        <v>724</v>
      </c>
      <c r="E15" s="19" t="s">
        <v>724</v>
      </c>
      <c r="F15" s="19"/>
      <c r="G15" s="19"/>
      <c r="H15" s="19"/>
      <c r="I15" s="19"/>
      <c r="J15" s="19" t="s">
        <v>726</v>
      </c>
      <c r="K15" s="19" t="s">
        <v>724</v>
      </c>
      <c r="L15" s="19" t="s">
        <v>724</v>
      </c>
      <c r="M15" s="19"/>
      <c r="N15" s="19"/>
      <c r="O15" s="19"/>
      <c r="P15" s="19"/>
      <c r="Q15" s="19"/>
      <c r="R15" s="19"/>
      <c r="T15" s="41"/>
      <c r="V15" s="40" t="s">
        <v>696</v>
      </c>
      <c r="W15" s="40">
        <f>SUM(W2:W14)</f>
        <v>16</v>
      </c>
      <c r="Y15" s="40">
        <f>SUM(Y2:Y14)</f>
        <v>16</v>
      </c>
      <c r="AA15" s="40">
        <f>SUM(AA2:AA14)</f>
        <v>0</v>
      </c>
    </row>
    <row r="16" spans="1:29" ht="16.5" customHeight="1">
      <c r="A16" s="36" t="s">
        <v>1</v>
      </c>
      <c r="B16" s="19" t="s">
        <v>723</v>
      </c>
      <c r="C16" s="19" t="s">
        <v>724</v>
      </c>
      <c r="D16" s="19"/>
      <c r="E16" s="19"/>
      <c r="F16" s="19" t="s">
        <v>725</v>
      </c>
      <c r="G16" s="19" t="s">
        <v>724</v>
      </c>
      <c r="H16" s="19" t="s">
        <v>724</v>
      </c>
      <c r="I16" s="19" t="s">
        <v>724</v>
      </c>
      <c r="J16" s="19" t="s">
        <v>724</v>
      </c>
      <c r="K16" s="19"/>
      <c r="L16" s="19"/>
      <c r="M16" s="19" t="s">
        <v>723</v>
      </c>
      <c r="N16" s="19" t="s">
        <v>724</v>
      </c>
      <c r="O16" s="19" t="s">
        <v>724</v>
      </c>
      <c r="P16" s="19" t="s">
        <v>724</v>
      </c>
      <c r="Q16" s="19"/>
      <c r="R16" s="19"/>
      <c r="T16" s="41"/>
    </row>
    <row r="17" spans="1:29" ht="16.5" customHeight="1">
      <c r="A17" s="36" t="s">
        <v>366</v>
      </c>
      <c r="B17" s="19"/>
      <c r="C17" s="19"/>
      <c r="D17" s="19"/>
      <c r="E17" s="19"/>
      <c r="F17" s="19"/>
      <c r="G17" s="19"/>
      <c r="H17" s="19"/>
      <c r="I17" s="19"/>
      <c r="J17" s="19"/>
      <c r="K17" s="19"/>
      <c r="L17" s="19"/>
      <c r="M17" s="19"/>
      <c r="N17" s="19"/>
      <c r="O17" s="19"/>
      <c r="P17" s="19"/>
      <c r="Q17" s="19"/>
      <c r="R17" s="19"/>
      <c r="T17" s="41"/>
    </row>
    <row r="18" spans="1:29" ht="11.25" customHeight="1">
      <c r="A18" s="42"/>
      <c r="B18" s="37"/>
      <c r="C18" s="37"/>
      <c r="D18" s="37"/>
      <c r="E18" s="37"/>
      <c r="F18" s="37"/>
      <c r="G18" s="37"/>
      <c r="H18" s="38"/>
      <c r="I18" s="38"/>
      <c r="J18" s="38"/>
      <c r="K18" s="38"/>
      <c r="L18" s="38"/>
      <c r="M18" s="38"/>
      <c r="N18" s="38"/>
      <c r="O18" s="38"/>
      <c r="P18" s="37"/>
      <c r="Q18" s="37"/>
      <c r="R18" s="39"/>
      <c r="T18" s="41"/>
      <c r="X18" s="40" t="s">
        <v>495</v>
      </c>
    </row>
    <row r="19" spans="1:29" ht="16.5" customHeight="1">
      <c r="A19" s="23" t="s">
        <v>278</v>
      </c>
      <c r="B19" s="25">
        <v>44217</v>
      </c>
      <c r="C19" s="25">
        <v>44218</v>
      </c>
      <c r="D19" s="30">
        <v>44219</v>
      </c>
      <c r="E19" s="30">
        <v>44220</v>
      </c>
      <c r="F19" s="25">
        <v>44221</v>
      </c>
      <c r="G19" s="25">
        <v>44222</v>
      </c>
      <c r="H19" s="25">
        <v>44223</v>
      </c>
      <c r="I19" s="25">
        <v>44224</v>
      </c>
      <c r="J19" s="25">
        <v>44225</v>
      </c>
      <c r="K19" s="30">
        <v>44226</v>
      </c>
      <c r="L19" s="30">
        <v>44227</v>
      </c>
      <c r="M19" s="26" t="s">
        <v>279</v>
      </c>
      <c r="N19" s="27">
        <v>44228</v>
      </c>
      <c r="O19" s="27">
        <v>44229</v>
      </c>
      <c r="P19" s="27">
        <v>44230</v>
      </c>
      <c r="Q19" s="27">
        <v>44231</v>
      </c>
      <c r="R19" s="27">
        <v>44232</v>
      </c>
      <c r="T19" s="41"/>
      <c r="V19" s="40" t="s">
        <v>63</v>
      </c>
      <c r="X19" s="40" t="s">
        <v>64</v>
      </c>
      <c r="Z19" s="40" t="s">
        <v>65</v>
      </c>
      <c r="AB19" s="40" t="s">
        <v>169</v>
      </c>
    </row>
    <row r="20" spans="1:29" ht="16.5" customHeight="1">
      <c r="A20" s="36">
        <v>1</v>
      </c>
      <c r="B20" s="19"/>
      <c r="C20" s="19"/>
      <c r="D20" s="19" t="s">
        <v>751</v>
      </c>
      <c r="E20" s="19" t="s">
        <v>752</v>
      </c>
      <c r="F20" s="19"/>
      <c r="G20" s="19"/>
      <c r="H20" s="19"/>
      <c r="I20" s="19"/>
      <c r="J20" s="19"/>
      <c r="K20" s="19" t="s">
        <v>750</v>
      </c>
      <c r="L20" s="19" t="s">
        <v>739</v>
      </c>
      <c r="M20" s="28"/>
      <c r="N20" s="19"/>
      <c r="O20" s="19"/>
      <c r="P20" s="19"/>
      <c r="Q20" s="19"/>
      <c r="R20" s="19"/>
      <c r="T20" s="41"/>
      <c r="V20" s="40" t="s">
        <v>25</v>
      </c>
      <c r="W20" s="40">
        <v>2</v>
      </c>
      <c r="X20" s="40" t="s">
        <v>45</v>
      </c>
      <c r="Y20" s="40">
        <v>2</v>
      </c>
      <c r="Z20" s="40" t="s">
        <v>34</v>
      </c>
      <c r="AA20" s="40">
        <v>3</v>
      </c>
      <c r="AB20" s="40" t="s">
        <v>153</v>
      </c>
      <c r="AC20" s="40">
        <v>5</v>
      </c>
    </row>
    <row r="21" spans="1:29" ht="16.5" customHeight="1">
      <c r="A21" s="36">
        <v>2</v>
      </c>
      <c r="B21" s="19"/>
      <c r="C21" s="19"/>
      <c r="D21" s="19" t="s">
        <v>745</v>
      </c>
      <c r="E21" s="19" t="s">
        <v>744</v>
      </c>
      <c r="F21" s="19"/>
      <c r="G21" s="19"/>
      <c r="H21" s="19"/>
      <c r="I21" s="19"/>
      <c r="J21" s="19"/>
      <c r="K21" s="19" t="s">
        <v>742</v>
      </c>
      <c r="L21" s="19" t="s">
        <v>741</v>
      </c>
      <c r="M21" s="28"/>
      <c r="N21" s="19"/>
      <c r="O21" s="19"/>
      <c r="P21" s="19"/>
      <c r="Q21" s="19"/>
      <c r="R21" s="19"/>
      <c r="T21" s="41"/>
      <c r="V21" s="40" t="s">
        <v>2</v>
      </c>
      <c r="W21" s="40">
        <v>2</v>
      </c>
      <c r="X21" s="40" t="s">
        <v>46</v>
      </c>
      <c r="Y21" s="40">
        <v>0</v>
      </c>
      <c r="Z21" s="40" t="s">
        <v>38</v>
      </c>
      <c r="AA21" s="40">
        <v>2</v>
      </c>
      <c r="AB21" s="40" t="s">
        <v>26</v>
      </c>
      <c r="AC21" s="40">
        <v>3</v>
      </c>
    </row>
    <row r="22" spans="1:29" ht="16.5" customHeight="1">
      <c r="A22" s="36">
        <v>3</v>
      </c>
      <c r="B22" s="19"/>
      <c r="C22" s="19"/>
      <c r="D22" s="19" t="s">
        <v>756</v>
      </c>
      <c r="E22" s="19" t="s">
        <v>757</v>
      </c>
      <c r="F22" s="19"/>
      <c r="G22" s="19"/>
      <c r="H22" s="19"/>
      <c r="I22" s="19"/>
      <c r="J22" s="19"/>
      <c r="K22" s="19" t="s">
        <v>759</v>
      </c>
      <c r="L22" s="19" t="s">
        <v>758</v>
      </c>
      <c r="M22" s="28"/>
      <c r="N22" s="19"/>
      <c r="O22" s="19"/>
      <c r="P22" s="19"/>
      <c r="Q22" s="19"/>
      <c r="R22" s="19"/>
      <c r="T22" s="41"/>
      <c r="V22" s="40" t="s">
        <v>14</v>
      </c>
      <c r="W22" s="40">
        <v>2</v>
      </c>
      <c r="X22" s="40" t="s">
        <v>6</v>
      </c>
      <c r="Y22" s="40">
        <v>2</v>
      </c>
      <c r="Z22" s="40" t="s">
        <v>249</v>
      </c>
      <c r="AA22" s="40">
        <v>2</v>
      </c>
      <c r="AB22" s="40" t="s">
        <v>6</v>
      </c>
      <c r="AC22" s="40">
        <v>8</v>
      </c>
    </row>
    <row r="23" spans="1:29" ht="16.5" customHeight="1">
      <c r="A23" s="36" t="s">
        <v>20</v>
      </c>
      <c r="B23" s="19" t="s">
        <v>731</v>
      </c>
      <c r="C23" s="19" t="s">
        <v>13</v>
      </c>
      <c r="D23" s="19" t="s">
        <v>13</v>
      </c>
      <c r="E23" s="19" t="s">
        <v>13</v>
      </c>
      <c r="F23" s="19" t="s">
        <v>732</v>
      </c>
      <c r="G23" s="19" t="s">
        <v>13</v>
      </c>
      <c r="H23" s="19" t="s">
        <v>13</v>
      </c>
      <c r="I23" s="19" t="s">
        <v>13</v>
      </c>
      <c r="J23" s="19" t="s">
        <v>13</v>
      </c>
      <c r="K23" s="19" t="s">
        <v>13</v>
      </c>
      <c r="L23" s="19" t="s">
        <v>13</v>
      </c>
      <c r="M23" s="28"/>
      <c r="N23" s="19" t="s">
        <v>733</v>
      </c>
      <c r="O23" s="19" t="s">
        <v>734</v>
      </c>
      <c r="P23" s="19" t="s">
        <v>734</v>
      </c>
      <c r="Q23" s="19" t="s">
        <v>734</v>
      </c>
      <c r="R23" s="19" t="s">
        <v>734</v>
      </c>
      <c r="T23" s="41"/>
      <c r="V23" s="40" t="s">
        <v>7</v>
      </c>
      <c r="W23" s="40">
        <v>1</v>
      </c>
      <c r="X23" s="40" t="s">
        <v>23</v>
      </c>
      <c r="Y23" s="40">
        <v>1</v>
      </c>
      <c r="Z23" s="40" t="s">
        <v>10</v>
      </c>
      <c r="AA23" s="40">
        <v>2</v>
      </c>
      <c r="AB23" s="40" t="s">
        <v>152</v>
      </c>
      <c r="AC23" s="40">
        <v>7</v>
      </c>
    </row>
    <row r="24" spans="1:29" ht="16.5" customHeight="1">
      <c r="A24" s="36" t="s">
        <v>0</v>
      </c>
      <c r="B24" s="19" t="s">
        <v>726</v>
      </c>
      <c r="C24" s="19" t="s">
        <v>724</v>
      </c>
      <c r="D24" s="19" t="s">
        <v>724</v>
      </c>
      <c r="E24" s="19"/>
      <c r="F24" s="19"/>
      <c r="G24" s="19"/>
      <c r="H24" s="19"/>
      <c r="I24" s="19" t="s">
        <v>726</v>
      </c>
      <c r="J24" s="19" t="s">
        <v>724</v>
      </c>
      <c r="K24" s="19" t="s">
        <v>724</v>
      </c>
      <c r="L24" s="19"/>
      <c r="M24" s="28"/>
      <c r="N24" s="19"/>
      <c r="O24" s="19"/>
      <c r="P24" s="19"/>
      <c r="Q24" s="19" t="s">
        <v>726</v>
      </c>
      <c r="R24" s="19" t="s">
        <v>724</v>
      </c>
      <c r="T24" s="41"/>
      <c r="V24" s="40" t="s">
        <v>21</v>
      </c>
      <c r="W24" s="40">
        <v>2</v>
      </c>
      <c r="X24" s="40" t="s">
        <v>153</v>
      </c>
      <c r="Y24" s="40">
        <v>2</v>
      </c>
      <c r="Z24" s="40" t="s">
        <v>36</v>
      </c>
      <c r="AA24" s="40">
        <v>3</v>
      </c>
      <c r="AB24" s="40" t="s">
        <v>23</v>
      </c>
      <c r="AC24" s="40">
        <v>2</v>
      </c>
    </row>
    <row r="25" spans="1:29" ht="16.5" customHeight="1">
      <c r="A25" s="36" t="s">
        <v>1</v>
      </c>
      <c r="B25" s="19" t="s">
        <v>723</v>
      </c>
      <c r="C25" s="19"/>
      <c r="D25" s="19"/>
      <c r="E25" s="19" t="s">
        <v>725</v>
      </c>
      <c r="F25" s="19" t="s">
        <v>724</v>
      </c>
      <c r="G25" s="19" t="s">
        <v>724</v>
      </c>
      <c r="H25" s="19" t="s">
        <v>724</v>
      </c>
      <c r="I25" s="19" t="s">
        <v>724</v>
      </c>
      <c r="J25" s="19"/>
      <c r="K25" s="19"/>
      <c r="L25" s="19" t="s">
        <v>723</v>
      </c>
      <c r="M25" s="28"/>
      <c r="N25" s="19" t="s">
        <v>723</v>
      </c>
      <c r="O25" s="19" t="s">
        <v>724</v>
      </c>
      <c r="P25" s="19" t="s">
        <v>724</v>
      </c>
      <c r="Q25" s="19" t="s">
        <v>724</v>
      </c>
      <c r="R25" s="19"/>
      <c r="T25" s="41"/>
      <c r="V25" s="40" t="s">
        <v>26</v>
      </c>
      <c r="W25" s="40">
        <v>1</v>
      </c>
      <c r="X25" s="40" t="s">
        <v>327</v>
      </c>
      <c r="Y25" s="40">
        <v>2</v>
      </c>
      <c r="Z25" s="40" t="s">
        <v>37</v>
      </c>
      <c r="AA25" s="40">
        <v>3</v>
      </c>
      <c r="AB25" s="40" t="s">
        <v>25</v>
      </c>
      <c r="AC25" s="40">
        <v>1</v>
      </c>
    </row>
    <row r="26" spans="1:29" ht="16.5" customHeight="1">
      <c r="A26" s="36" t="s">
        <v>366</v>
      </c>
      <c r="B26" s="19"/>
      <c r="C26" s="19"/>
      <c r="D26" s="19"/>
      <c r="E26" s="19"/>
      <c r="F26" s="19"/>
      <c r="G26" s="19"/>
      <c r="H26" s="19"/>
      <c r="I26" s="19"/>
      <c r="J26" s="19"/>
      <c r="K26" s="19"/>
      <c r="L26" s="19"/>
      <c r="M26" s="28"/>
      <c r="N26" s="19"/>
      <c r="O26" s="19"/>
      <c r="P26" s="19"/>
      <c r="Q26" s="19"/>
      <c r="R26" s="19"/>
      <c r="T26" s="41"/>
      <c r="V26" s="40" t="s">
        <v>27</v>
      </c>
      <c r="W26" s="40">
        <v>2</v>
      </c>
      <c r="X26" s="40" t="s">
        <v>28</v>
      </c>
      <c r="Y26" s="40">
        <v>2</v>
      </c>
      <c r="AB26" s="40" t="s">
        <v>327</v>
      </c>
      <c r="AC26" s="40">
        <v>4</v>
      </c>
    </row>
    <row r="27" spans="1:29" ht="16.5" customHeight="1">
      <c r="A27" s="26" t="s">
        <v>279</v>
      </c>
      <c r="B27" s="31">
        <v>44233</v>
      </c>
      <c r="C27" s="31">
        <v>44234</v>
      </c>
      <c r="D27" s="27">
        <v>44235</v>
      </c>
      <c r="E27" s="27">
        <v>44236</v>
      </c>
      <c r="F27" s="27">
        <v>44237</v>
      </c>
      <c r="G27" s="27">
        <v>44238</v>
      </c>
      <c r="H27" s="27">
        <v>44239</v>
      </c>
      <c r="I27" s="31">
        <v>44240</v>
      </c>
      <c r="J27" s="31">
        <v>44241</v>
      </c>
      <c r="K27" s="27">
        <v>44242</v>
      </c>
      <c r="L27" s="27">
        <v>44243</v>
      </c>
      <c r="M27" s="27">
        <v>44244</v>
      </c>
      <c r="N27" s="27">
        <v>44245</v>
      </c>
      <c r="O27" s="27">
        <v>44246</v>
      </c>
      <c r="P27" s="31">
        <v>44247</v>
      </c>
      <c r="Q27" s="19"/>
      <c r="R27" s="19"/>
      <c r="T27" s="41"/>
      <c r="V27" s="40" t="s">
        <v>533</v>
      </c>
      <c r="W27" s="40">
        <v>2</v>
      </c>
      <c r="X27" s="40" t="s">
        <v>152</v>
      </c>
      <c r="Y27" s="40">
        <v>2</v>
      </c>
      <c r="AB27" s="40" t="s">
        <v>516</v>
      </c>
      <c r="AC27" s="40">
        <v>6</v>
      </c>
    </row>
    <row r="28" spans="1:29" ht="16.5" customHeight="1">
      <c r="A28" s="28">
        <v>1</v>
      </c>
      <c r="B28" s="19" t="s">
        <v>753</v>
      </c>
      <c r="C28" s="19" t="s">
        <v>755</v>
      </c>
      <c r="D28" s="19"/>
      <c r="E28" s="19"/>
      <c r="F28" s="19"/>
      <c r="G28" s="19"/>
      <c r="H28" s="19"/>
      <c r="I28" s="19" t="s">
        <v>748</v>
      </c>
      <c r="J28" s="19" t="s">
        <v>754</v>
      </c>
      <c r="K28" s="19"/>
      <c r="L28" s="19"/>
      <c r="M28" s="19"/>
      <c r="N28" s="19"/>
      <c r="O28" s="19"/>
      <c r="P28" s="19" t="s">
        <v>749</v>
      </c>
      <c r="Q28" s="19"/>
      <c r="R28" s="19"/>
      <c r="T28" s="41"/>
      <c r="V28" s="40" t="s">
        <v>516</v>
      </c>
      <c r="W28" s="40">
        <v>1</v>
      </c>
      <c r="X28" s="40" t="s">
        <v>690</v>
      </c>
      <c r="Y28" s="40">
        <v>2</v>
      </c>
    </row>
    <row r="29" spans="1:29" ht="16.5" customHeight="1">
      <c r="A29" s="28">
        <v>2</v>
      </c>
      <c r="B29" s="19" t="s">
        <v>743</v>
      </c>
      <c r="C29" s="19" t="s">
        <v>747</v>
      </c>
      <c r="D29" s="19"/>
      <c r="E29" s="19"/>
      <c r="F29" s="19"/>
      <c r="G29" s="19"/>
      <c r="H29" s="19"/>
      <c r="I29" s="19" t="s">
        <v>746</v>
      </c>
      <c r="J29" s="19" t="s">
        <v>740</v>
      </c>
      <c r="K29" s="19"/>
      <c r="L29" s="19"/>
      <c r="M29" s="19"/>
      <c r="N29" s="19"/>
      <c r="O29" s="19"/>
      <c r="P29" s="19" t="s">
        <v>744</v>
      </c>
      <c r="Q29" s="19"/>
      <c r="R29" s="19"/>
      <c r="T29" s="41"/>
    </row>
    <row r="30" spans="1:29" ht="16.5" customHeight="1">
      <c r="A30" s="28">
        <v>3</v>
      </c>
      <c r="B30" s="19" t="s">
        <v>763</v>
      </c>
      <c r="C30" s="19" t="s">
        <v>757</v>
      </c>
      <c r="D30" s="19"/>
      <c r="E30" s="19"/>
      <c r="F30" s="19"/>
      <c r="G30" s="19"/>
      <c r="H30" s="19"/>
      <c r="I30" s="19" t="s">
        <v>756</v>
      </c>
      <c r="J30" s="19" t="s">
        <v>760</v>
      </c>
      <c r="K30" s="19"/>
      <c r="L30" s="19"/>
      <c r="M30" s="19"/>
      <c r="N30" s="19"/>
      <c r="O30" s="19"/>
      <c r="P30" s="19" t="s">
        <v>758</v>
      </c>
      <c r="Q30" s="19"/>
      <c r="R30" s="19"/>
      <c r="T30" s="41"/>
    </row>
    <row r="31" spans="1:29" ht="16.5" customHeight="1">
      <c r="A31" s="28" t="s">
        <v>20</v>
      </c>
      <c r="B31" s="19" t="s">
        <v>733</v>
      </c>
      <c r="C31" s="19" t="s">
        <v>13</v>
      </c>
      <c r="D31" s="19" t="s">
        <v>735</v>
      </c>
      <c r="E31" s="19" t="s">
        <v>13</v>
      </c>
      <c r="F31" s="19" t="s">
        <v>13</v>
      </c>
      <c r="G31" s="19" t="s">
        <v>13</v>
      </c>
      <c r="H31" s="19" t="s">
        <v>13</v>
      </c>
      <c r="I31" s="19" t="s">
        <v>13</v>
      </c>
      <c r="J31" s="19" t="s">
        <v>13</v>
      </c>
      <c r="K31" s="19" t="s">
        <v>736</v>
      </c>
      <c r="L31" s="19" t="s">
        <v>13</v>
      </c>
      <c r="M31" s="19" t="s">
        <v>13</v>
      </c>
      <c r="N31" s="19" t="s">
        <v>13</v>
      </c>
      <c r="O31" s="19" t="s">
        <v>13</v>
      </c>
      <c r="P31" s="19" t="s">
        <v>13</v>
      </c>
      <c r="Q31" s="19"/>
      <c r="R31" s="19"/>
      <c r="T31" s="41"/>
    </row>
    <row r="32" spans="1:29" ht="16.5" customHeight="1">
      <c r="A32" s="28" t="s">
        <v>0</v>
      </c>
      <c r="B32" s="19" t="s">
        <v>726</v>
      </c>
      <c r="C32" s="19"/>
      <c r="D32" s="19"/>
      <c r="E32" s="19"/>
      <c r="F32" s="19"/>
      <c r="G32" s="19" t="s">
        <v>726</v>
      </c>
      <c r="H32" s="19" t="s">
        <v>724</v>
      </c>
      <c r="I32" s="19" t="s">
        <v>724</v>
      </c>
      <c r="J32" s="19"/>
      <c r="K32" s="19"/>
      <c r="L32" s="19"/>
      <c r="M32" s="19"/>
      <c r="N32" s="19" t="s">
        <v>726</v>
      </c>
      <c r="O32" s="19" t="s">
        <v>724</v>
      </c>
      <c r="P32" s="19" t="s">
        <v>724</v>
      </c>
      <c r="Q32" s="19"/>
      <c r="R32" s="19"/>
      <c r="T32" s="41"/>
      <c r="V32" s="40" t="s">
        <v>602</v>
      </c>
      <c r="W32" s="40">
        <f>SUM(W19:W31)</f>
        <v>15</v>
      </c>
      <c r="Y32" s="40">
        <f>SUM(Y19:Y31)</f>
        <v>15</v>
      </c>
      <c r="AA32" s="40">
        <f>SUM(AA19:AA31)</f>
        <v>15</v>
      </c>
    </row>
    <row r="33" spans="1:20" ht="16.5" customHeight="1">
      <c r="A33" s="28" t="s">
        <v>1</v>
      </c>
      <c r="B33" s="19"/>
      <c r="C33" s="19" t="s">
        <v>166</v>
      </c>
      <c r="D33" s="19" t="s">
        <v>724</v>
      </c>
      <c r="E33" s="19" t="s">
        <v>724</v>
      </c>
      <c r="F33" s="19" t="s">
        <v>724</v>
      </c>
      <c r="G33" s="19" t="s">
        <v>13</v>
      </c>
      <c r="H33" s="19"/>
      <c r="I33" s="19"/>
      <c r="J33" s="19" t="s">
        <v>723</v>
      </c>
      <c r="K33" s="19" t="s">
        <v>724</v>
      </c>
      <c r="L33" s="19" t="s">
        <v>724</v>
      </c>
      <c r="M33" s="19" t="s">
        <v>724</v>
      </c>
      <c r="N33" s="19" t="s">
        <v>724</v>
      </c>
      <c r="O33" s="19"/>
      <c r="P33" s="19"/>
      <c r="Q33" s="19"/>
      <c r="R33" s="19"/>
    </row>
    <row r="34" spans="1:20" ht="16.5" customHeight="1">
      <c r="A34" s="28" t="s">
        <v>366</v>
      </c>
      <c r="B34" s="19"/>
      <c r="C34" s="19"/>
      <c r="D34" s="19"/>
      <c r="E34" s="19"/>
      <c r="F34" s="19"/>
      <c r="G34" s="19"/>
      <c r="H34" s="19"/>
      <c r="I34" s="19"/>
      <c r="J34" s="19"/>
      <c r="K34" s="19"/>
      <c r="L34" s="19"/>
      <c r="M34" s="19"/>
      <c r="N34" s="19"/>
      <c r="O34" s="19"/>
      <c r="P34" s="19"/>
      <c r="Q34" s="19"/>
      <c r="R34" s="19"/>
    </row>
    <row r="35" spans="1:20" ht="12.75" customHeight="1">
      <c r="Q35" s="145" t="s">
        <v>82</v>
      </c>
      <c r="R35" s="145"/>
      <c r="T35" s="41"/>
    </row>
    <row r="36" spans="1:20">
      <c r="A36" s="40" t="s">
        <v>322</v>
      </c>
      <c r="H36" s="43"/>
      <c r="T36" s="41"/>
    </row>
    <row r="37" spans="1:20">
      <c r="A37" s="43" t="s">
        <v>516</v>
      </c>
      <c r="B37" s="43">
        <v>43839</v>
      </c>
      <c r="C37" s="43">
        <v>43840</v>
      </c>
      <c r="D37" s="43">
        <v>43874</v>
      </c>
      <c r="E37" s="43">
        <v>43875</v>
      </c>
      <c r="F37" s="43"/>
      <c r="G37" s="43"/>
      <c r="H37" s="43"/>
      <c r="I37" s="43"/>
      <c r="J37" s="43"/>
      <c r="K37" s="43"/>
      <c r="L37" s="43"/>
      <c r="M37" s="43"/>
      <c r="N37" s="43"/>
      <c r="O37" s="43"/>
      <c r="P37" s="43"/>
      <c r="Q37" s="43"/>
      <c r="R37" s="43"/>
      <c r="T37" s="41"/>
    </row>
    <row r="38" spans="1:20">
      <c r="A38" s="43" t="s">
        <v>249</v>
      </c>
      <c r="B38" s="43">
        <v>43867</v>
      </c>
      <c r="C38" s="43">
        <v>43868</v>
      </c>
      <c r="D38" s="43"/>
      <c r="E38" s="43"/>
      <c r="F38" s="43"/>
      <c r="G38" s="43"/>
      <c r="H38" s="43"/>
      <c r="I38" s="43"/>
      <c r="J38" s="43"/>
      <c r="K38" s="43"/>
      <c r="L38" s="43"/>
      <c r="M38" s="43"/>
      <c r="N38" s="43"/>
      <c r="O38" s="43"/>
      <c r="P38" s="43"/>
      <c r="Q38" s="43"/>
      <c r="R38" s="43"/>
      <c r="T38" s="41"/>
    </row>
    <row r="39" spans="1:20">
      <c r="A39" s="43" t="s">
        <v>153</v>
      </c>
      <c r="B39" s="43">
        <v>44191</v>
      </c>
      <c r="C39" s="43">
        <v>44192</v>
      </c>
      <c r="D39" s="43">
        <v>43839</v>
      </c>
      <c r="E39" s="43">
        <v>43840</v>
      </c>
      <c r="F39" s="43">
        <v>43867</v>
      </c>
      <c r="G39" s="43"/>
      <c r="H39" s="43"/>
      <c r="I39" s="43"/>
      <c r="J39" s="43"/>
      <c r="K39" s="43"/>
      <c r="L39" s="43"/>
      <c r="M39" s="43"/>
      <c r="N39" s="43"/>
      <c r="O39" s="43"/>
      <c r="P39" s="43"/>
      <c r="Q39" s="43"/>
      <c r="R39" s="43"/>
      <c r="T39" s="41"/>
    </row>
    <row r="40" spans="1:20">
      <c r="A40" s="43" t="s">
        <v>25</v>
      </c>
      <c r="B40" s="43">
        <v>43846</v>
      </c>
      <c r="C40" s="43">
        <v>43853</v>
      </c>
      <c r="D40" s="43">
        <v>43854</v>
      </c>
      <c r="E40" s="43">
        <v>43860</v>
      </c>
      <c r="F40" s="43">
        <v>43861</v>
      </c>
      <c r="G40" s="43"/>
      <c r="H40" s="43"/>
      <c r="I40" s="43"/>
      <c r="J40" s="43"/>
      <c r="K40" s="43"/>
      <c r="L40" s="43"/>
      <c r="M40" s="43"/>
      <c r="N40" s="43"/>
      <c r="O40" s="43"/>
      <c r="P40" s="43"/>
      <c r="Q40" s="43"/>
      <c r="R40" s="43"/>
    </row>
    <row r="41" spans="1:20">
      <c r="A41" s="43" t="s">
        <v>21</v>
      </c>
      <c r="B41" s="43">
        <v>44191</v>
      </c>
      <c r="C41" s="43">
        <v>43853</v>
      </c>
      <c r="D41" s="43">
        <v>43860</v>
      </c>
      <c r="E41" s="43"/>
      <c r="F41" s="43"/>
      <c r="G41" s="43"/>
      <c r="H41" s="43"/>
      <c r="I41" s="43"/>
      <c r="J41" s="43"/>
      <c r="K41" s="43"/>
      <c r="L41" s="43"/>
      <c r="M41" s="43"/>
      <c r="N41" s="43"/>
      <c r="O41" s="43"/>
      <c r="P41" s="43"/>
      <c r="Q41" s="43"/>
      <c r="R41" s="43"/>
      <c r="T41" s="41"/>
    </row>
    <row r="42" spans="1:20">
      <c r="A42" s="43" t="s">
        <v>26</v>
      </c>
      <c r="B42" s="43">
        <v>44191</v>
      </c>
      <c r="C42" s="43">
        <v>44192</v>
      </c>
      <c r="D42" s="43">
        <v>43840</v>
      </c>
      <c r="E42" s="43">
        <v>43847</v>
      </c>
      <c r="F42" s="43">
        <v>43854</v>
      </c>
      <c r="G42" s="43">
        <v>43861</v>
      </c>
      <c r="H42" s="43">
        <v>43868</v>
      </c>
      <c r="I42" s="43">
        <v>43874</v>
      </c>
      <c r="J42" s="43">
        <v>43875</v>
      </c>
      <c r="K42" s="43">
        <v>43881</v>
      </c>
      <c r="L42" s="43">
        <v>43882</v>
      </c>
      <c r="M42" s="43"/>
      <c r="N42" s="43"/>
      <c r="O42" s="43"/>
      <c r="P42" s="43"/>
      <c r="Q42" s="43"/>
      <c r="R42" s="43"/>
      <c r="T42" s="41"/>
    </row>
    <row r="43" spans="1:20">
      <c r="A43" s="43" t="s">
        <v>27</v>
      </c>
      <c r="B43" s="43">
        <v>44191</v>
      </c>
      <c r="C43" s="43">
        <v>44192</v>
      </c>
      <c r="D43" s="43"/>
      <c r="E43" s="43"/>
      <c r="F43" s="43"/>
      <c r="G43" s="43"/>
      <c r="H43" s="43"/>
      <c r="I43" s="43"/>
      <c r="J43" s="43"/>
      <c r="K43" s="43"/>
      <c r="L43" s="43"/>
      <c r="M43" s="43"/>
      <c r="N43" s="43"/>
      <c r="O43" s="43"/>
      <c r="P43" s="43"/>
      <c r="Q43" s="43"/>
      <c r="R43" s="43"/>
      <c r="T43" s="41"/>
    </row>
    <row r="44" spans="1:20">
      <c r="A44" s="43" t="s">
        <v>739</v>
      </c>
      <c r="B44" s="43">
        <v>43847</v>
      </c>
      <c r="C44" s="43"/>
      <c r="D44" s="43"/>
      <c r="E44" s="43"/>
      <c r="F44" s="43"/>
      <c r="G44" s="43"/>
      <c r="H44" s="43"/>
      <c r="I44" s="43"/>
      <c r="J44" s="43"/>
      <c r="K44" s="43"/>
      <c r="L44" s="43"/>
      <c r="M44" s="43"/>
      <c r="N44" s="43"/>
      <c r="O44" s="43"/>
      <c r="P44" s="43"/>
      <c r="Q44" s="43"/>
      <c r="R44" s="43"/>
      <c r="T44" s="41"/>
    </row>
    <row r="45" spans="1:20">
      <c r="A45" s="43" t="s">
        <v>761</v>
      </c>
      <c r="B45" s="43" t="s">
        <v>762</v>
      </c>
      <c r="C45" s="43"/>
      <c r="D45" s="43"/>
      <c r="E45" s="43"/>
      <c r="F45" s="43"/>
      <c r="G45" s="43"/>
      <c r="H45" s="43"/>
      <c r="I45" s="43"/>
      <c r="J45" s="43"/>
      <c r="K45" s="43"/>
      <c r="L45" s="43"/>
      <c r="M45" s="43"/>
      <c r="N45" s="43"/>
      <c r="O45" s="43"/>
      <c r="P45" s="43"/>
      <c r="Q45" s="43"/>
      <c r="R45" s="43"/>
    </row>
    <row r="46" spans="1:20">
      <c r="A46" s="43" t="s">
        <v>764</v>
      </c>
      <c r="B46" s="43">
        <v>44192</v>
      </c>
      <c r="C46" s="43"/>
      <c r="D46" s="43"/>
      <c r="E46" s="43"/>
      <c r="F46" s="43"/>
      <c r="G46" s="43"/>
      <c r="H46" s="43"/>
      <c r="I46" s="43"/>
      <c r="J46" s="43"/>
      <c r="K46" s="43"/>
      <c r="L46" s="43"/>
      <c r="M46" s="43"/>
      <c r="N46" s="43"/>
      <c r="O46" s="43"/>
      <c r="P46" s="43"/>
      <c r="Q46" s="43"/>
      <c r="R46" s="43"/>
      <c r="T46" s="41"/>
    </row>
    <row r="47" spans="1:20">
      <c r="A47" s="43" t="s">
        <v>727</v>
      </c>
      <c r="B47" s="43">
        <v>44191</v>
      </c>
      <c r="C47" s="43">
        <v>43846</v>
      </c>
      <c r="D47" s="43">
        <v>43853</v>
      </c>
      <c r="E47" s="43">
        <v>43860</v>
      </c>
      <c r="F47" s="43">
        <v>43861</v>
      </c>
      <c r="G47" s="43">
        <v>43867</v>
      </c>
      <c r="H47" s="43">
        <v>43874</v>
      </c>
      <c r="I47" s="43">
        <v>43881</v>
      </c>
      <c r="J47" s="43"/>
      <c r="K47" s="43"/>
      <c r="L47" s="43"/>
      <c r="M47" s="43"/>
      <c r="N47" s="43"/>
      <c r="O47" s="43"/>
      <c r="P47" s="43"/>
      <c r="Q47" s="43"/>
      <c r="R47" s="43"/>
      <c r="T47" s="41"/>
    </row>
    <row r="48" spans="1:20">
      <c r="A48" s="43" t="s">
        <v>34</v>
      </c>
      <c r="B48" s="43">
        <v>43847</v>
      </c>
      <c r="C48" s="43">
        <v>43861</v>
      </c>
      <c r="D48" s="43">
        <v>43875</v>
      </c>
      <c r="E48" s="43"/>
      <c r="F48" s="43"/>
      <c r="G48" s="43"/>
      <c r="H48" s="43"/>
      <c r="I48" s="43"/>
      <c r="J48" s="43"/>
      <c r="K48" s="43"/>
      <c r="L48" s="43"/>
      <c r="M48" s="43"/>
      <c r="N48" s="43"/>
      <c r="O48" s="43"/>
      <c r="P48" s="43"/>
      <c r="Q48" s="43"/>
      <c r="R48" s="43"/>
      <c r="T48" s="41"/>
    </row>
    <row r="49" spans="1:18">
      <c r="A49" s="43" t="s">
        <v>38</v>
      </c>
      <c r="B49" s="43"/>
      <c r="C49" s="43"/>
      <c r="D49" s="43"/>
      <c r="E49" s="43"/>
      <c r="F49" s="43"/>
      <c r="G49" s="43"/>
      <c r="H49" s="43"/>
      <c r="I49" s="43"/>
      <c r="J49" s="43"/>
      <c r="K49" s="43"/>
      <c r="L49" s="43"/>
      <c r="M49" s="43"/>
      <c r="N49" s="43"/>
      <c r="O49" s="43"/>
      <c r="P49" s="43"/>
      <c r="Q49" s="43"/>
      <c r="R49" s="43"/>
    </row>
    <row r="50" spans="1:18">
      <c r="A50" s="43"/>
      <c r="B50" s="43"/>
      <c r="C50" s="43"/>
      <c r="D50" s="43"/>
      <c r="E50" s="43"/>
      <c r="F50" s="43"/>
      <c r="G50" s="43"/>
      <c r="H50" s="43"/>
      <c r="I50" s="43"/>
      <c r="J50" s="43"/>
      <c r="K50" s="43"/>
      <c r="L50" s="43"/>
      <c r="M50" s="43"/>
      <c r="N50" s="43"/>
      <c r="O50" s="43"/>
      <c r="P50" s="43"/>
      <c r="Q50" s="43"/>
      <c r="R50" s="43"/>
    </row>
    <row r="51" spans="1:18">
      <c r="A51" s="43"/>
      <c r="B51" s="43"/>
      <c r="C51" s="43"/>
      <c r="D51" s="43"/>
      <c r="E51" s="43"/>
      <c r="F51" s="43"/>
      <c r="G51" s="43"/>
      <c r="H51" s="43"/>
      <c r="I51" s="43"/>
      <c r="J51" s="43"/>
      <c r="K51" s="43"/>
      <c r="L51" s="43"/>
      <c r="M51" s="43"/>
      <c r="N51" s="43"/>
      <c r="O51" s="43"/>
      <c r="P51" s="43"/>
      <c r="Q51" s="43"/>
      <c r="R51" s="43"/>
    </row>
  </sheetData>
  <mergeCells count="2">
    <mergeCell ref="A1:R1"/>
    <mergeCell ref="Q35:R35"/>
  </mergeCells>
  <phoneticPr fontId="2"/>
  <pageMargins left="0.70866141732283472" right="0.70866141732283472" top="0" bottom="0" header="0.31496062992125984" footer="0.31496062992125984"/>
  <pageSetup paperSize="9" orientation="landscape" horizontalDpi="4294967293" r:id="rId1"/>
  <drawing r:id="rId2"/>
  <legacyDrawing r:id="rId3"/>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D29F9-7DB9-400F-84EB-FEBB52570B1B}">
  <dimension ref="A1:AC51"/>
  <sheetViews>
    <sheetView topLeftCell="A16" zoomScaleNormal="100" workbookViewId="0">
      <selection activeCell="H30" sqref="H30"/>
    </sheetView>
  </sheetViews>
  <sheetFormatPr defaultColWidth="9" defaultRowHeight="18.75"/>
  <cols>
    <col min="1" max="18" width="6.625" style="40" customWidth="1"/>
    <col min="19" max="19" width="3.625" style="40" customWidth="1"/>
    <col min="20" max="20" width="6.625" style="40" customWidth="1"/>
    <col min="21" max="21" width="3.625" style="40" customWidth="1"/>
    <col min="22" max="37" width="6.625" style="40" customWidth="1"/>
    <col min="38" max="38" width="3.625" style="40" customWidth="1"/>
    <col min="39" max="16384" width="9" style="40"/>
  </cols>
  <sheetData>
    <row r="1" spans="1:29">
      <c r="A1" s="147" t="s">
        <v>668</v>
      </c>
      <c r="B1" s="147"/>
      <c r="C1" s="147"/>
      <c r="D1" s="147"/>
      <c r="E1" s="147"/>
      <c r="F1" s="147"/>
      <c r="G1" s="147"/>
      <c r="H1" s="147"/>
      <c r="I1" s="147"/>
      <c r="J1" s="147"/>
      <c r="K1" s="147"/>
      <c r="L1" s="147"/>
      <c r="M1" s="147"/>
      <c r="N1" s="147"/>
      <c r="O1" s="147"/>
      <c r="P1" s="147"/>
      <c r="Q1" s="147"/>
      <c r="R1" s="147"/>
      <c r="X1" s="40" t="s">
        <v>80</v>
      </c>
    </row>
    <row r="2" spans="1:29" ht="16.5" customHeight="1">
      <c r="A2" s="151"/>
      <c r="B2" s="151"/>
      <c r="C2" s="151"/>
      <c r="D2" s="45"/>
      <c r="E2" s="46"/>
      <c r="F2" s="46"/>
      <c r="G2" s="45"/>
      <c r="H2" s="45"/>
      <c r="I2" s="45"/>
      <c r="J2" s="45"/>
      <c r="K2" s="45"/>
      <c r="L2" s="46"/>
      <c r="M2" s="47"/>
      <c r="N2" s="46"/>
      <c r="O2" s="45"/>
      <c r="P2" s="45"/>
      <c r="Q2" s="45"/>
      <c r="R2" s="45"/>
      <c r="V2" s="40" t="s">
        <v>63</v>
      </c>
      <c r="X2" s="40" t="s">
        <v>64</v>
      </c>
      <c r="Z2" s="40" t="s">
        <v>65</v>
      </c>
      <c r="AB2" s="40" t="s">
        <v>169</v>
      </c>
    </row>
    <row r="3" spans="1:29" ht="16.5" customHeight="1">
      <c r="A3" s="41"/>
      <c r="B3" s="152"/>
      <c r="C3" s="152"/>
      <c r="V3" s="40" t="s">
        <v>25</v>
      </c>
      <c r="W3" s="40">
        <v>2</v>
      </c>
      <c r="X3" s="40" t="s">
        <v>45</v>
      </c>
      <c r="Y3" s="40">
        <v>2</v>
      </c>
      <c r="Z3" s="40" t="s">
        <v>34</v>
      </c>
      <c r="AB3" s="40" t="s">
        <v>153</v>
      </c>
      <c r="AC3" s="40">
        <v>2</v>
      </c>
    </row>
    <row r="4" spans="1:29" ht="16.5" customHeight="1">
      <c r="A4" s="41"/>
      <c r="B4" s="152"/>
      <c r="C4" s="152"/>
      <c r="T4" s="41"/>
      <c r="U4" s="41"/>
      <c r="V4" s="40" t="s">
        <v>2</v>
      </c>
      <c r="W4" s="40">
        <v>3</v>
      </c>
      <c r="X4" s="40" t="s">
        <v>46</v>
      </c>
      <c r="Y4" s="40">
        <v>2</v>
      </c>
      <c r="Z4" s="40" t="s">
        <v>35</v>
      </c>
      <c r="AB4" s="40" t="s">
        <v>26</v>
      </c>
      <c r="AC4" s="40">
        <v>1</v>
      </c>
    </row>
    <row r="5" spans="1:29" ht="16.5" customHeight="1">
      <c r="A5" s="41"/>
      <c r="B5" s="152"/>
      <c r="C5" s="152"/>
      <c r="T5" s="41"/>
      <c r="U5" s="41"/>
      <c r="V5" s="40" t="s">
        <v>14</v>
      </c>
      <c r="W5" s="40">
        <v>2</v>
      </c>
      <c r="X5" s="40" t="s">
        <v>6</v>
      </c>
      <c r="Y5" s="40">
        <v>2</v>
      </c>
      <c r="Z5" s="40" t="s">
        <v>8</v>
      </c>
      <c r="AB5" s="40" t="s">
        <v>6</v>
      </c>
      <c r="AC5" s="40">
        <v>1</v>
      </c>
    </row>
    <row r="6" spans="1:29" ht="16.5" customHeight="1">
      <c r="A6" s="41"/>
      <c r="B6" s="152"/>
      <c r="C6" s="152"/>
      <c r="T6" s="41"/>
      <c r="U6" s="41"/>
      <c r="V6" s="40" t="s">
        <v>7</v>
      </c>
      <c r="W6" s="40">
        <v>2</v>
      </c>
      <c r="X6" s="40" t="s">
        <v>23</v>
      </c>
      <c r="Y6" s="40">
        <v>2</v>
      </c>
      <c r="Z6" s="40" t="s">
        <v>38</v>
      </c>
      <c r="AB6" s="40" t="s">
        <v>152</v>
      </c>
      <c r="AC6" s="40">
        <v>2</v>
      </c>
    </row>
    <row r="7" spans="1:29" ht="16.5" customHeight="1">
      <c r="A7" s="41"/>
      <c r="B7" s="152"/>
      <c r="C7" s="152"/>
      <c r="T7" s="41"/>
      <c r="U7" s="41"/>
      <c r="V7" s="40" t="s">
        <v>21</v>
      </c>
      <c r="W7" s="40">
        <v>2</v>
      </c>
      <c r="X7" s="40" t="s">
        <v>153</v>
      </c>
      <c r="Y7" s="40">
        <v>2</v>
      </c>
      <c r="Z7" s="40" t="s">
        <v>36</v>
      </c>
      <c r="AB7" s="40" t="s">
        <v>23</v>
      </c>
      <c r="AC7" s="40">
        <v>1</v>
      </c>
    </row>
    <row r="8" spans="1:29" ht="16.5" customHeight="1">
      <c r="A8" s="41"/>
      <c r="B8" s="152"/>
      <c r="C8" s="152"/>
      <c r="T8" s="41"/>
      <c r="V8" s="40" t="s">
        <v>26</v>
      </c>
      <c r="W8" s="40">
        <v>2</v>
      </c>
      <c r="X8" s="40" t="s">
        <v>327</v>
      </c>
      <c r="Y8" s="40">
        <v>2</v>
      </c>
      <c r="Z8" s="40" t="s">
        <v>37</v>
      </c>
      <c r="AB8" s="40" t="s">
        <v>25</v>
      </c>
      <c r="AC8" s="40">
        <v>1</v>
      </c>
    </row>
    <row r="9" spans="1:29" ht="16.5" customHeight="1">
      <c r="A9" s="153" t="s">
        <v>704</v>
      </c>
      <c r="B9" s="154"/>
      <c r="C9" s="154"/>
      <c r="D9" s="154"/>
      <c r="E9" s="154"/>
      <c r="F9" s="154"/>
      <c r="G9" s="155"/>
      <c r="H9" s="49"/>
      <c r="I9" s="49" t="s">
        <v>705</v>
      </c>
      <c r="J9" s="49"/>
      <c r="K9" s="49"/>
      <c r="L9" s="49"/>
      <c r="M9" s="49"/>
      <c r="N9" s="49"/>
      <c r="O9" s="49"/>
      <c r="P9" s="49"/>
      <c r="Q9" s="49"/>
      <c r="R9" s="49"/>
      <c r="T9" s="41"/>
      <c r="V9" s="40" t="s">
        <v>27</v>
      </c>
      <c r="W9" s="40">
        <v>2</v>
      </c>
      <c r="X9" s="40" t="s">
        <v>28</v>
      </c>
      <c r="Y9" s="40">
        <v>2</v>
      </c>
      <c r="Z9" s="40" t="s">
        <v>249</v>
      </c>
      <c r="AB9" s="40" t="s">
        <v>327</v>
      </c>
      <c r="AC9" s="40">
        <v>1</v>
      </c>
    </row>
    <row r="10" spans="1:29" ht="16.5" customHeight="1">
      <c r="A10" s="52">
        <v>44163</v>
      </c>
      <c r="B10" s="53" t="s">
        <v>711</v>
      </c>
      <c r="C10" s="54" t="s">
        <v>712</v>
      </c>
      <c r="D10" s="53" t="s">
        <v>713</v>
      </c>
      <c r="E10" s="53" t="s">
        <v>715</v>
      </c>
      <c r="F10" s="53"/>
      <c r="G10" s="54"/>
      <c r="H10" s="49"/>
      <c r="I10" s="49" t="s">
        <v>706</v>
      </c>
      <c r="J10" s="49"/>
      <c r="K10" s="49"/>
      <c r="L10" s="49"/>
      <c r="M10" s="50"/>
      <c r="N10" s="50"/>
      <c r="O10" s="49"/>
      <c r="P10" s="49"/>
      <c r="Q10" s="49"/>
      <c r="R10" s="49"/>
      <c r="T10" s="41"/>
      <c r="V10" s="40" t="s">
        <v>533</v>
      </c>
      <c r="W10" s="40">
        <v>3</v>
      </c>
      <c r="X10" s="40" t="s">
        <v>152</v>
      </c>
      <c r="Y10" s="40">
        <v>2</v>
      </c>
      <c r="AB10" s="40" t="s">
        <v>516</v>
      </c>
      <c r="AC10" s="40">
        <v>1</v>
      </c>
    </row>
    <row r="11" spans="1:29" ht="16.5" customHeight="1">
      <c r="A11" s="52">
        <v>44164</v>
      </c>
      <c r="B11" s="53" t="s">
        <v>715</v>
      </c>
      <c r="C11" s="54" t="s">
        <v>712</v>
      </c>
      <c r="D11" s="54" t="s">
        <v>714</v>
      </c>
      <c r="E11" s="54"/>
      <c r="F11" s="53"/>
      <c r="G11" s="54"/>
      <c r="H11" s="49"/>
      <c r="I11" s="49" t="s">
        <v>707</v>
      </c>
      <c r="J11" s="49"/>
      <c r="K11" s="49"/>
      <c r="L11" s="49"/>
      <c r="M11" s="49"/>
      <c r="N11" s="49"/>
      <c r="O11" s="49"/>
      <c r="P11" s="49"/>
      <c r="Q11" s="49"/>
      <c r="R11" s="49"/>
      <c r="T11" s="41"/>
      <c r="V11" s="40" t="s">
        <v>516</v>
      </c>
      <c r="W11" s="40">
        <v>0</v>
      </c>
      <c r="X11" s="40" t="s">
        <v>249</v>
      </c>
      <c r="Y11" s="40">
        <v>1</v>
      </c>
    </row>
    <row r="12" spans="1:29" ht="16.5" customHeight="1">
      <c r="A12" s="52">
        <v>44170</v>
      </c>
      <c r="B12" s="53" t="s">
        <v>711</v>
      </c>
      <c r="C12" s="53" t="s">
        <v>715</v>
      </c>
      <c r="D12" s="53"/>
      <c r="E12" s="54"/>
      <c r="F12" s="53"/>
      <c r="G12" s="54"/>
      <c r="H12" s="49"/>
      <c r="I12" s="49" t="s">
        <v>708</v>
      </c>
      <c r="J12" s="49"/>
      <c r="K12" s="49"/>
      <c r="L12" s="49"/>
      <c r="M12" s="49"/>
      <c r="N12" s="49"/>
      <c r="O12" s="49"/>
      <c r="P12" s="49"/>
      <c r="Q12" s="49"/>
      <c r="R12" s="49"/>
      <c r="T12" s="41"/>
      <c r="X12" s="40" t="s">
        <v>516</v>
      </c>
      <c r="Y12" s="40">
        <v>1</v>
      </c>
    </row>
    <row r="13" spans="1:29" ht="16.5" customHeight="1">
      <c r="A13" s="52">
        <v>44171</v>
      </c>
      <c r="B13" s="53" t="s">
        <v>713</v>
      </c>
      <c r="C13" s="54" t="s">
        <v>714</v>
      </c>
      <c r="D13" s="53"/>
      <c r="E13" s="54"/>
      <c r="F13" s="53"/>
      <c r="G13" s="54"/>
      <c r="H13" s="49"/>
      <c r="I13" s="49"/>
      <c r="J13" s="49"/>
      <c r="K13" s="49"/>
      <c r="L13" s="49"/>
      <c r="M13" s="49"/>
      <c r="N13" s="49"/>
      <c r="O13" s="49"/>
      <c r="P13" s="49"/>
      <c r="Q13" s="49"/>
      <c r="R13" s="49"/>
      <c r="T13" s="41"/>
    </row>
    <row r="14" spans="1:29" ht="16.5" customHeight="1">
      <c r="A14" s="52">
        <v>44177</v>
      </c>
      <c r="B14" s="53" t="s">
        <v>711</v>
      </c>
      <c r="C14" s="54" t="s">
        <v>712</v>
      </c>
      <c r="D14" s="53" t="s">
        <v>715</v>
      </c>
      <c r="E14" s="54"/>
      <c r="F14" s="53"/>
      <c r="G14" s="54"/>
      <c r="H14" s="49"/>
      <c r="I14" s="49" t="s">
        <v>709</v>
      </c>
      <c r="J14" s="49"/>
      <c r="K14" s="49"/>
      <c r="L14" s="49"/>
      <c r="M14" s="49"/>
      <c r="N14" s="49"/>
      <c r="O14" s="49"/>
      <c r="P14" s="49"/>
      <c r="Q14" s="49"/>
      <c r="R14" s="49"/>
      <c r="T14" s="41"/>
    </row>
    <row r="15" spans="1:29" ht="16.5" customHeight="1">
      <c r="A15" s="52">
        <v>44178</v>
      </c>
      <c r="B15" s="54" t="s">
        <v>714</v>
      </c>
      <c r="C15" s="54"/>
      <c r="D15" s="53"/>
      <c r="E15" s="54"/>
      <c r="F15" s="53"/>
      <c r="G15" s="54"/>
      <c r="H15" s="49"/>
      <c r="I15" s="49" t="s">
        <v>710</v>
      </c>
      <c r="J15" s="49" t="s">
        <v>36</v>
      </c>
      <c r="K15" s="49" t="s">
        <v>37</v>
      </c>
      <c r="L15" s="49" t="s">
        <v>249</v>
      </c>
      <c r="M15" s="49" t="s">
        <v>38</v>
      </c>
      <c r="N15" s="49" t="s">
        <v>10</v>
      </c>
      <c r="O15" s="49"/>
      <c r="P15" s="49"/>
      <c r="Q15" s="49"/>
      <c r="R15" s="49"/>
      <c r="T15" s="41"/>
      <c r="V15" s="40" t="s">
        <v>567</v>
      </c>
      <c r="W15" s="40">
        <f>SUM(W2:W14)</f>
        <v>18</v>
      </c>
      <c r="Y15" s="40">
        <f>SUM(Y2:Y14)</f>
        <v>18</v>
      </c>
      <c r="AA15" s="40">
        <f>SUM(AA2:AA14)</f>
        <v>0</v>
      </c>
      <c r="AC15" s="40">
        <f>SUM(AC2:AC14)</f>
        <v>10</v>
      </c>
    </row>
    <row r="16" spans="1:29" ht="16.5" customHeight="1">
      <c r="A16" s="52">
        <v>44184</v>
      </c>
      <c r="B16" s="53" t="s">
        <v>711</v>
      </c>
      <c r="C16" s="54" t="s">
        <v>712</v>
      </c>
      <c r="D16" s="53"/>
      <c r="E16" s="54"/>
      <c r="F16" s="53"/>
      <c r="G16" s="54"/>
      <c r="H16" s="49"/>
      <c r="I16" s="49"/>
      <c r="J16" s="49"/>
      <c r="K16" s="49"/>
      <c r="L16" s="49"/>
      <c r="M16" s="49"/>
      <c r="N16" s="49"/>
      <c r="O16" s="49"/>
      <c r="P16" s="49"/>
      <c r="Q16" s="49"/>
      <c r="R16" s="49"/>
      <c r="T16" s="41"/>
    </row>
    <row r="17" spans="1:29" ht="16.5" customHeight="1">
      <c r="A17" s="52">
        <v>44185</v>
      </c>
      <c r="B17" s="53" t="s">
        <v>713</v>
      </c>
      <c r="C17" s="54" t="s">
        <v>714</v>
      </c>
      <c r="D17" s="53"/>
      <c r="E17" s="54"/>
      <c r="F17" s="53"/>
      <c r="G17" s="54"/>
      <c r="H17" s="49"/>
      <c r="I17" s="49"/>
      <c r="J17" s="49"/>
      <c r="K17" s="49"/>
      <c r="L17" s="49"/>
      <c r="M17" s="49"/>
      <c r="N17" s="49"/>
      <c r="O17" s="49"/>
      <c r="P17" s="49"/>
      <c r="Q17" s="49"/>
      <c r="R17" s="49"/>
      <c r="T17" s="41"/>
    </row>
    <row r="18" spans="1:29" ht="16.5" customHeight="1">
      <c r="A18" s="42"/>
      <c r="B18" s="37"/>
      <c r="C18" s="37"/>
      <c r="D18" s="48"/>
      <c r="E18" s="48"/>
      <c r="F18" s="48"/>
      <c r="G18" s="48"/>
      <c r="H18" s="48"/>
      <c r="I18" s="48"/>
      <c r="J18" s="48"/>
      <c r="K18" s="48"/>
      <c r="L18" s="48"/>
      <c r="M18" s="48"/>
      <c r="N18" s="48"/>
      <c r="O18" s="48"/>
      <c r="P18" s="48"/>
      <c r="Q18" s="48"/>
      <c r="R18" s="51"/>
      <c r="T18" s="41"/>
      <c r="X18" s="40" t="s">
        <v>669</v>
      </c>
    </row>
    <row r="19" spans="1:29" ht="16.5" customHeight="1">
      <c r="A19" s="23" t="s">
        <v>243</v>
      </c>
      <c r="B19" s="30">
        <v>44156</v>
      </c>
      <c r="C19" s="30">
        <v>44157</v>
      </c>
      <c r="D19" s="25">
        <v>44158</v>
      </c>
      <c r="E19" s="25">
        <v>44159</v>
      </c>
      <c r="F19" s="25">
        <v>44160</v>
      </c>
      <c r="G19" s="25">
        <v>44161</v>
      </c>
      <c r="H19" s="25">
        <v>44162</v>
      </c>
      <c r="I19" s="30">
        <v>44163</v>
      </c>
      <c r="J19" s="30">
        <v>44164</v>
      </c>
      <c r="K19" s="25">
        <v>44165</v>
      </c>
      <c r="L19" s="25"/>
      <c r="M19" s="26" t="s">
        <v>244</v>
      </c>
      <c r="N19" s="27">
        <v>44166</v>
      </c>
      <c r="O19" s="27">
        <v>44167</v>
      </c>
      <c r="P19" s="27">
        <v>44168</v>
      </c>
      <c r="Q19" s="27">
        <v>44169</v>
      </c>
      <c r="R19" s="31">
        <v>44170</v>
      </c>
      <c r="T19" s="41"/>
      <c r="V19" s="40" t="s">
        <v>63</v>
      </c>
      <c r="X19" s="40" t="s">
        <v>64</v>
      </c>
      <c r="Z19" s="40" t="s">
        <v>65</v>
      </c>
      <c r="AB19" s="40" t="s">
        <v>169</v>
      </c>
    </row>
    <row r="20" spans="1:29" ht="16.5" customHeight="1">
      <c r="A20" s="36">
        <v>1</v>
      </c>
      <c r="B20" s="19"/>
      <c r="C20" s="19"/>
      <c r="D20" s="19"/>
      <c r="E20" s="19"/>
      <c r="F20" s="19"/>
      <c r="G20" s="19"/>
      <c r="H20" s="19"/>
      <c r="I20" s="19" t="s">
        <v>25</v>
      </c>
      <c r="J20" s="19" t="s">
        <v>27</v>
      </c>
      <c r="K20" s="19"/>
      <c r="L20" s="19"/>
      <c r="M20" s="28"/>
      <c r="N20" s="19"/>
      <c r="O20" s="19"/>
      <c r="P20" s="19"/>
      <c r="Q20" s="19"/>
      <c r="R20" s="19" t="s">
        <v>26</v>
      </c>
      <c r="T20" s="41"/>
      <c r="V20" s="40" t="s">
        <v>25</v>
      </c>
      <c r="W20" s="40">
        <v>1</v>
      </c>
      <c r="X20" s="40" t="s">
        <v>45</v>
      </c>
      <c r="Y20" s="40">
        <v>2</v>
      </c>
      <c r="Z20" s="40" t="s">
        <v>34</v>
      </c>
      <c r="AB20" s="40" t="s">
        <v>153</v>
      </c>
      <c r="AC20" s="40">
        <v>6</v>
      </c>
    </row>
    <row r="21" spans="1:29" ht="16.5" customHeight="1">
      <c r="A21" s="36">
        <v>2</v>
      </c>
      <c r="B21" s="19"/>
      <c r="C21" s="19"/>
      <c r="D21" s="19"/>
      <c r="E21" s="19"/>
      <c r="F21" s="19"/>
      <c r="G21" s="19"/>
      <c r="H21" s="19"/>
      <c r="I21" s="19" t="s">
        <v>23</v>
      </c>
      <c r="J21" s="19" t="s">
        <v>242</v>
      </c>
      <c r="K21" s="19"/>
      <c r="L21" s="19"/>
      <c r="M21" s="28"/>
      <c r="N21" s="19"/>
      <c r="O21" s="19"/>
      <c r="P21" s="19"/>
      <c r="Q21" s="19"/>
      <c r="R21" s="19" t="s">
        <v>93</v>
      </c>
      <c r="T21" s="41"/>
      <c r="V21" s="40" t="s">
        <v>2</v>
      </c>
      <c r="W21" s="40">
        <v>2</v>
      </c>
      <c r="X21" s="40" t="s">
        <v>46</v>
      </c>
      <c r="Y21" s="40">
        <v>0</v>
      </c>
      <c r="Z21" s="40" t="s">
        <v>38</v>
      </c>
      <c r="AB21" s="40" t="s">
        <v>26</v>
      </c>
      <c r="AC21" s="40">
        <v>4</v>
      </c>
    </row>
    <row r="22" spans="1:29" ht="16.5" customHeight="1">
      <c r="A22" s="36">
        <v>3</v>
      </c>
      <c r="B22" s="19"/>
      <c r="C22" s="19"/>
      <c r="D22" s="19"/>
      <c r="E22" s="19"/>
      <c r="F22" s="19"/>
      <c r="G22" s="19"/>
      <c r="H22" s="19"/>
      <c r="I22" s="19" t="s">
        <v>716</v>
      </c>
      <c r="J22" s="19" t="s">
        <v>717</v>
      </c>
      <c r="K22" s="19"/>
      <c r="L22" s="19"/>
      <c r="M22" s="28"/>
      <c r="N22" s="19"/>
      <c r="O22" s="19"/>
      <c r="P22" s="19"/>
      <c r="Q22" s="19"/>
      <c r="R22" s="19" t="s">
        <v>719</v>
      </c>
      <c r="T22" s="41"/>
      <c r="V22" s="40" t="s">
        <v>14</v>
      </c>
      <c r="W22" s="40">
        <v>2</v>
      </c>
      <c r="X22" s="40" t="s">
        <v>6</v>
      </c>
      <c r="Y22" s="40">
        <v>2</v>
      </c>
      <c r="Z22" s="40" t="s">
        <v>249</v>
      </c>
      <c r="AB22" s="40" t="s">
        <v>6</v>
      </c>
      <c r="AC22" s="40">
        <v>1</v>
      </c>
    </row>
    <row r="23" spans="1:29" ht="16.5" customHeight="1">
      <c r="A23" s="36" t="s">
        <v>20</v>
      </c>
      <c r="B23" s="19"/>
      <c r="C23" s="19"/>
      <c r="D23" s="19" t="s">
        <v>153</v>
      </c>
      <c r="E23" s="19" t="s">
        <v>13</v>
      </c>
      <c r="F23" s="19" t="s">
        <v>13</v>
      </c>
      <c r="G23" s="19" t="s">
        <v>13</v>
      </c>
      <c r="H23" s="19" t="s">
        <v>13</v>
      </c>
      <c r="I23" s="19" t="s">
        <v>13</v>
      </c>
      <c r="J23" s="19" t="s">
        <v>13</v>
      </c>
      <c r="K23" s="19" t="s">
        <v>516</v>
      </c>
      <c r="L23" s="19"/>
      <c r="M23" s="28"/>
      <c r="N23" s="19" t="s">
        <v>516</v>
      </c>
      <c r="O23" s="19" t="s">
        <v>13</v>
      </c>
      <c r="P23" s="19" t="s">
        <v>13</v>
      </c>
      <c r="Q23" s="19" t="s">
        <v>13</v>
      </c>
      <c r="R23" s="19" t="s">
        <v>13</v>
      </c>
      <c r="T23" s="41"/>
      <c r="V23" s="40" t="s">
        <v>7</v>
      </c>
      <c r="W23" s="40">
        <v>2</v>
      </c>
      <c r="X23" s="40" t="s">
        <v>23</v>
      </c>
      <c r="Y23" s="40">
        <v>1</v>
      </c>
      <c r="Z23" s="40" t="s">
        <v>10</v>
      </c>
      <c r="AB23" s="40" t="s">
        <v>152</v>
      </c>
      <c r="AC23" s="40">
        <v>8</v>
      </c>
    </row>
    <row r="24" spans="1:29" ht="16.5" customHeight="1">
      <c r="A24" s="36" t="s">
        <v>0</v>
      </c>
      <c r="B24" s="19"/>
      <c r="C24" s="19"/>
      <c r="D24" s="19"/>
      <c r="E24" s="19"/>
      <c r="F24" s="19"/>
      <c r="G24" s="19" t="s">
        <v>9</v>
      </c>
      <c r="H24" s="19" t="s">
        <v>13</v>
      </c>
      <c r="I24" s="19" t="s">
        <v>13</v>
      </c>
      <c r="J24" s="19"/>
      <c r="K24" s="19"/>
      <c r="L24" s="19"/>
      <c r="M24" s="28"/>
      <c r="N24" s="19"/>
      <c r="O24" s="19"/>
      <c r="P24" s="19" t="s">
        <v>9</v>
      </c>
      <c r="Q24" s="19" t="s">
        <v>13</v>
      </c>
      <c r="R24" s="19" t="s">
        <v>13</v>
      </c>
      <c r="T24" s="41"/>
      <c r="V24" s="40" t="s">
        <v>21</v>
      </c>
      <c r="W24" s="40">
        <v>2</v>
      </c>
      <c r="X24" s="40" t="s">
        <v>153</v>
      </c>
      <c r="Y24" s="40">
        <v>1</v>
      </c>
      <c r="Z24" s="40" t="s">
        <v>36</v>
      </c>
      <c r="AB24" s="40" t="s">
        <v>23</v>
      </c>
      <c r="AC24" s="40">
        <v>3</v>
      </c>
    </row>
    <row r="25" spans="1:29" ht="16.5" customHeight="1">
      <c r="A25" s="36" t="s">
        <v>1</v>
      </c>
      <c r="B25" s="19"/>
      <c r="C25" s="19"/>
      <c r="D25" s="19" t="s">
        <v>213</v>
      </c>
      <c r="E25" s="19" t="s">
        <v>13</v>
      </c>
      <c r="F25" s="19" t="s">
        <v>13</v>
      </c>
      <c r="G25" s="19" t="s">
        <v>13</v>
      </c>
      <c r="H25" s="19"/>
      <c r="I25" s="19"/>
      <c r="J25" s="19" t="s">
        <v>166</v>
      </c>
      <c r="K25" s="19" t="s">
        <v>13</v>
      </c>
      <c r="L25" s="19"/>
      <c r="M25" s="28"/>
      <c r="N25" s="19" t="s">
        <v>166</v>
      </c>
      <c r="O25" s="19" t="s">
        <v>13</v>
      </c>
      <c r="P25" s="19" t="s">
        <v>13</v>
      </c>
      <c r="Q25" s="19"/>
      <c r="R25" s="19"/>
      <c r="T25" s="41"/>
      <c r="V25" s="40" t="s">
        <v>26</v>
      </c>
      <c r="W25" s="40">
        <v>2</v>
      </c>
      <c r="X25" s="40" t="s">
        <v>327</v>
      </c>
      <c r="Y25" s="40">
        <v>2</v>
      </c>
      <c r="Z25" s="40" t="s">
        <v>37</v>
      </c>
      <c r="AB25" s="40" t="s">
        <v>25</v>
      </c>
      <c r="AC25" s="40">
        <v>2</v>
      </c>
    </row>
    <row r="26" spans="1:29" ht="16.5" customHeight="1">
      <c r="A26" s="36" t="s">
        <v>366</v>
      </c>
      <c r="B26" s="19"/>
      <c r="C26" s="19"/>
      <c r="D26" s="19"/>
      <c r="E26" s="19"/>
      <c r="F26" s="19"/>
      <c r="G26" s="19"/>
      <c r="H26" s="19"/>
      <c r="I26" s="19"/>
      <c r="J26" s="19"/>
      <c r="K26" s="19"/>
      <c r="L26" s="19"/>
      <c r="M26" s="28"/>
      <c r="N26" s="19"/>
      <c r="O26" s="19"/>
      <c r="P26" s="19"/>
      <c r="Q26" s="19"/>
      <c r="R26" s="19"/>
      <c r="T26" s="41"/>
      <c r="V26" s="40" t="s">
        <v>27</v>
      </c>
      <c r="W26" s="40">
        <v>2</v>
      </c>
      <c r="X26" s="40" t="s">
        <v>28</v>
      </c>
      <c r="Y26" s="40">
        <v>2</v>
      </c>
      <c r="AB26" s="40" t="s">
        <v>327</v>
      </c>
      <c r="AC26" s="40">
        <v>5</v>
      </c>
    </row>
    <row r="27" spans="1:29" ht="16.5" customHeight="1">
      <c r="A27" s="26" t="s">
        <v>244</v>
      </c>
      <c r="B27" s="31">
        <v>44171</v>
      </c>
      <c r="C27" s="27">
        <v>44172</v>
      </c>
      <c r="D27" s="27">
        <v>44173</v>
      </c>
      <c r="E27" s="27">
        <v>44174</v>
      </c>
      <c r="F27" s="27">
        <v>44175</v>
      </c>
      <c r="G27" s="27">
        <v>44176</v>
      </c>
      <c r="H27" s="31">
        <v>44177</v>
      </c>
      <c r="I27" s="31">
        <v>44178</v>
      </c>
      <c r="J27" s="27">
        <v>44179</v>
      </c>
      <c r="K27" s="27">
        <v>44180</v>
      </c>
      <c r="L27" s="27">
        <v>44181</v>
      </c>
      <c r="M27" s="27">
        <v>44182</v>
      </c>
      <c r="N27" s="27">
        <v>44183</v>
      </c>
      <c r="O27" s="31">
        <v>44184</v>
      </c>
      <c r="P27" s="31">
        <v>44185</v>
      </c>
      <c r="Q27" s="19"/>
      <c r="R27" s="19"/>
      <c r="T27" s="41"/>
      <c r="V27" s="40" t="s">
        <v>533</v>
      </c>
      <c r="W27" s="40">
        <v>1</v>
      </c>
      <c r="X27" s="40" t="s">
        <v>152</v>
      </c>
      <c r="Y27" s="40">
        <v>2</v>
      </c>
      <c r="AB27" s="40" t="s">
        <v>516</v>
      </c>
      <c r="AC27" s="40">
        <v>7</v>
      </c>
    </row>
    <row r="28" spans="1:29" ht="16.5" customHeight="1">
      <c r="A28" s="28">
        <v>1</v>
      </c>
      <c r="B28" s="19" t="s">
        <v>14</v>
      </c>
      <c r="C28" s="19"/>
      <c r="D28" s="19"/>
      <c r="E28" s="19"/>
      <c r="F28" s="19"/>
      <c r="G28" s="19"/>
      <c r="H28" s="19" t="s">
        <v>2</v>
      </c>
      <c r="I28" s="19" t="s">
        <v>315</v>
      </c>
      <c r="J28" s="19"/>
      <c r="K28" s="19"/>
      <c r="L28" s="19"/>
      <c r="M28" s="19"/>
      <c r="N28" s="19"/>
      <c r="O28" s="19" t="s">
        <v>7</v>
      </c>
      <c r="P28" s="19" t="s">
        <v>516</v>
      </c>
      <c r="Q28" s="19"/>
      <c r="R28" s="19"/>
      <c r="T28" s="41"/>
      <c r="V28" s="40" t="s">
        <v>516</v>
      </c>
      <c r="W28" s="40">
        <v>2</v>
      </c>
      <c r="X28" s="40" t="s">
        <v>249</v>
      </c>
      <c r="Y28" s="40">
        <v>2</v>
      </c>
    </row>
    <row r="29" spans="1:29" ht="16.5" customHeight="1">
      <c r="A29" s="28">
        <v>2</v>
      </c>
      <c r="B29" s="19" t="s">
        <v>6</v>
      </c>
      <c r="C29" s="19"/>
      <c r="D29" s="19"/>
      <c r="E29" s="19"/>
      <c r="F29" s="19"/>
      <c r="G29" s="19"/>
      <c r="H29" s="19" t="s">
        <v>533</v>
      </c>
      <c r="I29" s="19" t="s">
        <v>327</v>
      </c>
      <c r="J29" s="19"/>
      <c r="K29" s="19"/>
      <c r="L29" s="19"/>
      <c r="M29" s="19"/>
      <c r="N29" s="19"/>
      <c r="O29" s="19" t="s">
        <v>690</v>
      </c>
      <c r="P29" s="19" t="s">
        <v>313</v>
      </c>
      <c r="Q29" s="19"/>
      <c r="R29" s="19"/>
      <c r="T29" s="41"/>
      <c r="X29" s="40" t="s">
        <v>690</v>
      </c>
      <c r="Y29" s="40">
        <v>2</v>
      </c>
    </row>
    <row r="30" spans="1:29" ht="16.5" customHeight="1">
      <c r="A30" s="28">
        <v>3</v>
      </c>
      <c r="B30" s="19" t="s">
        <v>720</v>
      </c>
      <c r="C30" s="19"/>
      <c r="D30" s="19"/>
      <c r="E30" s="19"/>
      <c r="F30" s="19"/>
      <c r="G30" s="19"/>
      <c r="H30" s="19" t="s">
        <v>721</v>
      </c>
      <c r="I30" s="19" t="s">
        <v>718</v>
      </c>
      <c r="J30" s="19"/>
      <c r="K30" s="19"/>
      <c r="L30" s="19"/>
      <c r="M30" s="19"/>
      <c r="N30" s="19"/>
      <c r="O30" s="19" t="s">
        <v>716</v>
      </c>
      <c r="P30" s="19" t="s">
        <v>717</v>
      </c>
      <c r="Q30" s="19"/>
      <c r="R30" s="19"/>
      <c r="T30" s="41"/>
    </row>
    <row r="31" spans="1:29" ht="16.5" customHeight="1">
      <c r="A31" s="28" t="s">
        <v>20</v>
      </c>
      <c r="B31" s="19" t="s">
        <v>516</v>
      </c>
      <c r="C31" s="19" t="s">
        <v>152</v>
      </c>
      <c r="D31" s="19" t="s">
        <v>13</v>
      </c>
      <c r="E31" s="19" t="s">
        <v>13</v>
      </c>
      <c r="F31" s="19" t="s">
        <v>13</v>
      </c>
      <c r="G31" s="19" t="s">
        <v>13</v>
      </c>
      <c r="H31" s="19" t="s">
        <v>13</v>
      </c>
      <c r="I31" s="19" t="s">
        <v>13</v>
      </c>
      <c r="J31" s="19" t="s">
        <v>6</v>
      </c>
      <c r="K31" s="19" t="s">
        <v>13</v>
      </c>
      <c r="L31" s="19" t="s">
        <v>13</v>
      </c>
      <c r="M31" s="19" t="s">
        <v>13</v>
      </c>
      <c r="N31" s="19" t="s">
        <v>13</v>
      </c>
      <c r="O31" s="19" t="s">
        <v>13</v>
      </c>
      <c r="P31" s="19" t="s">
        <v>13</v>
      </c>
      <c r="Q31" s="19"/>
      <c r="R31" s="19"/>
      <c r="T31" s="41"/>
    </row>
    <row r="32" spans="1:29" ht="16.5" customHeight="1">
      <c r="A32" s="28" t="s">
        <v>0</v>
      </c>
      <c r="B32" s="19"/>
      <c r="C32" s="19"/>
      <c r="D32" s="19"/>
      <c r="E32" s="19"/>
      <c r="F32" s="19" t="s">
        <v>9</v>
      </c>
      <c r="G32" s="19" t="s">
        <v>13</v>
      </c>
      <c r="H32" s="19" t="s">
        <v>13</v>
      </c>
      <c r="I32" s="19"/>
      <c r="J32" s="19"/>
      <c r="K32" s="19"/>
      <c r="L32" s="19"/>
      <c r="M32" s="19" t="s">
        <v>9</v>
      </c>
      <c r="N32" s="19" t="s">
        <v>13</v>
      </c>
      <c r="O32" s="19" t="s">
        <v>13</v>
      </c>
      <c r="P32" s="19"/>
      <c r="Q32" s="19"/>
      <c r="R32" s="19"/>
      <c r="T32" s="41"/>
      <c r="V32" s="40" t="s">
        <v>696</v>
      </c>
      <c r="W32" s="40">
        <f>SUM(W19:W31)</f>
        <v>16</v>
      </c>
      <c r="Y32" s="40">
        <f>SUM(Y19:Y31)</f>
        <v>16</v>
      </c>
      <c r="AA32" s="40">
        <f>SUM(AA19:AA31)</f>
        <v>0</v>
      </c>
    </row>
    <row r="33" spans="1:20" ht="16.5" customHeight="1">
      <c r="A33" s="28" t="s">
        <v>1</v>
      </c>
      <c r="B33" s="19" t="s">
        <v>213</v>
      </c>
      <c r="C33" s="19" t="s">
        <v>13</v>
      </c>
      <c r="D33" s="19" t="s">
        <v>13</v>
      </c>
      <c r="E33" s="19" t="s">
        <v>13</v>
      </c>
      <c r="F33" s="19" t="s">
        <v>13</v>
      </c>
      <c r="G33" s="19"/>
      <c r="H33" s="19"/>
      <c r="I33" s="19" t="s">
        <v>166</v>
      </c>
      <c r="J33" s="19" t="s">
        <v>13</v>
      </c>
      <c r="K33" s="19" t="s">
        <v>13</v>
      </c>
      <c r="L33" s="19" t="s">
        <v>13</v>
      </c>
      <c r="M33" s="19" t="s">
        <v>13</v>
      </c>
      <c r="N33" s="19"/>
      <c r="O33" s="19"/>
      <c r="P33" s="19" t="s">
        <v>213</v>
      </c>
      <c r="Q33" s="19"/>
      <c r="R33" s="19"/>
    </row>
    <row r="34" spans="1:20" ht="16.5" customHeight="1">
      <c r="A34" s="28" t="s">
        <v>366</v>
      </c>
      <c r="B34" s="19"/>
      <c r="C34" s="19"/>
      <c r="D34" s="19"/>
      <c r="E34" s="19"/>
      <c r="F34" s="19"/>
      <c r="G34" s="19"/>
      <c r="H34" s="19"/>
      <c r="I34" s="19"/>
      <c r="J34" s="19"/>
      <c r="K34" s="19"/>
      <c r="L34" s="19"/>
      <c r="M34" s="19"/>
      <c r="N34" s="19"/>
      <c r="O34" s="19"/>
      <c r="P34" s="19"/>
      <c r="Q34" s="19"/>
      <c r="R34" s="19"/>
    </row>
    <row r="35" spans="1:20" ht="12.75" customHeight="1">
      <c r="Q35" s="145" t="s">
        <v>82</v>
      </c>
      <c r="R35" s="145"/>
      <c r="T35" s="41"/>
    </row>
    <row r="36" spans="1:20">
      <c r="A36" s="40" t="s">
        <v>322</v>
      </c>
      <c r="H36" s="43"/>
      <c r="T36" s="41"/>
    </row>
    <row r="37" spans="1:20">
      <c r="A37" s="43" t="s">
        <v>516</v>
      </c>
      <c r="B37" s="43">
        <v>44135</v>
      </c>
      <c r="C37" s="43">
        <v>44136</v>
      </c>
      <c r="D37" s="43">
        <v>44163</v>
      </c>
      <c r="E37" s="43">
        <v>44164</v>
      </c>
      <c r="F37" s="43"/>
      <c r="G37" s="43"/>
      <c r="H37" s="43"/>
      <c r="I37" s="43"/>
      <c r="J37" s="43"/>
      <c r="K37" s="43"/>
      <c r="L37" s="43"/>
      <c r="M37" s="43"/>
      <c r="N37" s="43"/>
      <c r="O37" s="43"/>
      <c r="P37" s="43"/>
      <c r="Q37" s="43"/>
      <c r="R37" s="43"/>
      <c r="T37" s="41"/>
    </row>
    <row r="38" spans="1:20">
      <c r="A38" s="43" t="s">
        <v>327</v>
      </c>
      <c r="B38" s="43">
        <v>44134</v>
      </c>
      <c r="C38" s="43">
        <v>44135</v>
      </c>
      <c r="D38" s="43">
        <v>44136</v>
      </c>
      <c r="E38" s="43"/>
      <c r="F38" s="43"/>
      <c r="G38" s="43"/>
      <c r="H38" s="43"/>
      <c r="I38" s="43"/>
      <c r="J38" s="43"/>
      <c r="K38" s="43"/>
      <c r="L38" s="43"/>
      <c r="M38" s="43"/>
      <c r="N38" s="43"/>
      <c r="O38" s="43"/>
      <c r="P38" s="43"/>
      <c r="Q38" s="43"/>
      <c r="R38" s="43"/>
      <c r="T38" s="41"/>
    </row>
    <row r="39" spans="1:20">
      <c r="A39" s="43" t="s">
        <v>7</v>
      </c>
      <c r="B39" s="43">
        <v>44177</v>
      </c>
      <c r="C39" s="43"/>
      <c r="D39" s="43"/>
      <c r="E39" s="43"/>
      <c r="F39" s="43"/>
      <c r="G39" s="43"/>
      <c r="H39" s="43"/>
      <c r="I39" s="43"/>
      <c r="J39" s="43"/>
      <c r="K39" s="43"/>
      <c r="L39" s="43"/>
      <c r="M39" s="43"/>
      <c r="N39" s="43"/>
      <c r="O39" s="43"/>
      <c r="P39" s="43"/>
      <c r="Q39" s="43"/>
      <c r="R39" s="43"/>
      <c r="T39" s="41"/>
    </row>
    <row r="40" spans="1:20">
      <c r="A40" s="43" t="s">
        <v>14</v>
      </c>
      <c r="B40" s="43">
        <v>44128</v>
      </c>
      <c r="C40" s="43">
        <v>44129</v>
      </c>
      <c r="D40" s="43">
        <v>44142</v>
      </c>
      <c r="E40" s="43">
        <v>44177</v>
      </c>
      <c r="F40" s="43"/>
      <c r="G40" s="43"/>
      <c r="H40" s="43"/>
      <c r="I40" s="43"/>
      <c r="J40" s="43"/>
      <c r="K40" s="43"/>
      <c r="L40" s="43"/>
      <c r="M40" s="43"/>
      <c r="N40" s="43"/>
      <c r="O40" s="43"/>
      <c r="P40" s="43"/>
      <c r="Q40" s="43"/>
      <c r="R40" s="43"/>
    </row>
    <row r="41" spans="1:20">
      <c r="A41" s="43" t="s">
        <v>26</v>
      </c>
      <c r="B41" s="43">
        <v>44129</v>
      </c>
      <c r="C41" s="43">
        <v>44136</v>
      </c>
      <c r="D41" s="43">
        <v>44143</v>
      </c>
      <c r="E41" s="43">
        <v>44150</v>
      </c>
      <c r="F41" s="43">
        <v>44163</v>
      </c>
      <c r="G41" s="43">
        <v>44164</v>
      </c>
      <c r="H41" s="43">
        <v>44171</v>
      </c>
      <c r="I41" s="43"/>
      <c r="J41" s="43"/>
      <c r="K41" s="43"/>
      <c r="L41" s="43"/>
      <c r="M41" s="43"/>
      <c r="N41" s="43"/>
      <c r="O41" s="43"/>
      <c r="P41" s="43"/>
      <c r="Q41" s="43"/>
      <c r="R41" s="43"/>
      <c r="T41" s="41"/>
    </row>
    <row r="42" spans="1:20">
      <c r="A42" s="43" t="s">
        <v>28</v>
      </c>
      <c r="B42" s="43">
        <v>44135</v>
      </c>
      <c r="C42" s="43">
        <v>44164</v>
      </c>
      <c r="D42" s="43"/>
      <c r="E42" s="43"/>
      <c r="F42" s="43"/>
      <c r="G42" s="43"/>
      <c r="H42" s="43"/>
      <c r="I42" s="43"/>
      <c r="J42" s="43"/>
      <c r="K42" s="43"/>
      <c r="L42" s="43"/>
      <c r="M42" s="43"/>
      <c r="N42" s="43"/>
      <c r="O42" s="43"/>
      <c r="P42" s="43"/>
      <c r="Q42" s="43"/>
      <c r="R42" s="43"/>
      <c r="T42" s="41"/>
    </row>
    <row r="43" spans="1:20">
      <c r="A43" s="43" t="s">
        <v>27</v>
      </c>
      <c r="B43" s="43">
        <v>44135</v>
      </c>
      <c r="C43" s="43">
        <v>44149</v>
      </c>
      <c r="D43" s="43">
        <v>44157</v>
      </c>
      <c r="E43" s="43">
        <v>44171</v>
      </c>
      <c r="F43" s="43"/>
      <c r="G43" s="43"/>
      <c r="H43" s="43"/>
      <c r="I43" s="43"/>
      <c r="J43" s="43"/>
      <c r="K43" s="43"/>
      <c r="L43" s="43"/>
      <c r="M43" s="43"/>
      <c r="N43" s="43"/>
      <c r="O43" s="43"/>
      <c r="P43" s="43"/>
      <c r="Q43" s="43"/>
      <c r="R43" s="43"/>
      <c r="T43" s="41"/>
    </row>
    <row r="44" spans="1:20">
      <c r="A44" s="43" t="s">
        <v>533</v>
      </c>
      <c r="B44" s="43">
        <v>44142</v>
      </c>
      <c r="C44" s="43">
        <v>44143</v>
      </c>
      <c r="D44" s="43"/>
      <c r="E44" s="43"/>
      <c r="F44" s="43"/>
      <c r="G44" s="43"/>
      <c r="H44" s="43"/>
      <c r="I44" s="43"/>
      <c r="J44" s="43"/>
      <c r="K44" s="43"/>
      <c r="L44" s="43"/>
      <c r="M44" s="43"/>
      <c r="N44" s="43"/>
      <c r="O44" s="43"/>
      <c r="P44" s="43"/>
      <c r="Q44" s="43"/>
      <c r="R44" s="43"/>
      <c r="T44" s="41"/>
    </row>
    <row r="45" spans="1:20">
      <c r="A45" s="43"/>
      <c r="B45" s="43"/>
      <c r="C45" s="43"/>
      <c r="D45" s="43"/>
      <c r="E45" s="43"/>
      <c r="F45" s="43"/>
      <c r="G45" s="43"/>
      <c r="H45" s="43"/>
      <c r="I45" s="43"/>
      <c r="J45" s="43"/>
      <c r="K45" s="43"/>
      <c r="L45" s="43"/>
      <c r="M45" s="43"/>
      <c r="N45" s="43"/>
      <c r="O45" s="43"/>
      <c r="P45" s="43"/>
      <c r="Q45" s="43"/>
      <c r="R45" s="43"/>
    </row>
    <row r="46" spans="1:20">
      <c r="A46" s="43"/>
      <c r="B46" s="43"/>
      <c r="C46" s="43"/>
      <c r="D46" s="43"/>
      <c r="E46" s="43"/>
      <c r="F46" s="43"/>
      <c r="G46" s="43"/>
      <c r="H46" s="43"/>
      <c r="I46" s="43"/>
      <c r="J46" s="43"/>
      <c r="K46" s="43"/>
      <c r="L46" s="43"/>
      <c r="M46" s="43"/>
      <c r="N46" s="43"/>
      <c r="O46" s="43"/>
      <c r="P46" s="43"/>
      <c r="Q46" s="43"/>
      <c r="R46" s="43"/>
      <c r="T46" s="41"/>
    </row>
    <row r="47" spans="1:20">
      <c r="A47" s="43"/>
      <c r="B47" s="43"/>
      <c r="C47" s="43"/>
      <c r="D47" s="43"/>
      <c r="E47" s="43"/>
      <c r="F47" s="43"/>
      <c r="G47" s="43"/>
      <c r="H47" s="43"/>
      <c r="I47" s="43"/>
      <c r="J47" s="43"/>
      <c r="K47" s="43"/>
      <c r="L47" s="43"/>
      <c r="M47" s="43"/>
      <c r="N47" s="43"/>
      <c r="O47" s="43"/>
      <c r="P47" s="43"/>
      <c r="Q47" s="43"/>
      <c r="R47" s="43"/>
      <c r="T47" s="41"/>
    </row>
    <row r="48" spans="1:20">
      <c r="A48" s="43"/>
      <c r="B48" s="43"/>
      <c r="C48" s="43"/>
      <c r="D48" s="43"/>
      <c r="E48" s="43"/>
      <c r="F48" s="43"/>
      <c r="G48" s="43"/>
      <c r="H48" s="43"/>
      <c r="I48" s="43"/>
      <c r="J48" s="43"/>
      <c r="K48" s="43"/>
      <c r="L48" s="43"/>
      <c r="M48" s="43"/>
      <c r="N48" s="43"/>
      <c r="O48" s="43"/>
      <c r="P48" s="43"/>
      <c r="Q48" s="43"/>
      <c r="R48" s="43"/>
      <c r="T48" s="41"/>
    </row>
    <row r="49" spans="1:18">
      <c r="A49" s="43"/>
      <c r="B49" s="43"/>
      <c r="C49" s="43"/>
      <c r="D49" s="43"/>
      <c r="E49" s="43"/>
      <c r="F49" s="43"/>
      <c r="G49" s="43"/>
      <c r="H49" s="43"/>
      <c r="I49" s="43"/>
      <c r="J49" s="43"/>
      <c r="K49" s="43"/>
      <c r="L49" s="43"/>
      <c r="M49" s="43"/>
      <c r="N49" s="43"/>
      <c r="O49" s="43"/>
      <c r="P49" s="43"/>
      <c r="Q49" s="43"/>
      <c r="R49" s="43"/>
    </row>
    <row r="50" spans="1:18">
      <c r="A50" s="43"/>
      <c r="B50" s="43"/>
      <c r="C50" s="43"/>
      <c r="D50" s="43"/>
      <c r="E50" s="43"/>
      <c r="F50" s="43"/>
      <c r="G50" s="43"/>
      <c r="H50" s="43"/>
      <c r="I50" s="43"/>
      <c r="J50" s="43"/>
      <c r="K50" s="43"/>
      <c r="L50" s="43"/>
      <c r="M50" s="43"/>
      <c r="N50" s="43"/>
      <c r="O50" s="43"/>
      <c r="P50" s="43"/>
      <c r="Q50" s="43"/>
      <c r="R50" s="43"/>
    </row>
    <row r="51" spans="1:18">
      <c r="A51" s="43"/>
      <c r="B51" s="43"/>
      <c r="C51" s="43"/>
      <c r="D51" s="43"/>
      <c r="E51" s="43"/>
      <c r="F51" s="43"/>
      <c r="G51" s="43"/>
      <c r="H51" s="43"/>
      <c r="I51" s="43"/>
      <c r="J51" s="43"/>
      <c r="K51" s="43"/>
      <c r="L51" s="43"/>
      <c r="M51" s="43"/>
      <c r="N51" s="43"/>
      <c r="O51" s="43"/>
      <c r="P51" s="43"/>
      <c r="Q51" s="43"/>
      <c r="R51" s="43"/>
    </row>
  </sheetData>
  <mergeCells count="10">
    <mergeCell ref="A1:R1"/>
    <mergeCell ref="Q35:R35"/>
    <mergeCell ref="A2:C2"/>
    <mergeCell ref="B3:C3"/>
    <mergeCell ref="B4:C4"/>
    <mergeCell ref="B5:C5"/>
    <mergeCell ref="B6:C6"/>
    <mergeCell ref="B7:C7"/>
    <mergeCell ref="B8:C8"/>
    <mergeCell ref="A9:G9"/>
  </mergeCells>
  <phoneticPr fontId="2"/>
  <pageMargins left="0.70866141732283472" right="0.70866141732283472" top="0" bottom="0" header="0.31496062992125984" footer="0.31496062992125984"/>
  <pageSetup paperSize="9" orientation="landscape" horizontalDpi="4294967293" r:id="rId1"/>
  <drawing r:id="rId2"/>
  <legacyDrawing r:id="rId3"/>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8E87F-F292-478C-A26C-4C00D527927C}">
  <dimension ref="A1:AC51"/>
  <sheetViews>
    <sheetView topLeftCell="A16" zoomScaleNormal="100" workbookViewId="0">
      <selection activeCell="T27" sqref="T27"/>
    </sheetView>
  </sheetViews>
  <sheetFormatPr defaultColWidth="9" defaultRowHeight="18.75"/>
  <cols>
    <col min="1" max="18" width="6.625" style="40" customWidth="1"/>
    <col min="19" max="19" width="3.625" style="40" customWidth="1"/>
    <col min="20" max="20" width="6.625" style="40" customWidth="1"/>
    <col min="21" max="21" width="3.625" style="40" customWidth="1"/>
    <col min="22" max="37" width="6.625" style="40" customWidth="1"/>
    <col min="38" max="38" width="3.625" style="40" customWidth="1"/>
    <col min="39" max="16384" width="9" style="40"/>
  </cols>
  <sheetData>
    <row r="1" spans="1:29">
      <c r="A1" s="147" t="s">
        <v>668</v>
      </c>
      <c r="B1" s="147"/>
      <c r="C1" s="147"/>
      <c r="D1" s="147"/>
      <c r="E1" s="147"/>
      <c r="F1" s="147"/>
      <c r="G1" s="147"/>
      <c r="H1" s="147"/>
      <c r="I1" s="147"/>
      <c r="J1" s="147"/>
      <c r="K1" s="147"/>
      <c r="L1" s="147"/>
      <c r="M1" s="147"/>
      <c r="N1" s="147"/>
      <c r="O1" s="147"/>
      <c r="P1" s="147"/>
      <c r="Q1" s="147"/>
      <c r="R1" s="147"/>
      <c r="X1" s="40" t="s">
        <v>80</v>
      </c>
    </row>
    <row r="2" spans="1:29" ht="16.5" customHeight="1">
      <c r="A2" s="26" t="s">
        <v>218</v>
      </c>
      <c r="B2" s="27">
        <v>44125</v>
      </c>
      <c r="C2" s="27">
        <v>44126</v>
      </c>
      <c r="D2" s="27">
        <v>44127</v>
      </c>
      <c r="E2" s="31">
        <v>44128</v>
      </c>
      <c r="F2" s="31">
        <v>44129</v>
      </c>
      <c r="G2" s="27">
        <v>44130</v>
      </c>
      <c r="H2" s="27">
        <v>44131</v>
      </c>
      <c r="I2" s="27">
        <v>44132</v>
      </c>
      <c r="J2" s="27">
        <v>44133</v>
      </c>
      <c r="K2" s="27">
        <v>44134</v>
      </c>
      <c r="L2" s="31">
        <v>44135</v>
      </c>
      <c r="M2" s="23" t="s">
        <v>243</v>
      </c>
      <c r="N2" s="30">
        <v>44136</v>
      </c>
      <c r="O2" s="25">
        <v>44137</v>
      </c>
      <c r="P2" s="25">
        <v>44138</v>
      </c>
      <c r="Q2" s="25">
        <v>44139</v>
      </c>
      <c r="R2" s="25">
        <v>44140</v>
      </c>
      <c r="V2" s="40" t="s">
        <v>63</v>
      </c>
      <c r="X2" s="40" t="s">
        <v>64</v>
      </c>
      <c r="Z2" s="40" t="s">
        <v>65</v>
      </c>
      <c r="AB2" s="40" t="s">
        <v>169</v>
      </c>
    </row>
    <row r="3" spans="1:29" ht="16.5" customHeight="1">
      <c r="A3" s="28">
        <v>1</v>
      </c>
      <c r="B3" s="19"/>
      <c r="C3" s="19"/>
      <c r="D3" s="19"/>
      <c r="E3" s="19" t="s">
        <v>679</v>
      </c>
      <c r="F3" s="19" t="s">
        <v>678</v>
      </c>
      <c r="G3" s="19"/>
      <c r="H3" s="19"/>
      <c r="I3" s="19"/>
      <c r="J3" s="19"/>
      <c r="K3" s="19"/>
      <c r="L3" s="19" t="s">
        <v>682</v>
      </c>
      <c r="M3" s="36"/>
      <c r="N3" s="19" t="s">
        <v>683</v>
      </c>
      <c r="O3" s="19"/>
      <c r="P3" s="19"/>
      <c r="Q3" s="19"/>
      <c r="R3" s="19"/>
      <c r="V3" s="40" t="s">
        <v>25</v>
      </c>
      <c r="W3" s="40">
        <v>2</v>
      </c>
      <c r="X3" s="40" t="s">
        <v>45</v>
      </c>
      <c r="Y3" s="40">
        <v>2</v>
      </c>
      <c r="Z3" s="40" t="s">
        <v>34</v>
      </c>
      <c r="AB3" s="40" t="s">
        <v>153</v>
      </c>
      <c r="AC3" s="40">
        <v>2</v>
      </c>
    </row>
    <row r="4" spans="1:29" ht="16.5" customHeight="1">
      <c r="A4" s="28">
        <v>2</v>
      </c>
      <c r="B4" s="19"/>
      <c r="C4" s="19"/>
      <c r="D4" s="19"/>
      <c r="E4" s="19" t="s">
        <v>680</v>
      </c>
      <c r="F4" s="19" t="s">
        <v>681</v>
      </c>
      <c r="G4" s="19"/>
      <c r="H4" s="19"/>
      <c r="I4" s="19"/>
      <c r="J4" s="19"/>
      <c r="K4" s="19"/>
      <c r="L4" s="19" t="s">
        <v>685</v>
      </c>
      <c r="M4" s="36"/>
      <c r="N4" s="19" t="s">
        <v>686</v>
      </c>
      <c r="O4" s="19"/>
      <c r="P4" s="19"/>
      <c r="Q4" s="19"/>
      <c r="R4" s="19"/>
      <c r="T4" s="41"/>
      <c r="U4" s="41"/>
      <c r="V4" s="40" t="s">
        <v>2</v>
      </c>
      <c r="W4" s="40">
        <v>3</v>
      </c>
      <c r="X4" s="40" t="s">
        <v>46</v>
      </c>
      <c r="Y4" s="40">
        <v>2</v>
      </c>
      <c r="Z4" s="40" t="s">
        <v>35</v>
      </c>
      <c r="AB4" s="40" t="s">
        <v>26</v>
      </c>
      <c r="AC4" s="40">
        <v>1</v>
      </c>
    </row>
    <row r="5" spans="1:29" ht="16.5" customHeight="1">
      <c r="A5" s="28">
        <v>3</v>
      </c>
      <c r="B5" s="19"/>
      <c r="C5" s="19"/>
      <c r="D5" s="19"/>
      <c r="E5" s="19" t="s">
        <v>684</v>
      </c>
      <c r="F5" s="19" t="s">
        <v>684</v>
      </c>
      <c r="G5" s="19"/>
      <c r="H5" s="19"/>
      <c r="I5" s="19"/>
      <c r="J5" s="19"/>
      <c r="K5" s="19"/>
      <c r="L5" s="19" t="s">
        <v>684</v>
      </c>
      <c r="M5" s="36"/>
      <c r="N5" s="19" t="s">
        <v>684</v>
      </c>
      <c r="O5" s="19"/>
      <c r="P5" s="19"/>
      <c r="Q5" s="19"/>
      <c r="R5" s="19"/>
      <c r="T5" s="41"/>
      <c r="U5" s="41"/>
      <c r="V5" s="40" t="s">
        <v>14</v>
      </c>
      <c r="W5" s="40">
        <v>2</v>
      </c>
      <c r="X5" s="40" t="s">
        <v>6</v>
      </c>
      <c r="Y5" s="40">
        <v>2</v>
      </c>
      <c r="Z5" s="40" t="s">
        <v>8</v>
      </c>
      <c r="AB5" s="40" t="s">
        <v>6</v>
      </c>
      <c r="AC5" s="40">
        <v>1</v>
      </c>
    </row>
    <row r="6" spans="1:29" ht="16.5" customHeight="1">
      <c r="A6" s="28" t="s">
        <v>20</v>
      </c>
      <c r="B6" s="19" t="s">
        <v>672</v>
      </c>
      <c r="C6" s="19" t="s">
        <v>671</v>
      </c>
      <c r="D6" s="19" t="s">
        <v>671</v>
      </c>
      <c r="E6" s="19" t="s">
        <v>671</v>
      </c>
      <c r="F6" s="19" t="s">
        <v>671</v>
      </c>
      <c r="G6" s="19" t="s">
        <v>675</v>
      </c>
      <c r="H6" s="19" t="s">
        <v>13</v>
      </c>
      <c r="I6" s="19" t="s">
        <v>13</v>
      </c>
      <c r="J6" s="19" t="s">
        <v>13</v>
      </c>
      <c r="K6" s="19" t="s">
        <v>13</v>
      </c>
      <c r="L6" s="19" t="s">
        <v>13</v>
      </c>
      <c r="M6" s="36"/>
      <c r="N6" s="19" t="s">
        <v>675</v>
      </c>
      <c r="O6" s="19" t="s">
        <v>676</v>
      </c>
      <c r="P6" s="19" t="s">
        <v>677</v>
      </c>
      <c r="Q6" s="19" t="s">
        <v>677</v>
      </c>
      <c r="R6" s="19" t="s">
        <v>677</v>
      </c>
      <c r="T6" s="41"/>
      <c r="U6" s="41"/>
      <c r="V6" s="40" t="s">
        <v>7</v>
      </c>
      <c r="W6" s="40">
        <v>2</v>
      </c>
      <c r="X6" s="40" t="s">
        <v>23</v>
      </c>
      <c r="Y6" s="40">
        <v>2</v>
      </c>
      <c r="Z6" s="40" t="s">
        <v>38</v>
      </c>
      <c r="AB6" s="40" t="s">
        <v>152</v>
      </c>
      <c r="AC6" s="40">
        <v>2</v>
      </c>
    </row>
    <row r="7" spans="1:29" ht="16.5" customHeight="1">
      <c r="A7" s="28" t="s">
        <v>0</v>
      </c>
      <c r="B7" s="19"/>
      <c r="C7" s="19" t="s">
        <v>673</v>
      </c>
      <c r="D7" s="19" t="s">
        <v>671</v>
      </c>
      <c r="E7" s="19" t="s">
        <v>671</v>
      </c>
      <c r="F7" s="19"/>
      <c r="G7" s="19"/>
      <c r="H7" s="19"/>
      <c r="I7" s="19"/>
      <c r="J7" s="19" t="s">
        <v>673</v>
      </c>
      <c r="K7" s="19" t="s">
        <v>671</v>
      </c>
      <c r="L7" s="19" t="s">
        <v>671</v>
      </c>
      <c r="M7" s="36"/>
      <c r="N7" s="19"/>
      <c r="O7" s="19"/>
      <c r="P7" s="19"/>
      <c r="Q7" s="19"/>
      <c r="R7" s="19" t="s">
        <v>673</v>
      </c>
      <c r="T7" s="41"/>
      <c r="U7" s="41"/>
      <c r="V7" s="40" t="s">
        <v>21</v>
      </c>
      <c r="W7" s="40">
        <v>2</v>
      </c>
      <c r="X7" s="40" t="s">
        <v>153</v>
      </c>
      <c r="Y7" s="40">
        <v>2</v>
      </c>
      <c r="Z7" s="40" t="s">
        <v>36</v>
      </c>
      <c r="AB7" s="40" t="s">
        <v>23</v>
      </c>
      <c r="AC7" s="40">
        <v>1</v>
      </c>
    </row>
    <row r="8" spans="1:29" ht="16.5" customHeight="1">
      <c r="A8" s="28" t="s">
        <v>1</v>
      </c>
      <c r="B8" s="19" t="s">
        <v>670</v>
      </c>
      <c r="C8" s="19" t="s">
        <v>671</v>
      </c>
      <c r="D8" s="19"/>
      <c r="E8" s="19"/>
      <c r="F8" s="19" t="s">
        <v>674</v>
      </c>
      <c r="G8" s="19" t="s">
        <v>671</v>
      </c>
      <c r="H8" s="19" t="s">
        <v>671</v>
      </c>
      <c r="I8" s="19" t="s">
        <v>671</v>
      </c>
      <c r="J8" s="19" t="s">
        <v>671</v>
      </c>
      <c r="K8" s="19"/>
      <c r="L8" s="19"/>
      <c r="M8" s="36"/>
      <c r="N8" s="19" t="s">
        <v>670</v>
      </c>
      <c r="O8" s="19" t="s">
        <v>671</v>
      </c>
      <c r="P8" s="19" t="s">
        <v>671</v>
      </c>
      <c r="Q8" s="19" t="s">
        <v>671</v>
      </c>
      <c r="R8" s="19" t="s">
        <v>671</v>
      </c>
      <c r="T8" s="41"/>
      <c r="V8" s="40" t="s">
        <v>26</v>
      </c>
      <c r="W8" s="40">
        <v>2</v>
      </c>
      <c r="X8" s="40" t="s">
        <v>327</v>
      </c>
      <c r="Y8" s="40">
        <v>2</v>
      </c>
      <c r="Z8" s="40" t="s">
        <v>37</v>
      </c>
      <c r="AB8" s="40" t="s">
        <v>25</v>
      </c>
      <c r="AC8" s="40">
        <v>1</v>
      </c>
    </row>
    <row r="9" spans="1:29" ht="16.5" customHeight="1">
      <c r="A9" s="28" t="s">
        <v>366</v>
      </c>
      <c r="B9" s="19"/>
      <c r="C9" s="19"/>
      <c r="D9" s="19"/>
      <c r="E9" s="19"/>
      <c r="F9" s="19"/>
      <c r="G9" s="19"/>
      <c r="H9" s="19"/>
      <c r="I9" s="19"/>
      <c r="J9" s="19"/>
      <c r="K9" s="19"/>
      <c r="L9" s="19"/>
      <c r="M9" s="36"/>
      <c r="N9" s="19"/>
      <c r="O9" s="19"/>
      <c r="P9" s="19"/>
      <c r="Q9" s="19"/>
      <c r="R9" s="19"/>
      <c r="T9" s="41"/>
      <c r="V9" s="40" t="s">
        <v>27</v>
      </c>
      <c r="W9" s="40">
        <v>2</v>
      </c>
      <c r="X9" s="40" t="s">
        <v>28</v>
      </c>
      <c r="Y9" s="40">
        <v>2</v>
      </c>
      <c r="Z9" s="40" t="s">
        <v>249</v>
      </c>
      <c r="AB9" s="40" t="s">
        <v>327</v>
      </c>
      <c r="AC9" s="40">
        <v>1</v>
      </c>
    </row>
    <row r="10" spans="1:29" ht="16.5" customHeight="1">
      <c r="A10" s="23" t="s">
        <v>243</v>
      </c>
      <c r="B10" s="25">
        <v>44141</v>
      </c>
      <c r="C10" s="30">
        <v>44142</v>
      </c>
      <c r="D10" s="30">
        <v>44143</v>
      </c>
      <c r="E10" s="25">
        <v>44144</v>
      </c>
      <c r="F10" s="25">
        <v>44145</v>
      </c>
      <c r="G10" s="25">
        <v>44146</v>
      </c>
      <c r="H10" s="25">
        <v>44147</v>
      </c>
      <c r="I10" s="25">
        <v>44148</v>
      </c>
      <c r="J10" s="30">
        <v>44149</v>
      </c>
      <c r="K10" s="30">
        <v>44150</v>
      </c>
      <c r="L10" s="25">
        <v>44151</v>
      </c>
      <c r="M10" s="25">
        <v>44152</v>
      </c>
      <c r="N10" s="25">
        <v>44153</v>
      </c>
      <c r="O10" s="25">
        <v>44154</v>
      </c>
      <c r="P10" s="25">
        <v>44155</v>
      </c>
      <c r="Q10" s="19"/>
      <c r="R10" s="19"/>
      <c r="T10" s="41"/>
      <c r="V10" s="40" t="s">
        <v>533</v>
      </c>
      <c r="W10" s="40">
        <v>3</v>
      </c>
      <c r="X10" s="40" t="s">
        <v>152</v>
      </c>
      <c r="Y10" s="40">
        <v>2</v>
      </c>
      <c r="AB10" s="40" t="s">
        <v>516</v>
      </c>
      <c r="AC10" s="40">
        <v>1</v>
      </c>
    </row>
    <row r="11" spans="1:29" ht="16.5" customHeight="1">
      <c r="A11" s="36">
        <v>1</v>
      </c>
      <c r="B11" s="19"/>
      <c r="C11" s="19" t="s">
        <v>692</v>
      </c>
      <c r="D11" s="19" t="s">
        <v>691</v>
      </c>
      <c r="E11" s="19"/>
      <c r="F11" s="19"/>
      <c r="G11" s="19"/>
      <c r="H11" s="19"/>
      <c r="I11" s="19"/>
      <c r="J11" s="19" t="s">
        <v>693</v>
      </c>
      <c r="K11" s="19" t="s">
        <v>694</v>
      </c>
      <c r="L11" s="19"/>
      <c r="M11" s="19"/>
      <c r="N11" s="19"/>
      <c r="O11" s="19"/>
      <c r="P11" s="19"/>
      <c r="Q11" s="19"/>
      <c r="R11" s="19"/>
      <c r="T11" s="41"/>
      <c r="V11" s="40" t="s">
        <v>516</v>
      </c>
      <c r="W11" s="40">
        <v>0</v>
      </c>
      <c r="X11" s="40" t="s">
        <v>249</v>
      </c>
      <c r="Y11" s="40">
        <v>1</v>
      </c>
    </row>
    <row r="12" spans="1:29" ht="16.5" customHeight="1">
      <c r="A12" s="36">
        <v>2</v>
      </c>
      <c r="B12" s="19"/>
      <c r="C12" s="19" t="s">
        <v>687</v>
      </c>
      <c r="D12" s="19" t="s">
        <v>688</v>
      </c>
      <c r="E12" s="19"/>
      <c r="F12" s="19"/>
      <c r="G12" s="19"/>
      <c r="H12" s="19"/>
      <c r="I12" s="19"/>
      <c r="J12" s="19" t="s">
        <v>689</v>
      </c>
      <c r="K12" s="19" t="s">
        <v>690</v>
      </c>
      <c r="L12" s="19"/>
      <c r="M12" s="19"/>
      <c r="N12" s="19"/>
      <c r="O12" s="19"/>
      <c r="P12" s="19"/>
      <c r="Q12" s="19"/>
      <c r="R12" s="19"/>
      <c r="T12" s="41"/>
      <c r="X12" s="40" t="s">
        <v>516</v>
      </c>
      <c r="Y12" s="40">
        <v>1</v>
      </c>
    </row>
    <row r="13" spans="1:29" ht="16.5" customHeight="1">
      <c r="A13" s="36">
        <v>3</v>
      </c>
      <c r="B13" s="19"/>
      <c r="C13" s="19" t="s">
        <v>684</v>
      </c>
      <c r="D13" s="19" t="s">
        <v>684</v>
      </c>
      <c r="E13" s="19"/>
      <c r="F13" s="19"/>
      <c r="G13" s="19"/>
      <c r="H13" s="19"/>
      <c r="I13" s="19"/>
      <c r="J13" s="19" t="s">
        <v>684</v>
      </c>
      <c r="K13" s="19" t="s">
        <v>684</v>
      </c>
      <c r="L13" s="19"/>
      <c r="M13" s="19"/>
      <c r="N13" s="19"/>
      <c r="O13" s="19"/>
      <c r="P13" s="19"/>
      <c r="Q13" s="19"/>
      <c r="R13" s="19"/>
      <c r="T13" s="41"/>
    </row>
    <row r="14" spans="1:29" ht="16.5" customHeight="1">
      <c r="A14" s="36" t="s">
        <v>20</v>
      </c>
      <c r="B14" s="19" t="s">
        <v>676</v>
      </c>
      <c r="C14" s="19" t="s">
        <v>13</v>
      </c>
      <c r="D14" s="19" t="s">
        <v>13</v>
      </c>
      <c r="E14" s="19" t="s">
        <v>682</v>
      </c>
      <c r="F14" s="19" t="s">
        <v>677</v>
      </c>
      <c r="G14" s="19" t="s">
        <v>677</v>
      </c>
      <c r="H14" s="19" t="s">
        <v>677</v>
      </c>
      <c r="I14" s="19" t="s">
        <v>677</v>
      </c>
      <c r="J14" s="19" t="s">
        <v>677</v>
      </c>
      <c r="K14" s="19" t="s">
        <v>677</v>
      </c>
      <c r="L14" s="19" t="s">
        <v>687</v>
      </c>
      <c r="M14" s="19" t="s">
        <v>13</v>
      </c>
      <c r="N14" s="19" t="s">
        <v>13</v>
      </c>
      <c r="O14" s="19" t="s">
        <v>13</v>
      </c>
      <c r="P14" s="19" t="s">
        <v>13</v>
      </c>
      <c r="Q14" s="19"/>
      <c r="R14" s="19"/>
      <c r="T14" s="41"/>
    </row>
    <row r="15" spans="1:29" ht="16.5" customHeight="1">
      <c r="A15" s="36" t="s">
        <v>0</v>
      </c>
      <c r="B15" s="19" t="s">
        <v>673</v>
      </c>
      <c r="C15" s="19" t="s">
        <v>671</v>
      </c>
      <c r="D15" s="19"/>
      <c r="E15" s="19"/>
      <c r="F15" s="19"/>
      <c r="G15" s="19"/>
      <c r="H15" s="19" t="s">
        <v>673</v>
      </c>
      <c r="I15" s="19" t="s">
        <v>671</v>
      </c>
      <c r="J15" s="19" t="s">
        <v>671</v>
      </c>
      <c r="K15" s="19"/>
      <c r="L15" s="19"/>
      <c r="M15" s="19"/>
      <c r="N15" s="19"/>
      <c r="O15" s="19" t="s">
        <v>673</v>
      </c>
      <c r="P15" s="19" t="s">
        <v>671</v>
      </c>
      <c r="Q15" s="19"/>
      <c r="R15" s="19"/>
      <c r="T15" s="41"/>
      <c r="V15" s="40" t="s">
        <v>567</v>
      </c>
      <c r="W15" s="40">
        <f>SUM(W2:W14)</f>
        <v>18</v>
      </c>
      <c r="Y15" s="40">
        <f>SUM(Y2:Y14)</f>
        <v>18</v>
      </c>
      <c r="AA15" s="40">
        <f>SUM(AA2:AA14)</f>
        <v>0</v>
      </c>
      <c r="AC15" s="40">
        <f>SUM(AC2:AC14)</f>
        <v>10</v>
      </c>
    </row>
    <row r="16" spans="1:29" ht="16.5" customHeight="1">
      <c r="A16" s="36" t="s">
        <v>1</v>
      </c>
      <c r="B16" s="19"/>
      <c r="C16" s="19"/>
      <c r="D16" s="19" t="s">
        <v>674</v>
      </c>
      <c r="E16" s="19" t="s">
        <v>671</v>
      </c>
      <c r="F16" s="19" t="s">
        <v>671</v>
      </c>
      <c r="G16" s="19" t="s">
        <v>671</v>
      </c>
      <c r="H16" s="19" t="s">
        <v>671</v>
      </c>
      <c r="I16" s="19"/>
      <c r="J16" s="19"/>
      <c r="K16" s="19" t="s">
        <v>670</v>
      </c>
      <c r="L16" s="19" t="s">
        <v>671</v>
      </c>
      <c r="M16" s="19" t="s">
        <v>671</v>
      </c>
      <c r="N16" s="19" t="s">
        <v>671</v>
      </c>
      <c r="O16" s="19" t="s">
        <v>671</v>
      </c>
      <c r="P16" s="19"/>
      <c r="Q16" s="19"/>
      <c r="R16" s="19"/>
      <c r="T16" s="41"/>
    </row>
    <row r="17" spans="1:29" ht="16.5" customHeight="1">
      <c r="A17" s="36" t="s">
        <v>366</v>
      </c>
      <c r="B17" s="19"/>
      <c r="C17" s="19"/>
      <c r="D17" s="19"/>
      <c r="E17" s="19"/>
      <c r="F17" s="19"/>
      <c r="G17" s="19"/>
      <c r="H17" s="19"/>
      <c r="I17" s="19"/>
      <c r="J17" s="19"/>
      <c r="K17" s="19"/>
      <c r="L17" s="19"/>
      <c r="M17" s="19"/>
      <c r="N17" s="19"/>
      <c r="O17" s="19"/>
      <c r="P17" s="19"/>
      <c r="Q17" s="19"/>
      <c r="R17" s="19"/>
      <c r="T17" s="41"/>
    </row>
    <row r="18" spans="1:29" ht="16.5" customHeight="1">
      <c r="A18" s="42"/>
      <c r="B18" s="37"/>
      <c r="C18" s="37"/>
      <c r="D18" s="37"/>
      <c r="E18" s="37"/>
      <c r="F18" s="37"/>
      <c r="G18" s="37"/>
      <c r="H18" s="38"/>
      <c r="I18" s="38"/>
      <c r="J18" s="38"/>
      <c r="K18" s="38"/>
      <c r="L18" s="38"/>
      <c r="M18" s="38"/>
      <c r="N18" s="38"/>
      <c r="O18" s="38"/>
      <c r="P18" s="37"/>
      <c r="Q18" s="37"/>
      <c r="R18" s="39"/>
      <c r="T18" s="41"/>
      <c r="X18" s="40" t="s">
        <v>669</v>
      </c>
    </row>
    <row r="19" spans="1:29" ht="16.5" customHeight="1">
      <c r="A19" s="23" t="s">
        <v>243</v>
      </c>
      <c r="B19" s="30">
        <v>44156</v>
      </c>
      <c r="C19" s="30">
        <v>44157</v>
      </c>
      <c r="D19" s="25">
        <v>44158</v>
      </c>
      <c r="E19" s="25">
        <v>44159</v>
      </c>
      <c r="F19" s="25">
        <v>44160</v>
      </c>
      <c r="G19" s="25">
        <v>44161</v>
      </c>
      <c r="H19" s="25">
        <v>44162</v>
      </c>
      <c r="I19" s="30">
        <v>44163</v>
      </c>
      <c r="J19" s="30">
        <v>44164</v>
      </c>
      <c r="K19" s="25">
        <v>44165</v>
      </c>
      <c r="L19" s="25"/>
      <c r="M19" s="26" t="s">
        <v>244</v>
      </c>
      <c r="N19" s="27">
        <v>44166</v>
      </c>
      <c r="O19" s="27">
        <v>44167</v>
      </c>
      <c r="P19" s="27">
        <v>44168</v>
      </c>
      <c r="Q19" s="27">
        <v>44169</v>
      </c>
      <c r="R19" s="31">
        <v>44170</v>
      </c>
      <c r="T19" s="41"/>
      <c r="V19" s="40" t="s">
        <v>63</v>
      </c>
      <c r="X19" s="40" t="s">
        <v>64</v>
      </c>
      <c r="Z19" s="40" t="s">
        <v>65</v>
      </c>
      <c r="AB19" s="40" t="s">
        <v>169</v>
      </c>
    </row>
    <row r="20" spans="1:29" ht="16.5" customHeight="1">
      <c r="A20" s="36">
        <v>1</v>
      </c>
      <c r="B20" s="19"/>
      <c r="C20" s="19"/>
      <c r="D20" s="19"/>
      <c r="E20" s="19"/>
      <c r="F20" s="19"/>
      <c r="G20" s="19"/>
      <c r="H20" s="19"/>
      <c r="I20" s="19" t="s">
        <v>25</v>
      </c>
      <c r="J20" s="19" t="s">
        <v>27</v>
      </c>
      <c r="K20" s="19"/>
      <c r="L20" s="19"/>
      <c r="M20" s="28"/>
      <c r="N20" s="19"/>
      <c r="O20" s="19"/>
      <c r="P20" s="19"/>
      <c r="Q20" s="19"/>
      <c r="R20" s="19" t="s">
        <v>695</v>
      </c>
      <c r="T20" s="41"/>
      <c r="V20" s="40" t="s">
        <v>25</v>
      </c>
      <c r="W20" s="40">
        <v>1</v>
      </c>
      <c r="X20" s="40" t="s">
        <v>45</v>
      </c>
      <c r="Y20" s="40">
        <v>2</v>
      </c>
      <c r="Z20" s="40" t="s">
        <v>34</v>
      </c>
      <c r="AB20" s="40" t="s">
        <v>153</v>
      </c>
      <c r="AC20" s="40">
        <v>6</v>
      </c>
    </row>
    <row r="21" spans="1:29" ht="16.5" customHeight="1">
      <c r="A21" s="36">
        <v>2</v>
      </c>
      <c r="B21" s="19"/>
      <c r="C21" s="19"/>
      <c r="D21" s="19"/>
      <c r="E21" s="19"/>
      <c r="F21" s="19"/>
      <c r="G21" s="19"/>
      <c r="H21" s="19"/>
      <c r="I21" s="19" t="s">
        <v>23</v>
      </c>
      <c r="J21" s="19" t="s">
        <v>242</v>
      </c>
      <c r="K21" s="19"/>
      <c r="L21" s="19"/>
      <c r="M21" s="28"/>
      <c r="N21" s="19"/>
      <c r="O21" s="19"/>
      <c r="P21" s="19"/>
      <c r="Q21" s="19"/>
      <c r="R21" s="19" t="s">
        <v>703</v>
      </c>
      <c r="T21" s="41"/>
      <c r="V21" s="40" t="s">
        <v>2</v>
      </c>
      <c r="W21" s="40">
        <v>2</v>
      </c>
      <c r="X21" s="40" t="s">
        <v>46</v>
      </c>
      <c r="Y21" s="40">
        <v>0</v>
      </c>
      <c r="Z21" s="40" t="s">
        <v>35</v>
      </c>
      <c r="AB21" s="40" t="s">
        <v>26</v>
      </c>
      <c r="AC21" s="40">
        <v>4</v>
      </c>
    </row>
    <row r="22" spans="1:29" ht="16.5" customHeight="1">
      <c r="A22" s="36">
        <v>3</v>
      </c>
      <c r="B22" s="19"/>
      <c r="C22" s="19"/>
      <c r="D22" s="19"/>
      <c r="E22" s="19"/>
      <c r="F22" s="19"/>
      <c r="G22" s="19"/>
      <c r="H22" s="19"/>
      <c r="I22" s="19" t="s">
        <v>684</v>
      </c>
      <c r="J22" s="19" t="s">
        <v>684</v>
      </c>
      <c r="K22" s="19"/>
      <c r="L22" s="19"/>
      <c r="M22" s="28"/>
      <c r="N22" s="19"/>
      <c r="O22" s="19"/>
      <c r="P22" s="19"/>
      <c r="Q22" s="19"/>
      <c r="R22" s="19" t="s">
        <v>684</v>
      </c>
      <c r="T22" s="41"/>
      <c r="V22" s="40" t="s">
        <v>14</v>
      </c>
      <c r="W22" s="40">
        <v>2</v>
      </c>
      <c r="X22" s="40" t="s">
        <v>6</v>
      </c>
      <c r="Y22" s="40">
        <v>2</v>
      </c>
      <c r="Z22" s="40" t="s">
        <v>8</v>
      </c>
      <c r="AB22" s="40" t="s">
        <v>6</v>
      </c>
      <c r="AC22" s="40">
        <v>1</v>
      </c>
    </row>
    <row r="23" spans="1:29" ht="16.5" customHeight="1">
      <c r="A23" s="36" t="s">
        <v>20</v>
      </c>
      <c r="B23" s="19"/>
      <c r="C23" s="19"/>
      <c r="D23" s="19" t="s">
        <v>681</v>
      </c>
      <c r="E23" s="19" t="s">
        <v>677</v>
      </c>
      <c r="F23" s="19" t="s">
        <v>677</v>
      </c>
      <c r="G23" s="19" t="s">
        <v>677</v>
      </c>
      <c r="H23" s="19" t="s">
        <v>677</v>
      </c>
      <c r="I23" s="19" t="s">
        <v>677</v>
      </c>
      <c r="J23" s="19" t="s">
        <v>677</v>
      </c>
      <c r="K23" s="19" t="s">
        <v>679</v>
      </c>
      <c r="L23" s="19"/>
      <c r="M23" s="28"/>
      <c r="N23" s="19" t="s">
        <v>679</v>
      </c>
      <c r="O23" s="19" t="s">
        <v>13</v>
      </c>
      <c r="P23" s="19" t="s">
        <v>13</v>
      </c>
      <c r="Q23" s="19" t="s">
        <v>13</v>
      </c>
      <c r="R23" s="19" t="s">
        <v>13</v>
      </c>
      <c r="T23" s="41"/>
      <c r="V23" s="40" t="s">
        <v>7</v>
      </c>
      <c r="W23" s="40">
        <v>2</v>
      </c>
      <c r="X23" s="40" t="s">
        <v>23</v>
      </c>
      <c r="Y23" s="40">
        <v>1</v>
      </c>
      <c r="Z23" s="40" t="s">
        <v>38</v>
      </c>
      <c r="AB23" s="40" t="s">
        <v>152</v>
      </c>
      <c r="AC23" s="40">
        <v>8</v>
      </c>
    </row>
    <row r="24" spans="1:29" ht="16.5" customHeight="1">
      <c r="A24" s="36" t="s">
        <v>0</v>
      </c>
      <c r="B24" s="19"/>
      <c r="C24" s="19"/>
      <c r="D24" s="19"/>
      <c r="E24" s="19"/>
      <c r="F24" s="19"/>
      <c r="G24" s="19" t="s">
        <v>673</v>
      </c>
      <c r="H24" s="19" t="s">
        <v>671</v>
      </c>
      <c r="I24" s="19" t="s">
        <v>671</v>
      </c>
      <c r="J24" s="19"/>
      <c r="K24" s="19"/>
      <c r="L24" s="19"/>
      <c r="M24" s="28"/>
      <c r="N24" s="19"/>
      <c r="O24" s="19"/>
      <c r="P24" s="19" t="s">
        <v>673</v>
      </c>
      <c r="Q24" s="19" t="s">
        <v>671</v>
      </c>
      <c r="R24" s="19" t="s">
        <v>671</v>
      </c>
      <c r="T24" s="41"/>
      <c r="V24" s="40" t="s">
        <v>21</v>
      </c>
      <c r="W24" s="40">
        <v>2</v>
      </c>
      <c r="X24" s="40" t="s">
        <v>153</v>
      </c>
      <c r="Y24" s="40">
        <v>1</v>
      </c>
      <c r="Z24" s="40" t="s">
        <v>36</v>
      </c>
      <c r="AB24" s="40" t="s">
        <v>23</v>
      </c>
      <c r="AC24" s="40">
        <v>3</v>
      </c>
    </row>
    <row r="25" spans="1:29" ht="16.5" customHeight="1">
      <c r="A25" s="36" t="s">
        <v>1</v>
      </c>
      <c r="B25" s="19"/>
      <c r="C25" s="19"/>
      <c r="D25" s="19" t="s">
        <v>213</v>
      </c>
      <c r="E25" s="19" t="s">
        <v>671</v>
      </c>
      <c r="F25" s="19" t="s">
        <v>671</v>
      </c>
      <c r="G25" s="19" t="s">
        <v>671</v>
      </c>
      <c r="H25" s="19"/>
      <c r="I25" s="19"/>
      <c r="J25" s="19" t="s">
        <v>670</v>
      </c>
      <c r="K25" s="19" t="s">
        <v>671</v>
      </c>
      <c r="L25" s="19"/>
      <c r="M25" s="28"/>
      <c r="N25" s="19" t="s">
        <v>670</v>
      </c>
      <c r="O25" s="19" t="s">
        <v>671</v>
      </c>
      <c r="P25" s="19" t="s">
        <v>671</v>
      </c>
      <c r="Q25" s="19"/>
      <c r="R25" s="19"/>
      <c r="T25" s="41"/>
      <c r="V25" s="40" t="s">
        <v>26</v>
      </c>
      <c r="W25" s="40">
        <v>2</v>
      </c>
      <c r="X25" s="40" t="s">
        <v>327</v>
      </c>
      <c r="Y25" s="40">
        <v>2</v>
      </c>
      <c r="Z25" s="40" t="s">
        <v>37</v>
      </c>
      <c r="AB25" s="40" t="s">
        <v>25</v>
      </c>
      <c r="AC25" s="40">
        <v>2</v>
      </c>
    </row>
    <row r="26" spans="1:29" ht="16.5" customHeight="1">
      <c r="A26" s="36" t="s">
        <v>366</v>
      </c>
      <c r="B26" s="19"/>
      <c r="C26" s="19"/>
      <c r="D26" s="19"/>
      <c r="E26" s="19"/>
      <c r="F26" s="19"/>
      <c r="G26" s="19"/>
      <c r="H26" s="19"/>
      <c r="I26" s="19"/>
      <c r="J26" s="19"/>
      <c r="K26" s="19"/>
      <c r="L26" s="19"/>
      <c r="M26" s="28"/>
      <c r="N26" s="19"/>
      <c r="O26" s="19"/>
      <c r="P26" s="19"/>
      <c r="Q26" s="19"/>
      <c r="R26" s="19"/>
      <c r="T26" s="41"/>
      <c r="V26" s="40" t="s">
        <v>27</v>
      </c>
      <c r="W26" s="40">
        <v>2</v>
      </c>
      <c r="X26" s="40" t="s">
        <v>28</v>
      </c>
      <c r="Y26" s="40">
        <v>2</v>
      </c>
      <c r="Z26" s="40" t="s">
        <v>249</v>
      </c>
      <c r="AB26" s="40" t="s">
        <v>327</v>
      </c>
      <c r="AC26" s="40">
        <v>5</v>
      </c>
    </row>
    <row r="27" spans="1:29" ht="16.5" customHeight="1">
      <c r="A27" s="26" t="s">
        <v>244</v>
      </c>
      <c r="B27" s="31">
        <v>44171</v>
      </c>
      <c r="C27" s="27">
        <v>44172</v>
      </c>
      <c r="D27" s="27">
        <v>44173</v>
      </c>
      <c r="E27" s="27">
        <v>44174</v>
      </c>
      <c r="F27" s="27">
        <v>44175</v>
      </c>
      <c r="G27" s="27">
        <v>44176</v>
      </c>
      <c r="H27" s="31">
        <v>44177</v>
      </c>
      <c r="I27" s="31">
        <v>44178</v>
      </c>
      <c r="J27" s="27">
        <v>44179</v>
      </c>
      <c r="K27" s="27">
        <v>44180</v>
      </c>
      <c r="L27" s="27">
        <v>44181</v>
      </c>
      <c r="M27" s="27">
        <v>44182</v>
      </c>
      <c r="N27" s="27">
        <v>44183</v>
      </c>
      <c r="O27" s="31">
        <v>44184</v>
      </c>
      <c r="P27" s="31">
        <v>44185</v>
      </c>
      <c r="Q27" s="19"/>
      <c r="R27" s="19"/>
      <c r="T27" s="41"/>
      <c r="V27" s="40" t="s">
        <v>533</v>
      </c>
      <c r="W27" s="40">
        <v>1</v>
      </c>
      <c r="X27" s="40" t="s">
        <v>152</v>
      </c>
      <c r="Y27" s="40">
        <v>2</v>
      </c>
      <c r="AB27" s="40" t="s">
        <v>516</v>
      </c>
      <c r="AC27" s="40">
        <v>7</v>
      </c>
    </row>
    <row r="28" spans="1:29" ht="16.5" customHeight="1">
      <c r="A28" s="28">
        <v>1</v>
      </c>
      <c r="B28" s="19" t="s">
        <v>698</v>
      </c>
      <c r="C28" s="19"/>
      <c r="D28" s="19"/>
      <c r="E28" s="19"/>
      <c r="F28" s="19"/>
      <c r="G28" s="19"/>
      <c r="H28" s="19" t="s">
        <v>2</v>
      </c>
      <c r="I28" s="19" t="s">
        <v>315</v>
      </c>
      <c r="J28" s="19"/>
      <c r="K28" s="19"/>
      <c r="L28" s="19"/>
      <c r="M28" s="19"/>
      <c r="N28" s="19"/>
      <c r="O28" s="19" t="s">
        <v>7</v>
      </c>
      <c r="P28" s="19" t="s">
        <v>516</v>
      </c>
      <c r="Q28" s="19"/>
      <c r="R28" s="19"/>
      <c r="T28" s="41"/>
      <c r="V28" s="40" t="s">
        <v>516</v>
      </c>
      <c r="W28" s="40">
        <v>2</v>
      </c>
      <c r="X28" s="40" t="s">
        <v>249</v>
      </c>
      <c r="Y28" s="40">
        <v>2</v>
      </c>
    </row>
    <row r="29" spans="1:29" ht="16.5" customHeight="1">
      <c r="A29" s="28">
        <v>2</v>
      </c>
      <c r="B29" s="19" t="s">
        <v>699</v>
      </c>
      <c r="C29" s="19"/>
      <c r="D29" s="19"/>
      <c r="E29" s="19"/>
      <c r="F29" s="19"/>
      <c r="G29" s="19"/>
      <c r="H29" s="19" t="s">
        <v>697</v>
      </c>
      <c r="I29" s="19" t="s">
        <v>700</v>
      </c>
      <c r="J29" s="19"/>
      <c r="K29" s="19"/>
      <c r="L29" s="19"/>
      <c r="M29" s="19"/>
      <c r="N29" s="19"/>
      <c r="O29" s="19" t="s">
        <v>701</v>
      </c>
      <c r="P29" s="19" t="s">
        <v>702</v>
      </c>
      <c r="Q29" s="19"/>
      <c r="R29" s="19"/>
      <c r="T29" s="41"/>
      <c r="X29" s="40" t="s">
        <v>690</v>
      </c>
      <c r="Y29" s="40">
        <v>2</v>
      </c>
    </row>
    <row r="30" spans="1:29" ht="16.5" customHeight="1">
      <c r="A30" s="28">
        <v>3</v>
      </c>
      <c r="B30" s="19" t="s">
        <v>684</v>
      </c>
      <c r="C30" s="19"/>
      <c r="D30" s="19"/>
      <c r="E30" s="19"/>
      <c r="F30" s="19"/>
      <c r="G30" s="19"/>
      <c r="H30" s="19" t="s">
        <v>684</v>
      </c>
      <c r="I30" s="19" t="s">
        <v>684</v>
      </c>
      <c r="J30" s="19"/>
      <c r="K30" s="19"/>
      <c r="L30" s="19"/>
      <c r="M30" s="19"/>
      <c r="N30" s="19"/>
      <c r="O30" s="19" t="s">
        <v>684</v>
      </c>
      <c r="P30" s="19" t="s">
        <v>684</v>
      </c>
      <c r="Q30" s="19"/>
      <c r="R30" s="19"/>
      <c r="T30" s="41"/>
    </row>
    <row r="31" spans="1:29" ht="16.5" customHeight="1">
      <c r="A31" s="28" t="s">
        <v>20</v>
      </c>
      <c r="B31" s="19" t="s">
        <v>679</v>
      </c>
      <c r="C31" s="19" t="s">
        <v>686</v>
      </c>
      <c r="D31" s="19" t="s">
        <v>677</v>
      </c>
      <c r="E31" s="19" t="s">
        <v>677</v>
      </c>
      <c r="F31" s="19" t="s">
        <v>677</v>
      </c>
      <c r="G31" s="19" t="s">
        <v>677</v>
      </c>
      <c r="H31" s="19" t="s">
        <v>677</v>
      </c>
      <c r="I31" s="19" t="s">
        <v>677</v>
      </c>
      <c r="J31" s="19" t="s">
        <v>688</v>
      </c>
      <c r="K31" s="19" t="s">
        <v>677</v>
      </c>
      <c r="L31" s="19" t="s">
        <v>677</v>
      </c>
      <c r="M31" s="19" t="s">
        <v>677</v>
      </c>
      <c r="N31" s="19" t="s">
        <v>677</v>
      </c>
      <c r="O31" s="19" t="s">
        <v>677</v>
      </c>
      <c r="P31" s="19" t="s">
        <v>677</v>
      </c>
      <c r="Q31" s="19"/>
      <c r="R31" s="19"/>
      <c r="T31" s="41"/>
    </row>
    <row r="32" spans="1:29" ht="16.5" customHeight="1">
      <c r="A32" s="28" t="s">
        <v>0</v>
      </c>
      <c r="B32" s="19"/>
      <c r="C32" s="19"/>
      <c r="D32" s="19"/>
      <c r="E32" s="19"/>
      <c r="F32" s="19" t="s">
        <v>673</v>
      </c>
      <c r="G32" s="19" t="s">
        <v>671</v>
      </c>
      <c r="H32" s="19" t="s">
        <v>671</v>
      </c>
      <c r="I32" s="19"/>
      <c r="J32" s="19"/>
      <c r="K32" s="19"/>
      <c r="L32" s="19"/>
      <c r="M32" s="19" t="s">
        <v>673</v>
      </c>
      <c r="N32" s="19" t="s">
        <v>671</v>
      </c>
      <c r="O32" s="19" t="s">
        <v>671</v>
      </c>
      <c r="P32" s="19"/>
      <c r="Q32" s="19"/>
      <c r="R32" s="19"/>
      <c r="T32" s="41"/>
      <c r="V32" s="40" t="s">
        <v>696</v>
      </c>
      <c r="W32" s="40">
        <f>SUM(W19:W31)</f>
        <v>16</v>
      </c>
      <c r="Y32" s="40">
        <f>SUM(Y19:Y31)</f>
        <v>16</v>
      </c>
      <c r="AA32" s="40">
        <f>SUM(AA19:AA31)</f>
        <v>0</v>
      </c>
    </row>
    <row r="33" spans="1:20" ht="16.5" customHeight="1">
      <c r="A33" s="28" t="s">
        <v>1</v>
      </c>
      <c r="B33" s="19" t="s">
        <v>674</v>
      </c>
      <c r="C33" s="19" t="s">
        <v>671</v>
      </c>
      <c r="D33" s="19" t="s">
        <v>671</v>
      </c>
      <c r="E33" s="19" t="s">
        <v>671</v>
      </c>
      <c r="F33" s="19" t="s">
        <v>671</v>
      </c>
      <c r="G33" s="19"/>
      <c r="H33" s="19"/>
      <c r="I33" s="19" t="s">
        <v>670</v>
      </c>
      <c r="J33" s="19" t="s">
        <v>671</v>
      </c>
      <c r="K33" s="19" t="s">
        <v>671</v>
      </c>
      <c r="L33" s="19" t="s">
        <v>671</v>
      </c>
      <c r="M33" s="19" t="s">
        <v>671</v>
      </c>
      <c r="N33" s="19"/>
      <c r="O33" s="19"/>
      <c r="P33" s="19" t="s">
        <v>674</v>
      </c>
      <c r="Q33" s="19"/>
      <c r="R33" s="19"/>
    </row>
    <row r="34" spans="1:20" ht="16.5" customHeight="1">
      <c r="A34" s="28" t="s">
        <v>366</v>
      </c>
      <c r="B34" s="19"/>
      <c r="C34" s="19"/>
      <c r="D34" s="19"/>
      <c r="E34" s="19"/>
      <c r="F34" s="19"/>
      <c r="G34" s="19"/>
      <c r="H34" s="19"/>
      <c r="I34" s="19"/>
      <c r="J34" s="19"/>
      <c r="K34" s="19"/>
      <c r="L34" s="19"/>
      <c r="M34" s="19"/>
      <c r="N34" s="19"/>
      <c r="O34" s="19"/>
      <c r="P34" s="19"/>
      <c r="Q34" s="19"/>
      <c r="R34" s="19"/>
    </row>
    <row r="35" spans="1:20" ht="12.75" customHeight="1">
      <c r="Q35" s="145" t="s">
        <v>82</v>
      </c>
      <c r="R35" s="145"/>
      <c r="T35" s="41"/>
    </row>
    <row r="36" spans="1:20">
      <c r="A36" s="40" t="s">
        <v>322</v>
      </c>
      <c r="H36" s="43"/>
      <c r="T36" s="41"/>
    </row>
    <row r="37" spans="1:20">
      <c r="A37" s="43" t="s">
        <v>516</v>
      </c>
      <c r="B37" s="43">
        <v>44135</v>
      </c>
      <c r="C37" s="43">
        <v>44136</v>
      </c>
      <c r="D37" s="43">
        <v>44163</v>
      </c>
      <c r="E37" s="43">
        <v>44164</v>
      </c>
      <c r="F37" s="43"/>
      <c r="G37" s="43"/>
      <c r="H37" s="43"/>
      <c r="I37" s="43"/>
      <c r="J37" s="43"/>
      <c r="K37" s="43"/>
      <c r="L37" s="43"/>
      <c r="M37" s="43"/>
      <c r="N37" s="43"/>
      <c r="O37" s="43"/>
      <c r="P37" s="43"/>
      <c r="Q37" s="43"/>
      <c r="R37" s="43"/>
      <c r="T37" s="41"/>
    </row>
    <row r="38" spans="1:20">
      <c r="A38" s="43" t="s">
        <v>327</v>
      </c>
      <c r="B38" s="43">
        <v>44134</v>
      </c>
      <c r="C38" s="43">
        <v>44135</v>
      </c>
      <c r="D38" s="43">
        <v>44136</v>
      </c>
      <c r="E38" s="43"/>
      <c r="F38" s="43"/>
      <c r="G38" s="43"/>
      <c r="H38" s="43"/>
      <c r="I38" s="43"/>
      <c r="J38" s="43"/>
      <c r="K38" s="43"/>
      <c r="L38" s="43"/>
      <c r="M38" s="43"/>
      <c r="N38" s="43"/>
      <c r="O38" s="43"/>
      <c r="P38" s="43"/>
      <c r="Q38" s="43"/>
      <c r="R38" s="43"/>
      <c r="T38" s="41"/>
    </row>
    <row r="39" spans="1:20">
      <c r="A39" s="43" t="s">
        <v>7</v>
      </c>
      <c r="B39" s="43">
        <v>44177</v>
      </c>
      <c r="C39" s="43"/>
      <c r="D39" s="43"/>
      <c r="E39" s="43"/>
      <c r="F39" s="43"/>
      <c r="G39" s="43"/>
      <c r="H39" s="43"/>
      <c r="I39" s="43"/>
      <c r="J39" s="43"/>
      <c r="K39" s="43"/>
      <c r="L39" s="43"/>
      <c r="M39" s="43"/>
      <c r="N39" s="43"/>
      <c r="O39" s="43"/>
      <c r="P39" s="43"/>
      <c r="Q39" s="43"/>
      <c r="R39" s="43"/>
      <c r="T39" s="41"/>
    </row>
    <row r="40" spans="1:20">
      <c r="A40" s="43" t="s">
        <v>14</v>
      </c>
      <c r="B40" s="43">
        <v>44128</v>
      </c>
      <c r="C40" s="43">
        <v>44129</v>
      </c>
      <c r="D40" s="43">
        <v>44142</v>
      </c>
      <c r="E40" s="43">
        <v>44177</v>
      </c>
      <c r="F40" s="43"/>
      <c r="G40" s="43"/>
      <c r="H40" s="43"/>
      <c r="I40" s="43"/>
      <c r="J40" s="43"/>
      <c r="K40" s="43"/>
      <c r="L40" s="43"/>
      <c r="M40" s="43"/>
      <c r="N40" s="43"/>
      <c r="O40" s="43"/>
      <c r="P40" s="43"/>
      <c r="Q40" s="43"/>
      <c r="R40" s="43"/>
    </row>
    <row r="41" spans="1:20">
      <c r="A41" s="43" t="s">
        <v>26</v>
      </c>
      <c r="B41" s="43">
        <v>44129</v>
      </c>
      <c r="C41" s="43">
        <v>44136</v>
      </c>
      <c r="D41" s="43">
        <v>44143</v>
      </c>
      <c r="E41" s="43">
        <v>44150</v>
      </c>
      <c r="F41" s="43">
        <v>44163</v>
      </c>
      <c r="G41" s="43">
        <v>44164</v>
      </c>
      <c r="H41" s="43">
        <v>44171</v>
      </c>
      <c r="I41" s="43"/>
      <c r="J41" s="43"/>
      <c r="K41" s="43"/>
      <c r="L41" s="43"/>
      <c r="M41" s="43"/>
      <c r="N41" s="43"/>
      <c r="O41" s="43"/>
      <c r="P41" s="43"/>
      <c r="Q41" s="43"/>
      <c r="R41" s="43"/>
      <c r="T41" s="41"/>
    </row>
    <row r="42" spans="1:20">
      <c r="A42" s="43" t="s">
        <v>28</v>
      </c>
      <c r="B42" s="43">
        <v>44135</v>
      </c>
      <c r="C42" s="43">
        <v>44164</v>
      </c>
      <c r="D42" s="43"/>
      <c r="E42" s="43"/>
      <c r="F42" s="43"/>
      <c r="G42" s="43"/>
      <c r="H42" s="43"/>
      <c r="I42" s="43"/>
      <c r="J42" s="43"/>
      <c r="K42" s="43"/>
      <c r="L42" s="43"/>
      <c r="M42" s="43"/>
      <c r="N42" s="43"/>
      <c r="O42" s="43"/>
      <c r="P42" s="43"/>
      <c r="Q42" s="43"/>
      <c r="R42" s="43"/>
      <c r="T42" s="41"/>
    </row>
    <row r="43" spans="1:20">
      <c r="A43" s="43" t="s">
        <v>27</v>
      </c>
      <c r="B43" s="43">
        <v>44135</v>
      </c>
      <c r="C43" s="43">
        <v>44149</v>
      </c>
      <c r="D43" s="43">
        <v>44157</v>
      </c>
      <c r="E43" s="43">
        <v>44171</v>
      </c>
      <c r="F43" s="43"/>
      <c r="G43" s="43"/>
      <c r="H43" s="43"/>
      <c r="I43" s="43"/>
      <c r="J43" s="43"/>
      <c r="K43" s="43"/>
      <c r="L43" s="43"/>
      <c r="M43" s="43"/>
      <c r="N43" s="43"/>
      <c r="O43" s="43"/>
      <c r="P43" s="43"/>
      <c r="Q43" s="43"/>
      <c r="R43" s="43"/>
      <c r="T43" s="41"/>
    </row>
    <row r="44" spans="1:20">
      <c r="A44" s="43" t="s">
        <v>533</v>
      </c>
      <c r="B44" s="43">
        <v>44142</v>
      </c>
      <c r="C44" s="43">
        <v>44143</v>
      </c>
      <c r="D44" s="43"/>
      <c r="E44" s="43"/>
      <c r="F44" s="43"/>
      <c r="G44" s="43"/>
      <c r="H44" s="43"/>
      <c r="I44" s="43"/>
      <c r="J44" s="43"/>
      <c r="K44" s="43"/>
      <c r="L44" s="43"/>
      <c r="M44" s="43"/>
      <c r="N44" s="43"/>
      <c r="O44" s="43"/>
      <c r="P44" s="43"/>
      <c r="Q44" s="43"/>
      <c r="R44" s="43"/>
      <c r="T44" s="41"/>
    </row>
    <row r="45" spans="1:20">
      <c r="A45" s="43"/>
      <c r="B45" s="43"/>
      <c r="C45" s="43"/>
      <c r="D45" s="43"/>
      <c r="E45" s="43"/>
      <c r="F45" s="43"/>
      <c r="G45" s="43"/>
      <c r="H45" s="43"/>
      <c r="I45" s="43"/>
      <c r="J45" s="43"/>
      <c r="K45" s="43"/>
      <c r="L45" s="43"/>
      <c r="M45" s="43"/>
      <c r="N45" s="43"/>
      <c r="O45" s="43"/>
      <c r="P45" s="43"/>
      <c r="Q45" s="43"/>
      <c r="R45" s="43"/>
    </row>
    <row r="46" spans="1:20">
      <c r="A46" s="43"/>
      <c r="B46" s="43"/>
      <c r="C46" s="43"/>
      <c r="D46" s="43"/>
      <c r="E46" s="43"/>
      <c r="F46" s="43"/>
      <c r="G46" s="43"/>
      <c r="H46" s="43"/>
      <c r="I46" s="43"/>
      <c r="J46" s="43"/>
      <c r="K46" s="43"/>
      <c r="L46" s="43"/>
      <c r="M46" s="43"/>
      <c r="N46" s="43"/>
      <c r="O46" s="43"/>
      <c r="P46" s="43"/>
      <c r="Q46" s="43"/>
      <c r="R46" s="43"/>
      <c r="T46" s="41"/>
    </row>
    <row r="47" spans="1:20">
      <c r="A47" s="43"/>
      <c r="B47" s="43"/>
      <c r="C47" s="43"/>
      <c r="D47" s="43"/>
      <c r="E47" s="43"/>
      <c r="F47" s="43"/>
      <c r="G47" s="43"/>
      <c r="H47" s="43"/>
      <c r="I47" s="43"/>
      <c r="J47" s="43"/>
      <c r="K47" s="43"/>
      <c r="L47" s="43"/>
      <c r="M47" s="43"/>
      <c r="N47" s="43"/>
      <c r="O47" s="43"/>
      <c r="P47" s="43"/>
      <c r="Q47" s="43"/>
      <c r="R47" s="43"/>
      <c r="T47" s="41"/>
    </row>
    <row r="48" spans="1:20">
      <c r="A48" s="43"/>
      <c r="B48" s="43"/>
      <c r="C48" s="43"/>
      <c r="D48" s="43"/>
      <c r="E48" s="43"/>
      <c r="F48" s="43"/>
      <c r="G48" s="43"/>
      <c r="H48" s="43"/>
      <c r="I48" s="43"/>
      <c r="J48" s="43"/>
      <c r="K48" s="43"/>
      <c r="L48" s="43"/>
      <c r="M48" s="43"/>
      <c r="N48" s="43"/>
      <c r="O48" s="43"/>
      <c r="P48" s="43"/>
      <c r="Q48" s="43"/>
      <c r="R48" s="43"/>
      <c r="T48" s="41"/>
    </row>
    <row r="49" spans="1:18">
      <c r="A49" s="43"/>
      <c r="B49" s="43"/>
      <c r="C49" s="43"/>
      <c r="D49" s="43"/>
      <c r="E49" s="43"/>
      <c r="F49" s="43"/>
      <c r="G49" s="43"/>
      <c r="H49" s="43"/>
      <c r="I49" s="43"/>
      <c r="J49" s="43"/>
      <c r="K49" s="43"/>
      <c r="L49" s="43"/>
      <c r="M49" s="43"/>
      <c r="N49" s="43"/>
      <c r="O49" s="43"/>
      <c r="P49" s="43"/>
      <c r="Q49" s="43"/>
      <c r="R49" s="43"/>
    </row>
    <row r="50" spans="1:18">
      <c r="A50" s="43"/>
      <c r="B50" s="43"/>
      <c r="C50" s="43"/>
      <c r="D50" s="43"/>
      <c r="E50" s="43"/>
      <c r="F50" s="43"/>
      <c r="G50" s="43"/>
      <c r="H50" s="43"/>
      <c r="I50" s="43"/>
      <c r="J50" s="43"/>
      <c r="K50" s="43"/>
      <c r="L50" s="43"/>
      <c r="M50" s="43"/>
      <c r="N50" s="43"/>
      <c r="O50" s="43"/>
      <c r="P50" s="43"/>
      <c r="Q50" s="43"/>
      <c r="R50" s="43"/>
    </row>
    <row r="51" spans="1:18">
      <c r="A51" s="43"/>
      <c r="B51" s="43"/>
      <c r="C51" s="43"/>
      <c r="D51" s="43"/>
      <c r="E51" s="43"/>
      <c r="F51" s="43"/>
      <c r="G51" s="43"/>
      <c r="H51" s="43"/>
      <c r="I51" s="43"/>
      <c r="J51" s="43"/>
      <c r="K51" s="43"/>
      <c r="L51" s="43"/>
      <c r="M51" s="43"/>
      <c r="N51" s="43"/>
      <c r="O51" s="43"/>
      <c r="P51" s="43"/>
      <c r="Q51" s="43"/>
      <c r="R51" s="43"/>
    </row>
  </sheetData>
  <mergeCells count="2">
    <mergeCell ref="A1:R1"/>
    <mergeCell ref="Q35:R35"/>
  </mergeCells>
  <phoneticPr fontId="2"/>
  <pageMargins left="0.70866141732283472" right="0.70866141732283472" top="0" bottom="0" header="0.31496062992125984" footer="0.31496062992125984"/>
  <pageSetup paperSize="9" orientation="landscape" horizontalDpi="4294967293" r:id="rId1"/>
  <drawing r:id="rId2"/>
  <legacyDrawing r:id="rId3"/>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DA735-10B9-47D6-B91F-2D4DF5BCA0E4}">
  <dimension ref="A1:AC51"/>
  <sheetViews>
    <sheetView zoomScaleNormal="100" workbookViewId="0">
      <selection activeCell="M38" sqref="M38"/>
    </sheetView>
  </sheetViews>
  <sheetFormatPr defaultColWidth="9" defaultRowHeight="18.75"/>
  <cols>
    <col min="1" max="18" width="6.625" style="40" customWidth="1"/>
    <col min="19" max="19" width="3.625" style="40" customWidth="1"/>
    <col min="20" max="20" width="6.625" style="40" customWidth="1"/>
    <col min="21" max="21" width="3.625" style="40" customWidth="1"/>
    <col min="22" max="37" width="6.625" style="40" customWidth="1"/>
    <col min="38" max="38" width="3.625" style="40" customWidth="1"/>
    <col min="39" max="16384" width="9" style="40"/>
  </cols>
  <sheetData>
    <row r="1" spans="1:29">
      <c r="A1" s="147" t="s">
        <v>640</v>
      </c>
      <c r="B1" s="147"/>
      <c r="C1" s="147"/>
      <c r="D1" s="147"/>
      <c r="E1" s="147"/>
      <c r="F1" s="147"/>
      <c r="G1" s="147"/>
      <c r="H1" s="147"/>
      <c r="I1" s="147"/>
      <c r="J1" s="147"/>
      <c r="K1" s="147"/>
      <c r="L1" s="147"/>
      <c r="M1" s="147"/>
      <c r="N1" s="147"/>
      <c r="O1" s="147"/>
      <c r="P1" s="147"/>
      <c r="Q1" s="147"/>
      <c r="R1" s="147"/>
      <c r="X1" s="40" t="s">
        <v>167</v>
      </c>
    </row>
    <row r="2" spans="1:29" ht="16.5" customHeight="1">
      <c r="A2" s="26" t="s">
        <v>216</v>
      </c>
      <c r="B2" s="27">
        <v>44064</v>
      </c>
      <c r="C2" s="31">
        <v>44065</v>
      </c>
      <c r="D2" s="31">
        <v>44066</v>
      </c>
      <c r="E2" s="27">
        <v>44067</v>
      </c>
      <c r="F2" s="27">
        <v>44068</v>
      </c>
      <c r="G2" s="27">
        <v>44069</v>
      </c>
      <c r="H2" s="27">
        <v>44070</v>
      </c>
      <c r="I2" s="27">
        <v>44071</v>
      </c>
      <c r="J2" s="31">
        <v>44072</v>
      </c>
      <c r="K2" s="31">
        <v>44073</v>
      </c>
      <c r="L2" s="27">
        <v>44074</v>
      </c>
      <c r="M2" s="23" t="s">
        <v>217</v>
      </c>
      <c r="N2" s="25">
        <v>44075</v>
      </c>
      <c r="O2" s="25">
        <v>44076</v>
      </c>
      <c r="P2" s="25">
        <v>44077</v>
      </c>
      <c r="Q2" s="25">
        <v>44078</v>
      </c>
      <c r="R2" s="30">
        <v>44079</v>
      </c>
      <c r="V2" s="40" t="s">
        <v>63</v>
      </c>
      <c r="X2" s="40" t="s">
        <v>64</v>
      </c>
      <c r="Z2" s="40" t="s">
        <v>65</v>
      </c>
      <c r="AB2" s="40" t="s">
        <v>169</v>
      </c>
    </row>
    <row r="3" spans="1:29" ht="16.5" customHeight="1">
      <c r="A3" s="28">
        <v>1</v>
      </c>
      <c r="B3" s="19"/>
      <c r="C3" s="19" t="s">
        <v>659</v>
      </c>
      <c r="D3" s="19" t="s">
        <v>25</v>
      </c>
      <c r="E3" s="19"/>
      <c r="F3" s="19"/>
      <c r="G3" s="19"/>
      <c r="H3" s="19"/>
      <c r="I3" s="19"/>
      <c r="J3" s="19" t="s">
        <v>533</v>
      </c>
      <c r="K3" s="19" t="s">
        <v>658</v>
      </c>
      <c r="L3" s="19"/>
      <c r="M3" s="36"/>
      <c r="N3" s="19"/>
      <c r="O3" s="19"/>
      <c r="P3" s="19"/>
      <c r="Q3" s="19"/>
      <c r="R3" s="19" t="s">
        <v>663</v>
      </c>
      <c r="V3" s="40" t="s">
        <v>25</v>
      </c>
      <c r="W3" s="40">
        <v>1</v>
      </c>
      <c r="X3" s="40" t="s">
        <v>45</v>
      </c>
      <c r="Y3" s="40">
        <v>2</v>
      </c>
      <c r="Z3" s="40" t="s">
        <v>34</v>
      </c>
      <c r="AB3" s="40" t="s">
        <v>153</v>
      </c>
      <c r="AC3" s="40">
        <v>1</v>
      </c>
    </row>
    <row r="4" spans="1:29" ht="16.5" customHeight="1">
      <c r="A4" s="28">
        <v>2</v>
      </c>
      <c r="B4" s="19"/>
      <c r="C4" s="19" t="s">
        <v>655</v>
      </c>
      <c r="D4" s="19" t="s">
        <v>93</v>
      </c>
      <c r="E4" s="19"/>
      <c r="F4" s="19"/>
      <c r="G4" s="19"/>
      <c r="H4" s="19"/>
      <c r="I4" s="19"/>
      <c r="J4" s="19" t="s">
        <v>654</v>
      </c>
      <c r="K4" s="19" t="s">
        <v>23</v>
      </c>
      <c r="L4" s="19"/>
      <c r="M4" s="36"/>
      <c r="N4" s="19"/>
      <c r="O4" s="19"/>
      <c r="P4" s="19"/>
      <c r="Q4" s="19"/>
      <c r="R4" s="19" t="s">
        <v>657</v>
      </c>
      <c r="T4" s="41"/>
      <c r="U4" s="41"/>
      <c r="V4" s="40" t="s">
        <v>2</v>
      </c>
      <c r="W4" s="40">
        <v>2</v>
      </c>
      <c r="X4" s="40" t="s">
        <v>46</v>
      </c>
      <c r="Y4" s="40">
        <v>2</v>
      </c>
      <c r="Z4" s="40" t="s">
        <v>35</v>
      </c>
      <c r="AB4" s="40" t="s">
        <v>26</v>
      </c>
      <c r="AC4" s="40">
        <v>1</v>
      </c>
    </row>
    <row r="5" spans="1:29" ht="16.5" customHeight="1">
      <c r="A5" s="28">
        <v>3</v>
      </c>
      <c r="B5" s="19"/>
      <c r="C5" s="19" t="s">
        <v>609</v>
      </c>
      <c r="D5" s="19" t="s">
        <v>609</v>
      </c>
      <c r="E5" s="19"/>
      <c r="F5" s="19"/>
      <c r="G5" s="19"/>
      <c r="H5" s="19"/>
      <c r="I5" s="19"/>
      <c r="J5" s="19" t="s">
        <v>609</v>
      </c>
      <c r="K5" s="19" t="s">
        <v>609</v>
      </c>
      <c r="L5" s="19"/>
      <c r="M5" s="36"/>
      <c r="N5" s="19"/>
      <c r="O5" s="19"/>
      <c r="P5" s="19"/>
      <c r="Q5" s="19"/>
      <c r="R5" s="19" t="s">
        <v>609</v>
      </c>
      <c r="T5" s="41"/>
      <c r="U5" s="41"/>
      <c r="V5" s="40" t="s">
        <v>14</v>
      </c>
      <c r="W5" s="40">
        <v>2</v>
      </c>
      <c r="X5" s="40" t="s">
        <v>6</v>
      </c>
      <c r="Y5" s="40">
        <v>2</v>
      </c>
      <c r="Z5" s="40" t="s">
        <v>8</v>
      </c>
      <c r="AB5" s="40" t="s">
        <v>6</v>
      </c>
      <c r="AC5" s="40">
        <v>1</v>
      </c>
    </row>
    <row r="6" spans="1:29" ht="16.5" customHeight="1">
      <c r="A6" s="28" t="s">
        <v>20</v>
      </c>
      <c r="B6" s="19" t="s">
        <v>643</v>
      </c>
      <c r="C6" s="19" t="s">
        <v>644</v>
      </c>
      <c r="D6" s="19" t="s">
        <v>644</v>
      </c>
      <c r="E6" s="19" t="s">
        <v>648</v>
      </c>
      <c r="F6" s="19" t="s">
        <v>644</v>
      </c>
      <c r="G6" s="19" t="s">
        <v>644</v>
      </c>
      <c r="H6" s="19" t="s">
        <v>644</v>
      </c>
      <c r="I6" s="19" t="s">
        <v>644</v>
      </c>
      <c r="J6" s="19" t="s">
        <v>644</v>
      </c>
      <c r="K6" s="19" t="s">
        <v>644</v>
      </c>
      <c r="L6" s="19" t="s">
        <v>25</v>
      </c>
      <c r="M6" s="36"/>
      <c r="N6" s="19" t="s">
        <v>25</v>
      </c>
      <c r="O6" s="19" t="s">
        <v>644</v>
      </c>
      <c r="P6" s="19" t="s">
        <v>644</v>
      </c>
      <c r="Q6" s="19" t="s">
        <v>644</v>
      </c>
      <c r="R6" s="19" t="s">
        <v>644</v>
      </c>
      <c r="T6" s="41"/>
      <c r="U6" s="41"/>
      <c r="V6" s="40" t="s">
        <v>7</v>
      </c>
      <c r="W6" s="40">
        <v>2</v>
      </c>
      <c r="X6" s="40" t="s">
        <v>23</v>
      </c>
      <c r="Y6" s="40">
        <v>2</v>
      </c>
      <c r="Z6" s="40" t="s">
        <v>38</v>
      </c>
      <c r="AB6" s="40" t="s">
        <v>152</v>
      </c>
      <c r="AC6" s="40">
        <v>2</v>
      </c>
    </row>
    <row r="7" spans="1:29" ht="16.5" customHeight="1">
      <c r="A7" s="28" t="s">
        <v>0</v>
      </c>
      <c r="B7" s="19" t="s">
        <v>645</v>
      </c>
      <c r="C7" s="19" t="s">
        <v>644</v>
      </c>
      <c r="D7" s="19"/>
      <c r="E7" s="19"/>
      <c r="F7" s="19"/>
      <c r="G7" s="19"/>
      <c r="H7" s="19" t="s">
        <v>645</v>
      </c>
      <c r="I7" s="19" t="s">
        <v>644</v>
      </c>
      <c r="J7" s="19" t="s">
        <v>644</v>
      </c>
      <c r="K7" s="19"/>
      <c r="L7" s="19"/>
      <c r="M7" s="36"/>
      <c r="N7" s="19"/>
      <c r="O7" s="19"/>
      <c r="P7" s="19" t="s">
        <v>645</v>
      </c>
      <c r="Q7" s="19" t="s">
        <v>644</v>
      </c>
      <c r="R7" s="19" t="s">
        <v>644</v>
      </c>
      <c r="T7" s="41"/>
      <c r="U7" s="41"/>
      <c r="V7" s="40" t="s">
        <v>21</v>
      </c>
      <c r="W7" s="40">
        <v>2</v>
      </c>
      <c r="X7" s="40" t="s">
        <v>153</v>
      </c>
      <c r="Y7" s="40">
        <v>1</v>
      </c>
      <c r="Z7" s="40" t="s">
        <v>36</v>
      </c>
      <c r="AB7" s="40" t="s">
        <v>23</v>
      </c>
      <c r="AC7" s="40">
        <v>1</v>
      </c>
    </row>
    <row r="8" spans="1:29" ht="16.5" customHeight="1">
      <c r="A8" s="28" t="s">
        <v>1</v>
      </c>
      <c r="B8" s="19"/>
      <c r="C8" s="19"/>
      <c r="D8" s="19" t="s">
        <v>647</v>
      </c>
      <c r="E8" s="19" t="s">
        <v>644</v>
      </c>
      <c r="F8" s="19" t="s">
        <v>644</v>
      </c>
      <c r="G8" s="19" t="s">
        <v>644</v>
      </c>
      <c r="H8" s="19" t="s">
        <v>644</v>
      </c>
      <c r="I8" s="19"/>
      <c r="J8" s="19"/>
      <c r="K8" s="19" t="s">
        <v>646</v>
      </c>
      <c r="L8" s="19" t="s">
        <v>644</v>
      </c>
      <c r="M8" s="36"/>
      <c r="N8" s="19" t="s">
        <v>646</v>
      </c>
      <c r="O8" s="19" t="s">
        <v>644</v>
      </c>
      <c r="P8" s="19" t="s">
        <v>644</v>
      </c>
      <c r="Q8" s="19"/>
      <c r="R8" s="19"/>
      <c r="T8" s="41"/>
      <c r="V8" s="40" t="s">
        <v>26</v>
      </c>
      <c r="W8" s="40">
        <v>1</v>
      </c>
      <c r="X8" s="40" t="s">
        <v>327</v>
      </c>
      <c r="Y8" s="40">
        <v>2</v>
      </c>
      <c r="Z8" s="40" t="s">
        <v>37</v>
      </c>
      <c r="AB8" s="40" t="s">
        <v>25</v>
      </c>
      <c r="AC8" s="40">
        <v>1</v>
      </c>
    </row>
    <row r="9" spans="1:29" ht="16.5" customHeight="1">
      <c r="A9" s="28" t="s">
        <v>366</v>
      </c>
      <c r="B9" s="19"/>
      <c r="C9" s="19"/>
      <c r="D9" s="19"/>
      <c r="E9" s="19"/>
      <c r="F9" s="19"/>
      <c r="G9" s="19"/>
      <c r="H9" s="19"/>
      <c r="I9" s="19"/>
      <c r="J9" s="19"/>
      <c r="K9" s="19"/>
      <c r="L9" s="19"/>
      <c r="M9" s="36"/>
      <c r="N9" s="19"/>
      <c r="O9" s="19"/>
      <c r="P9" s="19"/>
      <c r="Q9" s="19"/>
      <c r="R9" s="19"/>
      <c r="T9" s="41"/>
      <c r="V9" s="40" t="s">
        <v>27</v>
      </c>
      <c r="W9" s="40">
        <v>3</v>
      </c>
      <c r="X9" s="40" t="s">
        <v>28</v>
      </c>
      <c r="Y9" s="40">
        <v>1</v>
      </c>
      <c r="Z9" s="40" t="s">
        <v>249</v>
      </c>
      <c r="AB9" s="40" t="s">
        <v>327</v>
      </c>
      <c r="AC9" s="40">
        <v>1</v>
      </c>
    </row>
    <row r="10" spans="1:29" ht="16.5" customHeight="1">
      <c r="A10" s="23" t="s">
        <v>217</v>
      </c>
      <c r="B10" s="30">
        <v>44080</v>
      </c>
      <c r="C10" s="25">
        <v>44081</v>
      </c>
      <c r="D10" s="25">
        <v>44082</v>
      </c>
      <c r="E10" s="25">
        <v>44083</v>
      </c>
      <c r="F10" s="25">
        <v>44084</v>
      </c>
      <c r="G10" s="25">
        <v>44085</v>
      </c>
      <c r="H10" s="30">
        <v>44086</v>
      </c>
      <c r="I10" s="30">
        <v>44087</v>
      </c>
      <c r="J10" s="25">
        <v>44088</v>
      </c>
      <c r="K10" s="25">
        <v>44089</v>
      </c>
      <c r="L10" s="25">
        <v>44090</v>
      </c>
      <c r="M10" s="25">
        <v>44091</v>
      </c>
      <c r="N10" s="25">
        <v>44092</v>
      </c>
      <c r="O10" s="30">
        <v>44093</v>
      </c>
      <c r="P10" s="30">
        <v>44094</v>
      </c>
      <c r="Q10" s="19"/>
      <c r="R10" s="19"/>
      <c r="T10" s="41"/>
      <c r="V10" s="40" t="s">
        <v>533</v>
      </c>
      <c r="W10" s="40">
        <v>1</v>
      </c>
      <c r="X10" s="40" t="s">
        <v>152</v>
      </c>
      <c r="Y10" s="40">
        <v>2</v>
      </c>
      <c r="AB10" s="40" t="s">
        <v>516</v>
      </c>
      <c r="AC10" s="40">
        <v>1</v>
      </c>
    </row>
    <row r="11" spans="1:29" ht="16.5" customHeight="1">
      <c r="A11" s="36">
        <v>1</v>
      </c>
      <c r="B11" s="19" t="s">
        <v>653</v>
      </c>
      <c r="C11" s="19"/>
      <c r="D11" s="19"/>
      <c r="E11" s="19"/>
      <c r="F11" s="19"/>
      <c r="G11" s="19"/>
      <c r="H11" s="19" t="s">
        <v>662</v>
      </c>
      <c r="I11" s="19" t="s">
        <v>661</v>
      </c>
      <c r="J11" s="19"/>
      <c r="K11" s="19"/>
      <c r="L11" s="19"/>
      <c r="M11" s="19"/>
      <c r="N11" s="19"/>
      <c r="O11" s="19" t="s">
        <v>660</v>
      </c>
      <c r="P11" s="19" t="s">
        <v>659</v>
      </c>
      <c r="Q11" s="19"/>
      <c r="R11" s="19"/>
      <c r="T11" s="41"/>
      <c r="V11" s="40" t="s">
        <v>516</v>
      </c>
      <c r="W11" s="40">
        <v>1</v>
      </c>
      <c r="X11" s="40" t="s">
        <v>249</v>
      </c>
      <c r="Y11" s="40">
        <v>1</v>
      </c>
    </row>
    <row r="12" spans="1:29" ht="16.5" customHeight="1">
      <c r="A12" s="36">
        <v>2</v>
      </c>
      <c r="B12" s="19" t="s">
        <v>652</v>
      </c>
      <c r="C12" s="19"/>
      <c r="D12" s="19"/>
      <c r="E12" s="19"/>
      <c r="F12" s="19"/>
      <c r="G12" s="19"/>
      <c r="H12" s="19" t="s">
        <v>651</v>
      </c>
      <c r="I12" s="19" t="s">
        <v>643</v>
      </c>
      <c r="J12" s="19"/>
      <c r="K12" s="19"/>
      <c r="L12" s="19"/>
      <c r="M12" s="19"/>
      <c r="N12" s="19"/>
      <c r="O12" s="19" t="s">
        <v>153</v>
      </c>
      <c r="P12" s="19" t="s">
        <v>648</v>
      </c>
      <c r="Q12" s="19"/>
      <c r="R12" s="19"/>
      <c r="T12" s="41"/>
    </row>
    <row r="13" spans="1:29" ht="16.5" customHeight="1">
      <c r="A13" s="36">
        <v>3</v>
      </c>
      <c r="B13" s="19" t="s">
        <v>609</v>
      </c>
      <c r="C13" s="19"/>
      <c r="D13" s="19"/>
      <c r="E13" s="19"/>
      <c r="F13" s="19"/>
      <c r="G13" s="19"/>
      <c r="H13" s="19" t="s">
        <v>609</v>
      </c>
      <c r="I13" s="19" t="s">
        <v>609</v>
      </c>
      <c r="J13" s="19"/>
      <c r="K13" s="19"/>
      <c r="L13" s="19"/>
      <c r="M13" s="19"/>
      <c r="N13" s="19"/>
      <c r="O13" s="19" t="s">
        <v>609</v>
      </c>
      <c r="P13" s="19" t="s">
        <v>609</v>
      </c>
      <c r="Q13" s="19"/>
      <c r="R13" s="19"/>
      <c r="T13" s="41"/>
    </row>
    <row r="14" spans="1:29" ht="16.5" customHeight="1">
      <c r="A14" s="36" t="s">
        <v>20</v>
      </c>
      <c r="B14" s="19" t="s">
        <v>25</v>
      </c>
      <c r="C14" s="19" t="s">
        <v>23</v>
      </c>
      <c r="D14" s="19" t="s">
        <v>644</v>
      </c>
      <c r="E14" s="19" t="s">
        <v>644</v>
      </c>
      <c r="F14" s="19" t="s">
        <v>644</v>
      </c>
      <c r="G14" s="19" t="s">
        <v>644</v>
      </c>
      <c r="H14" s="19" t="s">
        <v>644</v>
      </c>
      <c r="I14" s="19" t="s">
        <v>644</v>
      </c>
      <c r="J14" s="19" t="s">
        <v>653</v>
      </c>
      <c r="K14" s="19" t="s">
        <v>644</v>
      </c>
      <c r="L14" s="19" t="s">
        <v>644</v>
      </c>
      <c r="M14" s="19" t="s">
        <v>644</v>
      </c>
      <c r="N14" s="19" t="s">
        <v>644</v>
      </c>
      <c r="O14" s="19" t="s">
        <v>644</v>
      </c>
      <c r="P14" s="19" t="s">
        <v>644</v>
      </c>
      <c r="Q14" s="19"/>
      <c r="R14" s="19"/>
      <c r="T14" s="41"/>
    </row>
    <row r="15" spans="1:29" ht="16.5" customHeight="1">
      <c r="A15" s="36" t="s">
        <v>0</v>
      </c>
      <c r="B15" s="19"/>
      <c r="C15" s="19"/>
      <c r="D15" s="19"/>
      <c r="E15" s="19"/>
      <c r="F15" s="19" t="s">
        <v>645</v>
      </c>
      <c r="G15" s="19" t="s">
        <v>644</v>
      </c>
      <c r="H15" s="19" t="s">
        <v>644</v>
      </c>
      <c r="I15" s="19"/>
      <c r="J15" s="19"/>
      <c r="K15" s="19"/>
      <c r="L15" s="19"/>
      <c r="M15" s="19" t="s">
        <v>645</v>
      </c>
      <c r="N15" s="19" t="s">
        <v>644</v>
      </c>
      <c r="O15" s="19" t="s">
        <v>644</v>
      </c>
      <c r="P15" s="19"/>
      <c r="Q15" s="19"/>
      <c r="R15" s="19"/>
      <c r="T15" s="41"/>
      <c r="V15" s="40" t="s">
        <v>602</v>
      </c>
      <c r="W15" s="40">
        <f>SUM(W2:W14)</f>
        <v>15</v>
      </c>
      <c r="Y15" s="40">
        <f>SUM(Y2:Y14)</f>
        <v>15</v>
      </c>
      <c r="AA15" s="40">
        <f>SUM(AA2:AA14)</f>
        <v>0</v>
      </c>
      <c r="AC15" s="40">
        <f>SUM(AC2:AC14)</f>
        <v>9</v>
      </c>
    </row>
    <row r="16" spans="1:29" ht="16.5" customHeight="1">
      <c r="A16" s="36" t="s">
        <v>1</v>
      </c>
      <c r="B16" s="19" t="s">
        <v>647</v>
      </c>
      <c r="C16" s="19" t="s">
        <v>644</v>
      </c>
      <c r="D16" s="19" t="s">
        <v>644</v>
      </c>
      <c r="E16" s="19" t="s">
        <v>644</v>
      </c>
      <c r="F16" s="19" t="s">
        <v>644</v>
      </c>
      <c r="G16" s="19"/>
      <c r="H16" s="19"/>
      <c r="I16" s="19" t="s">
        <v>646</v>
      </c>
      <c r="J16" s="19" t="s">
        <v>644</v>
      </c>
      <c r="K16" s="19" t="s">
        <v>644</v>
      </c>
      <c r="L16" s="19" t="s">
        <v>644</v>
      </c>
      <c r="M16" s="19" t="s">
        <v>644</v>
      </c>
      <c r="N16" s="19"/>
      <c r="O16" s="19"/>
      <c r="P16" s="19" t="s">
        <v>647</v>
      </c>
      <c r="Q16" s="19"/>
      <c r="R16" s="19"/>
      <c r="T16" s="41"/>
    </row>
    <row r="17" spans="1:29" ht="16.5" customHeight="1">
      <c r="A17" s="36" t="s">
        <v>366</v>
      </c>
      <c r="B17" s="19"/>
      <c r="C17" s="19"/>
      <c r="D17" s="19"/>
      <c r="E17" s="19"/>
      <c r="F17" s="19"/>
      <c r="G17" s="19"/>
      <c r="H17" s="19"/>
      <c r="I17" s="19"/>
      <c r="J17" s="19"/>
      <c r="K17" s="19"/>
      <c r="L17" s="19"/>
      <c r="M17" s="19"/>
      <c r="N17" s="19"/>
      <c r="O17" s="19"/>
      <c r="P17" s="19"/>
      <c r="Q17" s="19"/>
      <c r="R17" s="19"/>
      <c r="T17" s="41"/>
    </row>
    <row r="18" spans="1:29" ht="16.5" customHeight="1">
      <c r="A18" s="42"/>
      <c r="B18" s="37"/>
      <c r="C18" s="37"/>
      <c r="D18" s="37"/>
      <c r="E18" s="37"/>
      <c r="F18" s="37"/>
      <c r="G18" s="37"/>
      <c r="H18" s="38"/>
      <c r="I18" s="38"/>
      <c r="J18" s="38"/>
      <c r="K18" s="38"/>
      <c r="L18" s="38"/>
      <c r="M18" s="38"/>
      <c r="N18" s="38"/>
      <c r="O18" s="38"/>
      <c r="P18" s="37"/>
      <c r="Q18" s="37"/>
      <c r="R18" s="39"/>
      <c r="T18" s="41"/>
      <c r="X18" s="40" t="s">
        <v>80</v>
      </c>
    </row>
    <row r="19" spans="1:29" ht="16.5" customHeight="1">
      <c r="A19" s="23" t="s">
        <v>217</v>
      </c>
      <c r="B19" s="25">
        <v>44095</v>
      </c>
      <c r="C19" s="25">
        <v>44096</v>
      </c>
      <c r="D19" s="25">
        <v>44097</v>
      </c>
      <c r="E19" s="25">
        <v>44098</v>
      </c>
      <c r="F19" s="25">
        <v>44099</v>
      </c>
      <c r="G19" s="30">
        <v>44100</v>
      </c>
      <c r="H19" s="30">
        <v>44101</v>
      </c>
      <c r="I19" s="25">
        <v>44102</v>
      </c>
      <c r="J19" s="25">
        <v>44103</v>
      </c>
      <c r="K19" s="25">
        <v>44104</v>
      </c>
      <c r="L19" s="25"/>
      <c r="M19" s="26" t="s">
        <v>218</v>
      </c>
      <c r="N19" s="27">
        <v>44105</v>
      </c>
      <c r="O19" s="27">
        <v>44106</v>
      </c>
      <c r="P19" s="31">
        <v>44107</v>
      </c>
      <c r="Q19" s="31">
        <v>44108</v>
      </c>
      <c r="R19" s="27">
        <v>44109</v>
      </c>
      <c r="T19" s="41"/>
      <c r="V19" s="40" t="s">
        <v>63</v>
      </c>
      <c r="X19" s="40" t="s">
        <v>64</v>
      </c>
      <c r="Z19" s="40" t="s">
        <v>65</v>
      </c>
      <c r="AB19" s="40" t="s">
        <v>169</v>
      </c>
    </row>
    <row r="20" spans="1:29" ht="16.5" customHeight="1">
      <c r="A20" s="36">
        <v>1</v>
      </c>
      <c r="B20" s="19"/>
      <c r="C20" s="19"/>
      <c r="D20" s="19"/>
      <c r="E20" s="19"/>
      <c r="F20" s="19"/>
      <c r="G20" s="19" t="s">
        <v>663</v>
      </c>
      <c r="H20" s="19" t="s">
        <v>650</v>
      </c>
      <c r="I20" s="19"/>
      <c r="J20" s="19"/>
      <c r="K20" s="19"/>
      <c r="L20" s="19"/>
      <c r="M20" s="28"/>
      <c r="N20" s="19"/>
      <c r="O20" s="19"/>
      <c r="P20" s="19" t="s">
        <v>658</v>
      </c>
      <c r="Q20" s="19" t="s">
        <v>653</v>
      </c>
      <c r="R20" s="19"/>
      <c r="T20" s="41"/>
      <c r="V20" s="40" t="s">
        <v>25</v>
      </c>
      <c r="W20" s="40">
        <v>2</v>
      </c>
      <c r="X20" s="40" t="s">
        <v>45</v>
      </c>
      <c r="Y20" s="40">
        <v>2</v>
      </c>
      <c r="Z20" s="40" t="s">
        <v>34</v>
      </c>
      <c r="AB20" s="40" t="s">
        <v>153</v>
      </c>
      <c r="AC20" s="40">
        <v>2</v>
      </c>
    </row>
    <row r="21" spans="1:29" ht="16.5" customHeight="1">
      <c r="A21" s="36">
        <v>2</v>
      </c>
      <c r="B21" s="19"/>
      <c r="C21" s="19"/>
      <c r="D21" s="19"/>
      <c r="E21" s="19"/>
      <c r="F21" s="19"/>
      <c r="G21" s="19" t="s">
        <v>656</v>
      </c>
      <c r="H21" s="19" t="s">
        <v>249</v>
      </c>
      <c r="I21" s="19"/>
      <c r="J21" s="19"/>
      <c r="K21" s="19"/>
      <c r="L21" s="19"/>
      <c r="M21" s="28"/>
      <c r="N21" s="19"/>
      <c r="O21" s="19"/>
      <c r="P21" s="19" t="s">
        <v>643</v>
      </c>
      <c r="Q21" s="19" t="s">
        <v>657</v>
      </c>
      <c r="R21" s="19"/>
      <c r="T21" s="41"/>
      <c r="V21" s="40" t="s">
        <v>2</v>
      </c>
      <c r="W21" s="40">
        <v>3</v>
      </c>
      <c r="X21" s="40" t="s">
        <v>46</v>
      </c>
      <c r="Y21" s="40">
        <v>2</v>
      </c>
      <c r="Z21" s="40" t="s">
        <v>35</v>
      </c>
      <c r="AB21" s="40" t="s">
        <v>26</v>
      </c>
      <c r="AC21" s="40">
        <v>1</v>
      </c>
    </row>
    <row r="22" spans="1:29" ht="16.5" customHeight="1">
      <c r="A22" s="36">
        <v>3</v>
      </c>
      <c r="B22" s="19"/>
      <c r="C22" s="19"/>
      <c r="D22" s="19"/>
      <c r="E22" s="19"/>
      <c r="F22" s="19"/>
      <c r="G22" s="19" t="s">
        <v>609</v>
      </c>
      <c r="H22" s="19" t="s">
        <v>609</v>
      </c>
      <c r="I22" s="19"/>
      <c r="J22" s="19"/>
      <c r="K22" s="19"/>
      <c r="L22" s="19"/>
      <c r="M22" s="28"/>
      <c r="N22" s="19"/>
      <c r="O22" s="19"/>
      <c r="P22" s="19" t="s">
        <v>609</v>
      </c>
      <c r="Q22" s="19" t="s">
        <v>609</v>
      </c>
      <c r="R22" s="19"/>
      <c r="T22" s="41"/>
      <c r="V22" s="40" t="s">
        <v>14</v>
      </c>
      <c r="W22" s="40">
        <v>2</v>
      </c>
      <c r="X22" s="40" t="s">
        <v>6</v>
      </c>
      <c r="Y22" s="40">
        <v>2</v>
      </c>
      <c r="Z22" s="40" t="s">
        <v>8</v>
      </c>
      <c r="AB22" s="40" t="s">
        <v>6</v>
      </c>
      <c r="AC22" s="40">
        <v>1</v>
      </c>
    </row>
    <row r="23" spans="1:29" ht="16.5" customHeight="1">
      <c r="A23" s="36" t="s">
        <v>20</v>
      </c>
      <c r="B23" s="19" t="s">
        <v>651</v>
      </c>
      <c r="C23" s="19" t="s">
        <v>644</v>
      </c>
      <c r="D23" s="19" t="s">
        <v>644</v>
      </c>
      <c r="E23" s="19" t="s">
        <v>644</v>
      </c>
      <c r="F23" s="19" t="s">
        <v>644</v>
      </c>
      <c r="G23" s="19" t="s">
        <v>644</v>
      </c>
      <c r="H23" s="19" t="s">
        <v>644</v>
      </c>
      <c r="I23" s="19" t="s">
        <v>652</v>
      </c>
      <c r="J23" s="19" t="s">
        <v>644</v>
      </c>
      <c r="K23" s="19" t="s">
        <v>644</v>
      </c>
      <c r="L23" s="19"/>
      <c r="M23" s="28"/>
      <c r="N23" s="19" t="s">
        <v>652</v>
      </c>
      <c r="O23" s="19" t="s">
        <v>644</v>
      </c>
      <c r="P23" s="19" t="s">
        <v>644</v>
      </c>
      <c r="Q23" s="19" t="s">
        <v>644</v>
      </c>
      <c r="R23" s="19" t="s">
        <v>654</v>
      </c>
      <c r="T23" s="41"/>
      <c r="V23" s="40" t="s">
        <v>7</v>
      </c>
      <c r="W23" s="40">
        <v>2</v>
      </c>
      <c r="X23" s="40" t="s">
        <v>23</v>
      </c>
      <c r="Y23" s="40">
        <v>2</v>
      </c>
      <c r="Z23" s="40" t="s">
        <v>38</v>
      </c>
      <c r="AB23" s="40" t="s">
        <v>152</v>
      </c>
      <c r="AC23" s="40">
        <v>2</v>
      </c>
    </row>
    <row r="24" spans="1:29" ht="16.5" customHeight="1">
      <c r="A24" s="36" t="s">
        <v>0</v>
      </c>
      <c r="B24" s="19"/>
      <c r="C24" s="19"/>
      <c r="D24" s="19"/>
      <c r="E24" s="19" t="s">
        <v>645</v>
      </c>
      <c r="F24" s="19" t="s">
        <v>644</v>
      </c>
      <c r="G24" s="19" t="s">
        <v>644</v>
      </c>
      <c r="H24" s="19"/>
      <c r="I24" s="19"/>
      <c r="J24" s="19"/>
      <c r="K24" s="19"/>
      <c r="L24" s="19"/>
      <c r="M24" s="28"/>
      <c r="N24" s="19" t="s">
        <v>645</v>
      </c>
      <c r="O24" s="19" t="s">
        <v>644</v>
      </c>
      <c r="P24" s="19" t="s">
        <v>644</v>
      </c>
      <c r="Q24" s="19"/>
      <c r="R24" s="19"/>
      <c r="T24" s="41"/>
      <c r="V24" s="40" t="s">
        <v>21</v>
      </c>
      <c r="W24" s="40">
        <v>2</v>
      </c>
      <c r="X24" s="40" t="s">
        <v>153</v>
      </c>
      <c r="Y24" s="40">
        <v>2</v>
      </c>
      <c r="Z24" s="40" t="s">
        <v>36</v>
      </c>
      <c r="AB24" s="40" t="s">
        <v>23</v>
      </c>
      <c r="AC24" s="40">
        <v>1</v>
      </c>
    </row>
    <row r="25" spans="1:29" ht="16.5" customHeight="1">
      <c r="A25" s="36" t="s">
        <v>1</v>
      </c>
      <c r="B25" s="19" t="s">
        <v>647</v>
      </c>
      <c r="C25" s="19" t="s">
        <v>644</v>
      </c>
      <c r="D25" s="19" t="s">
        <v>644</v>
      </c>
      <c r="E25" s="19" t="s">
        <v>644</v>
      </c>
      <c r="F25" s="19"/>
      <c r="G25" s="19"/>
      <c r="H25" s="19" t="s">
        <v>646</v>
      </c>
      <c r="I25" s="19" t="s">
        <v>644</v>
      </c>
      <c r="J25" s="19" t="s">
        <v>644</v>
      </c>
      <c r="K25" s="19" t="s">
        <v>644</v>
      </c>
      <c r="L25" s="19"/>
      <c r="M25" s="28"/>
      <c r="N25" s="19" t="s">
        <v>646</v>
      </c>
      <c r="O25" s="19"/>
      <c r="P25" s="19"/>
      <c r="Q25" s="19" t="s">
        <v>647</v>
      </c>
      <c r="R25" s="19" t="s">
        <v>644</v>
      </c>
      <c r="T25" s="41"/>
      <c r="V25" s="40" t="s">
        <v>26</v>
      </c>
      <c r="W25" s="40">
        <v>2</v>
      </c>
      <c r="X25" s="40" t="s">
        <v>327</v>
      </c>
      <c r="Y25" s="40">
        <v>2</v>
      </c>
      <c r="Z25" s="40" t="s">
        <v>37</v>
      </c>
      <c r="AB25" s="40" t="s">
        <v>25</v>
      </c>
      <c r="AC25" s="40">
        <v>1</v>
      </c>
    </row>
    <row r="26" spans="1:29" ht="16.5" customHeight="1">
      <c r="A26" s="36" t="s">
        <v>366</v>
      </c>
      <c r="B26" s="19"/>
      <c r="C26" s="19"/>
      <c r="D26" s="19"/>
      <c r="E26" s="19"/>
      <c r="F26" s="19"/>
      <c r="G26" s="19"/>
      <c r="H26" s="19"/>
      <c r="I26" s="19"/>
      <c r="J26" s="19"/>
      <c r="K26" s="19"/>
      <c r="L26" s="19"/>
      <c r="M26" s="28"/>
      <c r="N26" s="19"/>
      <c r="O26" s="19"/>
      <c r="P26" s="19"/>
      <c r="Q26" s="19"/>
      <c r="R26" s="19"/>
      <c r="T26" s="41"/>
      <c r="V26" s="40" t="s">
        <v>27</v>
      </c>
      <c r="W26" s="40">
        <v>2</v>
      </c>
      <c r="X26" s="40" t="s">
        <v>28</v>
      </c>
      <c r="Y26" s="40">
        <v>2</v>
      </c>
      <c r="Z26" s="40" t="s">
        <v>249</v>
      </c>
      <c r="AB26" s="40" t="s">
        <v>327</v>
      </c>
      <c r="AC26" s="40">
        <v>1</v>
      </c>
    </row>
    <row r="27" spans="1:29" ht="16.5" customHeight="1">
      <c r="A27" s="26" t="s">
        <v>218</v>
      </c>
      <c r="B27" s="27">
        <v>44110</v>
      </c>
      <c r="C27" s="27">
        <v>44111</v>
      </c>
      <c r="D27" s="27">
        <v>44112</v>
      </c>
      <c r="E27" s="27">
        <v>44113</v>
      </c>
      <c r="F27" s="31">
        <v>44114</v>
      </c>
      <c r="G27" s="31">
        <v>44115</v>
      </c>
      <c r="H27" s="27">
        <v>44116</v>
      </c>
      <c r="I27" s="27">
        <v>44117</v>
      </c>
      <c r="J27" s="27">
        <v>44118</v>
      </c>
      <c r="K27" s="27">
        <v>44119</v>
      </c>
      <c r="L27" s="27">
        <v>44120</v>
      </c>
      <c r="M27" s="31">
        <v>44121</v>
      </c>
      <c r="N27" s="31">
        <v>44122</v>
      </c>
      <c r="O27" s="27">
        <v>44123</v>
      </c>
      <c r="P27" s="27">
        <v>44124</v>
      </c>
      <c r="Q27" s="27"/>
      <c r="R27" s="19"/>
      <c r="T27" s="41"/>
      <c r="V27" s="40" t="s">
        <v>533</v>
      </c>
      <c r="W27" s="40">
        <v>3</v>
      </c>
      <c r="X27" s="40" t="s">
        <v>152</v>
      </c>
      <c r="Y27" s="40">
        <v>2</v>
      </c>
      <c r="AB27" s="40" t="s">
        <v>516</v>
      </c>
      <c r="AC27" s="40">
        <v>1</v>
      </c>
    </row>
    <row r="28" spans="1:29" ht="16.5" customHeight="1">
      <c r="A28" s="28">
        <v>1</v>
      </c>
      <c r="B28" s="19"/>
      <c r="C28" s="19"/>
      <c r="D28" s="19"/>
      <c r="E28" s="19"/>
      <c r="F28" s="19" t="s">
        <v>661</v>
      </c>
      <c r="G28" s="19" t="s">
        <v>662</v>
      </c>
      <c r="H28" s="19"/>
      <c r="I28" s="19"/>
      <c r="J28" s="19"/>
      <c r="K28" s="19"/>
      <c r="L28" s="19"/>
      <c r="M28" s="19" t="s">
        <v>659</v>
      </c>
      <c r="N28" s="19" t="s">
        <v>660</v>
      </c>
      <c r="O28" s="19"/>
      <c r="P28" s="19"/>
      <c r="Q28" s="19"/>
      <c r="R28" s="19"/>
      <c r="T28" s="41"/>
      <c r="V28" s="40" t="s">
        <v>516</v>
      </c>
      <c r="W28" s="40">
        <v>0</v>
      </c>
      <c r="X28" s="40" t="s">
        <v>249</v>
      </c>
      <c r="Y28" s="40">
        <v>1</v>
      </c>
    </row>
    <row r="29" spans="1:29" ht="16.5" customHeight="1">
      <c r="A29" s="28">
        <v>2</v>
      </c>
      <c r="B29" s="19"/>
      <c r="C29" s="19"/>
      <c r="D29" s="19"/>
      <c r="E29" s="19"/>
      <c r="F29" s="19" t="s">
        <v>648</v>
      </c>
      <c r="G29" s="19" t="s">
        <v>649</v>
      </c>
      <c r="H29" s="19"/>
      <c r="I29" s="19"/>
      <c r="J29" s="19"/>
      <c r="K29" s="19"/>
      <c r="L29" s="19"/>
      <c r="M29" s="19" t="s">
        <v>651</v>
      </c>
      <c r="N29" s="19" t="s">
        <v>655</v>
      </c>
      <c r="O29" s="19"/>
      <c r="P29" s="19"/>
      <c r="Q29" s="19"/>
      <c r="R29" s="19"/>
      <c r="T29" s="41"/>
      <c r="X29" s="40" t="s">
        <v>652</v>
      </c>
      <c r="Y29" s="40">
        <v>1</v>
      </c>
    </row>
    <row r="30" spans="1:29" ht="16.5" customHeight="1">
      <c r="A30" s="28">
        <v>3</v>
      </c>
      <c r="B30" s="19"/>
      <c r="C30" s="19"/>
      <c r="D30" s="19"/>
      <c r="E30" s="19"/>
      <c r="F30" s="19" t="s">
        <v>609</v>
      </c>
      <c r="G30" s="19" t="s">
        <v>609</v>
      </c>
      <c r="H30" s="19"/>
      <c r="I30" s="19"/>
      <c r="J30" s="19"/>
      <c r="K30" s="19"/>
      <c r="L30" s="19"/>
      <c r="M30" s="19" t="s">
        <v>609</v>
      </c>
      <c r="N30" s="19" t="s">
        <v>609</v>
      </c>
      <c r="O30" s="19"/>
      <c r="P30" s="19"/>
      <c r="Q30" s="19"/>
      <c r="R30" s="19"/>
      <c r="T30" s="41"/>
    </row>
    <row r="31" spans="1:29" ht="16.5" customHeight="1">
      <c r="A31" s="28" t="s">
        <v>20</v>
      </c>
      <c r="B31" s="19" t="s">
        <v>654</v>
      </c>
      <c r="C31" s="19" t="s">
        <v>644</v>
      </c>
      <c r="D31" s="19" t="s">
        <v>644</v>
      </c>
      <c r="E31" s="19" t="s">
        <v>644</v>
      </c>
      <c r="F31" s="19" t="s">
        <v>644</v>
      </c>
      <c r="G31" s="19" t="s">
        <v>644</v>
      </c>
      <c r="H31" s="19" t="s">
        <v>643</v>
      </c>
      <c r="I31" s="19" t="s">
        <v>644</v>
      </c>
      <c r="J31" s="19" t="s">
        <v>644</v>
      </c>
      <c r="K31" s="19" t="s">
        <v>644</v>
      </c>
      <c r="L31" s="19" t="s">
        <v>644</v>
      </c>
      <c r="M31" s="19" t="s">
        <v>644</v>
      </c>
      <c r="N31" s="19" t="s">
        <v>644</v>
      </c>
      <c r="O31" s="19" t="s">
        <v>648</v>
      </c>
      <c r="P31" s="19" t="s">
        <v>644</v>
      </c>
      <c r="Q31" s="19"/>
      <c r="R31" s="19"/>
      <c r="T31" s="41"/>
    </row>
    <row r="32" spans="1:29" ht="16.5" customHeight="1">
      <c r="A32" s="28" t="s">
        <v>0</v>
      </c>
      <c r="B32" s="19"/>
      <c r="C32" s="19"/>
      <c r="D32" s="19" t="s">
        <v>645</v>
      </c>
      <c r="E32" s="19" t="s">
        <v>644</v>
      </c>
      <c r="F32" s="19" t="s">
        <v>644</v>
      </c>
      <c r="G32" s="19"/>
      <c r="H32" s="19"/>
      <c r="I32" s="19"/>
      <c r="J32" s="19"/>
      <c r="K32" s="19" t="s">
        <v>645</v>
      </c>
      <c r="L32" s="19" t="s">
        <v>644</v>
      </c>
      <c r="M32" s="19" t="s">
        <v>644</v>
      </c>
      <c r="N32" s="19"/>
      <c r="O32" s="19"/>
      <c r="P32" s="19"/>
      <c r="Q32" s="19"/>
      <c r="R32" s="19"/>
      <c r="T32" s="41"/>
      <c r="V32" s="40" t="s">
        <v>567</v>
      </c>
      <c r="W32" s="40">
        <f>SUM(W19:W31)</f>
        <v>18</v>
      </c>
      <c r="Y32" s="40">
        <f>SUM(Y19:Y31)</f>
        <v>18</v>
      </c>
      <c r="AA32" s="40">
        <f>SUM(AA19:AA31)</f>
        <v>0</v>
      </c>
      <c r="AC32" s="40">
        <f>SUM(AC19:AC31)</f>
        <v>10</v>
      </c>
    </row>
    <row r="33" spans="1:20" ht="16.5" customHeight="1">
      <c r="A33" s="28" t="s">
        <v>1</v>
      </c>
      <c r="B33" s="19" t="s">
        <v>647</v>
      </c>
      <c r="C33" s="19" t="s">
        <v>644</v>
      </c>
      <c r="D33" s="19" t="s">
        <v>644</v>
      </c>
      <c r="E33" s="19"/>
      <c r="F33" s="19"/>
      <c r="G33" s="19" t="s">
        <v>646</v>
      </c>
      <c r="H33" s="19" t="s">
        <v>644</v>
      </c>
      <c r="I33" s="19" t="s">
        <v>644</v>
      </c>
      <c r="J33" s="19" t="s">
        <v>644</v>
      </c>
      <c r="K33" s="19" t="s">
        <v>644</v>
      </c>
      <c r="L33" s="19"/>
      <c r="M33" s="19"/>
      <c r="N33" s="19" t="s">
        <v>647</v>
      </c>
      <c r="O33" s="19" t="s">
        <v>644</v>
      </c>
      <c r="P33" s="19" t="s">
        <v>644</v>
      </c>
      <c r="Q33" s="19"/>
      <c r="R33" s="19"/>
    </row>
    <row r="34" spans="1:20" ht="16.5" customHeight="1">
      <c r="A34" s="28" t="s">
        <v>366</v>
      </c>
      <c r="B34" s="19"/>
      <c r="C34" s="19"/>
      <c r="D34" s="19"/>
      <c r="E34" s="19"/>
      <c r="F34" s="19"/>
      <c r="G34" s="19"/>
      <c r="H34" s="19"/>
      <c r="I34" s="19"/>
      <c r="J34" s="19"/>
      <c r="K34" s="19"/>
      <c r="L34" s="19"/>
      <c r="M34" s="19"/>
      <c r="N34" s="19"/>
      <c r="O34" s="19"/>
      <c r="P34" s="19"/>
      <c r="Q34" s="19"/>
      <c r="R34" s="19"/>
    </row>
    <row r="35" spans="1:20" ht="12.75" customHeight="1">
      <c r="Q35" s="145" t="s">
        <v>82</v>
      </c>
      <c r="R35" s="145"/>
      <c r="T35" s="41"/>
    </row>
    <row r="36" spans="1:20">
      <c r="A36" s="40" t="s">
        <v>322</v>
      </c>
      <c r="H36" s="43"/>
      <c r="T36" s="41"/>
    </row>
    <row r="37" spans="1:20">
      <c r="A37" s="43" t="s">
        <v>516</v>
      </c>
      <c r="B37" s="43">
        <v>44072</v>
      </c>
      <c r="C37" s="43">
        <v>44073</v>
      </c>
      <c r="D37" s="43">
        <v>44100</v>
      </c>
      <c r="E37" s="43">
        <v>44101</v>
      </c>
      <c r="F37" s="43"/>
      <c r="G37" s="43"/>
      <c r="H37" s="43"/>
      <c r="I37" s="43"/>
      <c r="J37" s="43"/>
      <c r="K37" s="43"/>
      <c r="L37" s="43"/>
      <c r="M37" s="43"/>
      <c r="N37" s="43"/>
      <c r="O37" s="43"/>
      <c r="P37" s="43"/>
      <c r="Q37" s="43"/>
      <c r="R37" s="43"/>
      <c r="T37" s="41"/>
    </row>
    <row r="38" spans="1:20">
      <c r="A38" s="43" t="s">
        <v>327</v>
      </c>
      <c r="B38" s="43">
        <v>44065</v>
      </c>
      <c r="C38" s="43">
        <v>44066</v>
      </c>
      <c r="D38" s="43"/>
      <c r="E38" s="43"/>
      <c r="F38" s="43"/>
      <c r="G38" s="43"/>
      <c r="H38" s="43"/>
      <c r="I38" s="43"/>
      <c r="J38" s="43"/>
      <c r="K38" s="43"/>
      <c r="L38" s="43"/>
      <c r="M38" s="43"/>
      <c r="N38" s="43"/>
      <c r="O38" s="43"/>
      <c r="P38" s="43"/>
      <c r="Q38" s="43"/>
      <c r="R38" s="43"/>
      <c r="T38" s="41"/>
    </row>
    <row r="39" spans="1:20">
      <c r="A39" s="43" t="s">
        <v>7</v>
      </c>
      <c r="B39" s="43">
        <v>44086</v>
      </c>
      <c r="C39" s="43">
        <v>44093</v>
      </c>
      <c r="D39" s="43">
        <v>44094</v>
      </c>
      <c r="E39" s="43">
        <v>44100</v>
      </c>
      <c r="F39" s="43">
        <v>44101</v>
      </c>
      <c r="G39" s="43"/>
      <c r="H39" s="43"/>
      <c r="I39" s="43"/>
      <c r="J39" s="43"/>
      <c r="K39" s="43"/>
      <c r="L39" s="43"/>
      <c r="M39" s="43"/>
      <c r="N39" s="43"/>
      <c r="O39" s="43"/>
      <c r="P39" s="43"/>
      <c r="Q39" s="43"/>
      <c r="R39" s="43"/>
      <c r="T39" s="41"/>
    </row>
    <row r="40" spans="1:20">
      <c r="A40" s="43" t="s">
        <v>2</v>
      </c>
      <c r="B40" s="43">
        <v>44100</v>
      </c>
      <c r="C40" s="43"/>
      <c r="D40" s="43"/>
      <c r="E40" s="43"/>
      <c r="F40" s="43"/>
      <c r="G40" s="43"/>
      <c r="H40" s="43"/>
      <c r="I40" s="43"/>
      <c r="J40" s="43"/>
      <c r="K40" s="43"/>
      <c r="L40" s="43"/>
      <c r="M40" s="43"/>
      <c r="N40" s="43"/>
      <c r="O40" s="43"/>
      <c r="P40" s="43"/>
      <c r="Q40" s="43"/>
      <c r="R40" s="43"/>
    </row>
    <row r="41" spans="1:20">
      <c r="A41" s="43" t="s">
        <v>641</v>
      </c>
      <c r="B41" s="43">
        <v>44065</v>
      </c>
      <c r="C41" s="43">
        <v>44079</v>
      </c>
      <c r="D41" s="43">
        <v>44100</v>
      </c>
      <c r="E41" s="43">
        <v>44107</v>
      </c>
      <c r="F41" s="43">
        <v>44114</v>
      </c>
      <c r="G41" s="43"/>
      <c r="H41" s="43"/>
      <c r="I41" s="43"/>
      <c r="J41" s="43"/>
      <c r="K41" s="43"/>
      <c r="L41" s="43"/>
      <c r="M41" s="43"/>
      <c r="N41" s="43"/>
      <c r="O41" s="43"/>
      <c r="P41" s="43"/>
      <c r="Q41" s="43"/>
      <c r="R41" s="43"/>
      <c r="T41" s="41"/>
    </row>
    <row r="42" spans="1:20">
      <c r="A42" s="43" t="s">
        <v>642</v>
      </c>
      <c r="B42" s="43">
        <v>44080</v>
      </c>
      <c r="C42" s="43">
        <v>44093</v>
      </c>
      <c r="D42" s="43">
        <v>44094</v>
      </c>
      <c r="E42" s="43">
        <v>44100</v>
      </c>
      <c r="F42" s="43">
        <v>44101</v>
      </c>
      <c r="G42" s="43">
        <v>44107</v>
      </c>
      <c r="H42" s="43">
        <v>44108</v>
      </c>
      <c r="I42" s="43"/>
      <c r="J42" s="43"/>
      <c r="K42" s="43"/>
      <c r="L42" s="43"/>
      <c r="M42" s="43"/>
      <c r="N42" s="43"/>
      <c r="O42" s="43"/>
      <c r="P42" s="43"/>
      <c r="Q42" s="43"/>
      <c r="R42" s="43"/>
      <c r="T42" s="41"/>
    </row>
    <row r="43" spans="1:20">
      <c r="A43" s="43" t="s">
        <v>658</v>
      </c>
      <c r="B43" s="43">
        <v>44079</v>
      </c>
      <c r="C43" s="43">
        <v>44080</v>
      </c>
      <c r="D43" s="43">
        <v>44086</v>
      </c>
      <c r="E43" s="43">
        <v>44087</v>
      </c>
      <c r="F43" s="43">
        <v>44093</v>
      </c>
      <c r="G43" s="43">
        <v>44094</v>
      </c>
      <c r="H43" s="43">
        <v>44100</v>
      </c>
      <c r="I43" s="43">
        <v>44101</v>
      </c>
      <c r="J43" s="43"/>
      <c r="K43" s="43"/>
      <c r="L43" s="43"/>
      <c r="M43" s="43"/>
      <c r="N43" s="43"/>
      <c r="O43" s="43"/>
      <c r="P43" s="43"/>
      <c r="Q43" s="43"/>
      <c r="R43" s="43"/>
      <c r="T43" s="41"/>
    </row>
    <row r="44" spans="1:20">
      <c r="A44" s="43" t="s">
        <v>664</v>
      </c>
      <c r="B44" s="43">
        <v>44065</v>
      </c>
      <c r="C44" s="43">
        <v>44066</v>
      </c>
      <c r="D44" s="43">
        <v>44100</v>
      </c>
      <c r="E44" s="43">
        <v>44101</v>
      </c>
      <c r="F44" s="43"/>
      <c r="G44" s="43"/>
      <c r="H44" s="43"/>
      <c r="I44" s="43"/>
      <c r="J44" s="43"/>
      <c r="K44" s="43"/>
      <c r="L44" s="43"/>
      <c r="M44" s="43"/>
      <c r="N44" s="43"/>
      <c r="O44" s="43"/>
      <c r="P44" s="43"/>
      <c r="Q44" s="43"/>
      <c r="R44" s="43"/>
      <c r="T44" s="41"/>
    </row>
    <row r="45" spans="1:20">
      <c r="A45" s="43" t="s">
        <v>665</v>
      </c>
      <c r="B45" s="43"/>
      <c r="C45" s="43"/>
      <c r="D45" s="43"/>
      <c r="E45" s="43"/>
      <c r="F45" s="43"/>
      <c r="G45" s="43"/>
      <c r="H45" s="43"/>
      <c r="I45" s="43"/>
      <c r="J45" s="43"/>
      <c r="K45" s="43"/>
      <c r="L45" s="43"/>
      <c r="M45" s="43"/>
      <c r="N45" s="43"/>
      <c r="O45" s="43"/>
      <c r="P45" s="43"/>
      <c r="Q45" s="43"/>
      <c r="R45" s="43"/>
    </row>
    <row r="46" spans="1:20">
      <c r="A46" s="43" t="s">
        <v>666</v>
      </c>
      <c r="B46" s="43" t="s">
        <v>667</v>
      </c>
      <c r="C46" s="43"/>
      <c r="D46" s="43"/>
      <c r="E46" s="43"/>
      <c r="F46" s="43"/>
      <c r="G46" s="43"/>
      <c r="H46" s="43"/>
      <c r="I46" s="43"/>
      <c r="J46" s="43"/>
      <c r="K46" s="43"/>
      <c r="L46" s="43"/>
      <c r="M46" s="43"/>
      <c r="N46" s="43"/>
      <c r="O46" s="43"/>
      <c r="P46" s="43"/>
      <c r="Q46" s="43"/>
      <c r="R46" s="43"/>
      <c r="T46" s="41"/>
    </row>
    <row r="47" spans="1:20">
      <c r="A47" s="43"/>
      <c r="B47" s="43"/>
      <c r="C47" s="43"/>
      <c r="D47" s="43"/>
      <c r="E47" s="43"/>
      <c r="F47" s="43"/>
      <c r="G47" s="43"/>
      <c r="H47" s="43"/>
      <c r="I47" s="43"/>
      <c r="J47" s="43"/>
      <c r="K47" s="43"/>
      <c r="L47" s="43"/>
      <c r="M47" s="43"/>
      <c r="N47" s="43"/>
      <c r="O47" s="43"/>
      <c r="P47" s="43"/>
      <c r="Q47" s="43"/>
      <c r="R47" s="43"/>
      <c r="T47" s="41"/>
    </row>
    <row r="48" spans="1:20">
      <c r="A48" s="43"/>
      <c r="B48" s="43"/>
      <c r="C48" s="43"/>
      <c r="D48" s="43"/>
      <c r="E48" s="43"/>
      <c r="F48" s="43"/>
      <c r="G48" s="43"/>
      <c r="H48" s="43"/>
      <c r="I48" s="43"/>
      <c r="J48" s="43"/>
      <c r="K48" s="43"/>
      <c r="L48" s="43"/>
      <c r="M48" s="43"/>
      <c r="N48" s="43"/>
      <c r="O48" s="43"/>
      <c r="P48" s="43"/>
      <c r="Q48" s="43"/>
      <c r="R48" s="43"/>
      <c r="T48" s="41"/>
    </row>
    <row r="49" spans="1:18">
      <c r="A49" s="43"/>
      <c r="B49" s="43"/>
      <c r="C49" s="43"/>
      <c r="D49" s="43"/>
      <c r="E49" s="43"/>
      <c r="F49" s="43"/>
      <c r="G49" s="43"/>
      <c r="H49" s="43"/>
      <c r="I49" s="43"/>
      <c r="J49" s="43"/>
      <c r="K49" s="43"/>
      <c r="L49" s="43"/>
      <c r="M49" s="43"/>
      <c r="N49" s="43"/>
      <c r="O49" s="43"/>
      <c r="P49" s="43"/>
      <c r="Q49" s="43"/>
      <c r="R49" s="43"/>
    </row>
    <row r="50" spans="1:18">
      <c r="A50" s="43"/>
      <c r="B50" s="43"/>
      <c r="C50" s="43"/>
      <c r="D50" s="43"/>
      <c r="E50" s="43"/>
      <c r="F50" s="43"/>
      <c r="G50" s="43"/>
      <c r="H50" s="43"/>
      <c r="I50" s="43"/>
      <c r="J50" s="43"/>
      <c r="K50" s="43"/>
      <c r="L50" s="43"/>
      <c r="M50" s="43"/>
      <c r="N50" s="43"/>
      <c r="O50" s="43"/>
      <c r="P50" s="43"/>
      <c r="Q50" s="43"/>
      <c r="R50" s="43"/>
    </row>
    <row r="51" spans="1:18">
      <c r="A51" s="43"/>
      <c r="B51" s="43"/>
      <c r="C51" s="43"/>
      <c r="D51" s="43"/>
      <c r="E51" s="43"/>
      <c r="F51" s="43"/>
      <c r="G51" s="43"/>
      <c r="H51" s="43"/>
      <c r="I51" s="43"/>
      <c r="J51" s="43"/>
      <c r="K51" s="43"/>
      <c r="L51" s="43"/>
      <c r="M51" s="43"/>
      <c r="N51" s="43"/>
      <c r="O51" s="43"/>
      <c r="P51" s="43"/>
      <c r="Q51" s="43"/>
      <c r="R51" s="43"/>
    </row>
  </sheetData>
  <mergeCells count="2">
    <mergeCell ref="A1:R1"/>
    <mergeCell ref="Q35:R35"/>
  </mergeCells>
  <phoneticPr fontId="2"/>
  <pageMargins left="0.70866141732283472" right="0.70866141732283472" top="0" bottom="0" header="0.31496062992125984" footer="0.31496062992125984"/>
  <pageSetup paperSize="9" orientation="landscape" horizontalDpi="4294967293" r:id="rId1"/>
  <drawing r:id="rId2"/>
  <legacyDrawing r:id="rId3"/>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51"/>
  <sheetViews>
    <sheetView topLeftCell="A7" zoomScaleNormal="100" workbookViewId="0">
      <selection activeCell="D30" sqref="D30"/>
    </sheetView>
  </sheetViews>
  <sheetFormatPr defaultColWidth="9" defaultRowHeight="18.75"/>
  <cols>
    <col min="1" max="18" width="6.625" style="40" customWidth="1"/>
    <col min="19" max="19" width="3.625" style="40" customWidth="1"/>
    <col min="20" max="20" width="6.625" style="40" customWidth="1"/>
    <col min="21" max="21" width="3.625" style="40" customWidth="1"/>
    <col min="22" max="37" width="6.625" style="40" customWidth="1"/>
    <col min="38" max="38" width="3.625" style="40" customWidth="1"/>
    <col min="39" max="16384" width="9" style="40"/>
  </cols>
  <sheetData>
    <row r="1" spans="1:29">
      <c r="A1" s="147" t="s">
        <v>603</v>
      </c>
      <c r="B1" s="147"/>
      <c r="C1" s="147"/>
      <c r="D1" s="147"/>
      <c r="E1" s="147"/>
      <c r="F1" s="147"/>
      <c r="G1" s="147"/>
      <c r="H1" s="147"/>
      <c r="I1" s="147"/>
      <c r="J1" s="147"/>
      <c r="K1" s="147"/>
      <c r="L1" s="147"/>
      <c r="M1" s="147"/>
      <c r="N1" s="147"/>
      <c r="O1" s="147"/>
      <c r="P1" s="147"/>
      <c r="Q1" s="147"/>
      <c r="R1" s="147"/>
      <c r="X1" s="40" t="s">
        <v>571</v>
      </c>
    </row>
    <row r="2" spans="1:29" ht="16.5" customHeight="1">
      <c r="A2" s="26" t="s">
        <v>355</v>
      </c>
      <c r="B2" s="31">
        <v>44003</v>
      </c>
      <c r="C2" s="27">
        <v>44004</v>
      </c>
      <c r="D2" s="27">
        <v>44005</v>
      </c>
      <c r="E2" s="27">
        <v>44006</v>
      </c>
      <c r="F2" s="27">
        <v>44007</v>
      </c>
      <c r="G2" s="27">
        <v>44008</v>
      </c>
      <c r="H2" s="31">
        <v>44009</v>
      </c>
      <c r="I2" s="31">
        <v>44010</v>
      </c>
      <c r="J2" s="27">
        <v>44011</v>
      </c>
      <c r="K2" s="27">
        <v>44012</v>
      </c>
      <c r="L2" s="27"/>
      <c r="M2" s="23" t="s">
        <v>368</v>
      </c>
      <c r="N2" s="25">
        <v>44013</v>
      </c>
      <c r="O2" s="25">
        <v>44014</v>
      </c>
      <c r="P2" s="25">
        <v>44015</v>
      </c>
      <c r="Q2" s="30">
        <v>44016</v>
      </c>
      <c r="R2" s="30">
        <v>44017</v>
      </c>
      <c r="V2" s="40" t="s">
        <v>63</v>
      </c>
      <c r="X2" s="40" t="s">
        <v>64</v>
      </c>
      <c r="Z2" s="40" t="s">
        <v>65</v>
      </c>
      <c r="AB2" s="40" t="s">
        <v>169</v>
      </c>
    </row>
    <row r="3" spans="1:29" ht="16.5" customHeight="1">
      <c r="A3" s="28">
        <v>1</v>
      </c>
      <c r="B3" s="19" t="s">
        <v>617</v>
      </c>
      <c r="C3" s="19"/>
      <c r="D3" s="19"/>
      <c r="E3" s="19"/>
      <c r="F3" s="19"/>
      <c r="G3" s="19"/>
      <c r="H3" s="19" t="s">
        <v>618</v>
      </c>
      <c r="I3" s="19" t="s">
        <v>619</v>
      </c>
      <c r="J3" s="19"/>
      <c r="K3" s="19"/>
      <c r="L3" s="19"/>
      <c r="M3" s="36"/>
      <c r="N3" s="19"/>
      <c r="O3" s="19"/>
      <c r="P3" s="19"/>
      <c r="Q3" s="19" t="s">
        <v>623</v>
      </c>
      <c r="R3" s="19" t="s">
        <v>622</v>
      </c>
      <c r="V3" s="40" t="s">
        <v>25</v>
      </c>
      <c r="W3" s="40">
        <v>2</v>
      </c>
      <c r="X3" s="40" t="s">
        <v>45</v>
      </c>
      <c r="Y3" s="40">
        <v>1</v>
      </c>
      <c r="Z3" s="40" t="s">
        <v>34</v>
      </c>
      <c r="AB3" s="40" t="s">
        <v>153</v>
      </c>
      <c r="AC3" s="40">
        <v>2</v>
      </c>
    </row>
    <row r="4" spans="1:29" ht="16.5" customHeight="1">
      <c r="A4" s="28">
        <v>2</v>
      </c>
      <c r="B4" s="19" t="s">
        <v>611</v>
      </c>
      <c r="C4" s="19"/>
      <c r="D4" s="19"/>
      <c r="E4" s="19"/>
      <c r="F4" s="19"/>
      <c r="G4" s="19"/>
      <c r="H4" s="19" t="s">
        <v>620</v>
      </c>
      <c r="I4" s="19" t="s">
        <v>621</v>
      </c>
      <c r="J4" s="19"/>
      <c r="K4" s="19"/>
      <c r="L4" s="19"/>
      <c r="M4" s="36"/>
      <c r="N4" s="19"/>
      <c r="O4" s="19"/>
      <c r="P4" s="19"/>
      <c r="Q4" s="19" t="s">
        <v>632</v>
      </c>
      <c r="R4" s="19" t="s">
        <v>631</v>
      </c>
      <c r="T4" s="41"/>
      <c r="U4" s="41"/>
      <c r="V4" s="40" t="s">
        <v>2</v>
      </c>
      <c r="W4" s="40">
        <v>2</v>
      </c>
      <c r="X4" s="40" t="s">
        <v>46</v>
      </c>
      <c r="Y4" s="40">
        <v>2</v>
      </c>
      <c r="Z4" s="40" t="s">
        <v>35</v>
      </c>
      <c r="AB4" s="40" t="s">
        <v>26</v>
      </c>
      <c r="AC4" s="40">
        <v>1</v>
      </c>
    </row>
    <row r="5" spans="1:29" ht="16.5" customHeight="1">
      <c r="A5" s="28">
        <v>3</v>
      </c>
      <c r="B5" s="19" t="s">
        <v>609</v>
      </c>
      <c r="C5" s="19"/>
      <c r="D5" s="19"/>
      <c r="E5" s="19"/>
      <c r="F5" s="19"/>
      <c r="G5" s="19"/>
      <c r="H5" s="19" t="s">
        <v>609</v>
      </c>
      <c r="I5" s="19" t="s">
        <v>609</v>
      </c>
      <c r="J5" s="19"/>
      <c r="K5" s="19"/>
      <c r="L5" s="19"/>
      <c r="M5" s="36"/>
      <c r="N5" s="19"/>
      <c r="O5" s="19"/>
      <c r="P5" s="19"/>
      <c r="Q5" s="19" t="s">
        <v>609</v>
      </c>
      <c r="R5" s="19" t="s">
        <v>609</v>
      </c>
      <c r="T5" s="41"/>
      <c r="U5" s="41"/>
      <c r="V5" s="40" t="s">
        <v>14</v>
      </c>
      <c r="W5" s="40">
        <v>2</v>
      </c>
      <c r="X5" s="40" t="s">
        <v>6</v>
      </c>
      <c r="Y5" s="40">
        <v>1</v>
      </c>
      <c r="Z5" s="40" t="s">
        <v>8</v>
      </c>
      <c r="AB5" s="40" t="s">
        <v>6</v>
      </c>
      <c r="AC5" s="40">
        <v>1</v>
      </c>
    </row>
    <row r="6" spans="1:29" ht="16.5" customHeight="1">
      <c r="A6" s="28" t="s">
        <v>20</v>
      </c>
      <c r="B6" s="19" t="s">
        <v>153</v>
      </c>
      <c r="C6" s="19" t="s">
        <v>610</v>
      </c>
      <c r="D6" s="19" t="s">
        <v>605</v>
      </c>
      <c r="E6" s="19" t="s">
        <v>605</v>
      </c>
      <c r="F6" s="19" t="s">
        <v>605</v>
      </c>
      <c r="G6" s="19" t="s">
        <v>605</v>
      </c>
      <c r="H6" s="19" t="s">
        <v>605</v>
      </c>
      <c r="I6" s="19" t="s">
        <v>605</v>
      </c>
      <c r="J6" s="19" t="s">
        <v>611</v>
      </c>
      <c r="K6" s="19" t="s">
        <v>605</v>
      </c>
      <c r="L6" s="19"/>
      <c r="M6" s="36"/>
      <c r="N6" s="19" t="s">
        <v>611</v>
      </c>
      <c r="O6" s="19" t="s">
        <v>605</v>
      </c>
      <c r="P6" s="19" t="s">
        <v>605</v>
      </c>
      <c r="Q6" s="19" t="s">
        <v>605</v>
      </c>
      <c r="R6" s="19" t="s">
        <v>605</v>
      </c>
      <c r="T6" s="41"/>
      <c r="U6" s="41"/>
      <c r="V6" s="40" t="s">
        <v>7</v>
      </c>
      <c r="W6" s="40">
        <v>2</v>
      </c>
      <c r="X6" s="40" t="s">
        <v>23</v>
      </c>
      <c r="Y6" s="40">
        <v>1</v>
      </c>
      <c r="Z6" s="40" t="s">
        <v>38</v>
      </c>
      <c r="AB6" s="40" t="s">
        <v>152</v>
      </c>
      <c r="AC6" s="40">
        <v>1</v>
      </c>
    </row>
    <row r="7" spans="1:29" ht="16.5" customHeight="1">
      <c r="A7" s="28" t="s">
        <v>0</v>
      </c>
      <c r="B7" s="19"/>
      <c r="C7" s="19"/>
      <c r="D7" s="19"/>
      <c r="E7" s="19"/>
      <c r="F7" s="19" t="s">
        <v>607</v>
      </c>
      <c r="G7" s="19" t="s">
        <v>605</v>
      </c>
      <c r="H7" s="19" t="s">
        <v>605</v>
      </c>
      <c r="I7" s="19"/>
      <c r="J7" s="19"/>
      <c r="K7" s="19"/>
      <c r="L7" s="19"/>
      <c r="M7" s="36"/>
      <c r="N7" s="19"/>
      <c r="O7" s="19" t="s">
        <v>607</v>
      </c>
      <c r="P7" s="19" t="s">
        <v>605</v>
      </c>
      <c r="Q7" s="19" t="s">
        <v>605</v>
      </c>
      <c r="R7" s="19"/>
      <c r="T7" s="41"/>
      <c r="U7" s="41"/>
      <c r="V7" s="40" t="s">
        <v>21</v>
      </c>
      <c r="W7" s="40">
        <v>2</v>
      </c>
      <c r="X7" s="40" t="s">
        <v>153</v>
      </c>
      <c r="Y7" s="40">
        <v>1</v>
      </c>
      <c r="Z7" s="40" t="s">
        <v>36</v>
      </c>
      <c r="AB7" s="40" t="s">
        <v>23</v>
      </c>
      <c r="AC7" s="40">
        <v>1</v>
      </c>
    </row>
    <row r="8" spans="1:29" ht="16.5" customHeight="1">
      <c r="A8" s="28" t="s">
        <v>1</v>
      </c>
      <c r="B8" s="19" t="s">
        <v>604</v>
      </c>
      <c r="C8" s="19" t="s">
        <v>605</v>
      </c>
      <c r="D8" s="19" t="s">
        <v>605</v>
      </c>
      <c r="E8" s="19" t="s">
        <v>605</v>
      </c>
      <c r="F8" s="19" t="s">
        <v>605</v>
      </c>
      <c r="G8" s="19"/>
      <c r="H8" s="19"/>
      <c r="I8" s="19" t="s">
        <v>606</v>
      </c>
      <c r="J8" s="19" t="s">
        <v>605</v>
      </c>
      <c r="K8" s="19" t="s">
        <v>605</v>
      </c>
      <c r="L8" s="19"/>
      <c r="M8" s="36"/>
      <c r="N8" s="19" t="s">
        <v>606</v>
      </c>
      <c r="O8" s="19" t="s">
        <v>605</v>
      </c>
      <c r="P8" s="19"/>
      <c r="Q8" s="19"/>
      <c r="R8" s="19" t="s">
        <v>604</v>
      </c>
      <c r="T8" s="41"/>
      <c r="V8" s="40" t="s">
        <v>26</v>
      </c>
      <c r="W8" s="40">
        <v>2</v>
      </c>
      <c r="X8" s="40" t="s">
        <v>327</v>
      </c>
      <c r="Y8" s="40">
        <v>2</v>
      </c>
      <c r="Z8" s="40" t="s">
        <v>37</v>
      </c>
      <c r="AB8" s="40" t="s">
        <v>25</v>
      </c>
      <c r="AC8" s="40">
        <v>1</v>
      </c>
    </row>
    <row r="9" spans="1:29" ht="16.5" customHeight="1">
      <c r="A9" s="28" t="s">
        <v>366</v>
      </c>
      <c r="B9" s="19"/>
      <c r="C9" s="19"/>
      <c r="D9" s="19"/>
      <c r="E9" s="19"/>
      <c r="F9" s="19"/>
      <c r="G9" s="19"/>
      <c r="H9" s="19"/>
      <c r="I9" s="19"/>
      <c r="J9" s="19"/>
      <c r="K9" s="19"/>
      <c r="L9" s="19"/>
      <c r="M9" s="36"/>
      <c r="N9" s="19"/>
      <c r="O9" s="19"/>
      <c r="P9" s="19"/>
      <c r="Q9" s="19"/>
      <c r="R9" s="19"/>
      <c r="T9" s="41"/>
      <c r="V9" s="40" t="s">
        <v>27</v>
      </c>
      <c r="W9" s="40">
        <v>1</v>
      </c>
      <c r="X9" s="40" t="s">
        <v>28</v>
      </c>
      <c r="Y9" s="40">
        <v>2</v>
      </c>
      <c r="Z9" s="40" t="s">
        <v>249</v>
      </c>
      <c r="AB9" s="40" t="s">
        <v>327</v>
      </c>
      <c r="AC9" s="40">
        <v>1</v>
      </c>
    </row>
    <row r="10" spans="1:29" ht="16.5" customHeight="1">
      <c r="A10" s="23" t="s">
        <v>368</v>
      </c>
      <c r="B10" s="25">
        <v>44018</v>
      </c>
      <c r="C10" s="25">
        <v>44019</v>
      </c>
      <c r="D10" s="25">
        <v>44020</v>
      </c>
      <c r="E10" s="25">
        <v>44021</v>
      </c>
      <c r="F10" s="25">
        <v>44022</v>
      </c>
      <c r="G10" s="30">
        <v>44023</v>
      </c>
      <c r="H10" s="30">
        <v>44024</v>
      </c>
      <c r="I10" s="25">
        <v>44025</v>
      </c>
      <c r="J10" s="25">
        <v>44026</v>
      </c>
      <c r="K10" s="25">
        <v>44027</v>
      </c>
      <c r="L10" s="25">
        <v>44028</v>
      </c>
      <c r="M10" s="25">
        <v>44029</v>
      </c>
      <c r="N10" s="30">
        <v>44030</v>
      </c>
      <c r="O10" s="30">
        <v>44031</v>
      </c>
      <c r="P10" s="25">
        <v>44032</v>
      </c>
      <c r="Q10" s="19"/>
      <c r="R10" s="19"/>
      <c r="T10" s="41"/>
      <c r="V10" s="40" t="s">
        <v>533</v>
      </c>
      <c r="W10" s="40">
        <v>2</v>
      </c>
      <c r="X10" s="40" t="s">
        <v>152</v>
      </c>
      <c r="Y10" s="40">
        <v>2</v>
      </c>
      <c r="AB10" s="40" t="s">
        <v>249</v>
      </c>
    </row>
    <row r="11" spans="1:29" ht="16.5" customHeight="1">
      <c r="A11" s="36">
        <v>1</v>
      </c>
      <c r="B11" s="19"/>
      <c r="C11" s="19"/>
      <c r="D11" s="19"/>
      <c r="E11" s="19"/>
      <c r="F11" s="19"/>
      <c r="G11" s="19" t="s">
        <v>624</v>
      </c>
      <c r="H11" s="19" t="s">
        <v>625</v>
      </c>
      <c r="I11" s="19"/>
      <c r="J11" s="19"/>
      <c r="K11" s="19"/>
      <c r="L11" s="19"/>
      <c r="M11" s="19"/>
      <c r="N11" s="19" t="s">
        <v>626</v>
      </c>
      <c r="O11" s="19" t="s">
        <v>627</v>
      </c>
      <c r="P11" s="19"/>
      <c r="Q11" s="19"/>
      <c r="R11" s="19"/>
      <c r="T11" s="41"/>
      <c r="X11" s="40" t="s">
        <v>249</v>
      </c>
      <c r="Y11" s="40">
        <v>1</v>
      </c>
      <c r="AB11" s="40" t="s">
        <v>516</v>
      </c>
      <c r="AC11" s="40">
        <v>1</v>
      </c>
    </row>
    <row r="12" spans="1:29" ht="16.5" customHeight="1">
      <c r="A12" s="36">
        <v>2</v>
      </c>
      <c r="B12" s="19"/>
      <c r="C12" s="19"/>
      <c r="D12" s="19"/>
      <c r="E12" s="19"/>
      <c r="F12" s="19"/>
      <c r="G12" s="19" t="s">
        <v>633</v>
      </c>
      <c r="H12" s="19" t="s">
        <v>635</v>
      </c>
      <c r="I12" s="19"/>
      <c r="J12" s="19"/>
      <c r="K12" s="19"/>
      <c r="L12" s="19"/>
      <c r="M12" s="19"/>
      <c r="N12" s="19" t="s">
        <v>28</v>
      </c>
      <c r="O12" s="19" t="s">
        <v>634</v>
      </c>
      <c r="P12" s="19"/>
      <c r="Q12" s="19"/>
      <c r="R12" s="19"/>
      <c r="T12" s="41"/>
      <c r="X12" s="40" t="s">
        <v>516</v>
      </c>
      <c r="Y12" s="40">
        <v>2</v>
      </c>
    </row>
    <row r="13" spans="1:29" ht="16.5" customHeight="1">
      <c r="A13" s="36">
        <v>3</v>
      </c>
      <c r="B13" s="19"/>
      <c r="C13" s="19"/>
      <c r="D13" s="19"/>
      <c r="E13" s="19"/>
      <c r="F13" s="19"/>
      <c r="G13" s="19" t="s">
        <v>609</v>
      </c>
      <c r="H13" s="19" t="s">
        <v>609</v>
      </c>
      <c r="I13" s="19"/>
      <c r="J13" s="19"/>
      <c r="K13" s="19"/>
      <c r="L13" s="19"/>
      <c r="M13" s="19"/>
      <c r="N13" s="19" t="s">
        <v>609</v>
      </c>
      <c r="O13" s="19" t="s">
        <v>609</v>
      </c>
      <c r="P13" s="19"/>
      <c r="Q13" s="19"/>
      <c r="R13" s="19"/>
      <c r="T13" s="41"/>
    </row>
    <row r="14" spans="1:29" ht="16.5" customHeight="1">
      <c r="A14" s="36" t="s">
        <v>20</v>
      </c>
      <c r="B14" s="19" t="s">
        <v>612</v>
      </c>
      <c r="C14" s="19" t="s">
        <v>605</v>
      </c>
      <c r="D14" s="19" t="s">
        <v>605</v>
      </c>
      <c r="E14" s="19" t="s">
        <v>605</v>
      </c>
      <c r="F14" s="19" t="s">
        <v>605</v>
      </c>
      <c r="G14" s="19" t="s">
        <v>605</v>
      </c>
      <c r="H14" s="19" t="s">
        <v>605</v>
      </c>
      <c r="I14" s="19" t="s">
        <v>613</v>
      </c>
      <c r="J14" s="19" t="s">
        <v>605</v>
      </c>
      <c r="K14" s="19" t="s">
        <v>605</v>
      </c>
      <c r="L14" s="19" t="s">
        <v>605</v>
      </c>
      <c r="M14" s="19" t="s">
        <v>605</v>
      </c>
      <c r="N14" s="19" t="s">
        <v>605</v>
      </c>
      <c r="O14" s="19" t="s">
        <v>605</v>
      </c>
      <c r="P14" s="19" t="s">
        <v>614</v>
      </c>
      <c r="Q14" s="19"/>
      <c r="R14" s="19"/>
      <c r="T14" s="41"/>
    </row>
    <row r="15" spans="1:29" ht="16.5" customHeight="1">
      <c r="A15" s="36" t="s">
        <v>0</v>
      </c>
      <c r="B15" s="19"/>
      <c r="C15" s="19"/>
      <c r="D15" s="19"/>
      <c r="E15" s="19" t="s">
        <v>607</v>
      </c>
      <c r="F15" s="19" t="s">
        <v>605</v>
      </c>
      <c r="G15" s="19" t="s">
        <v>605</v>
      </c>
      <c r="H15" s="19"/>
      <c r="I15" s="19"/>
      <c r="J15" s="19"/>
      <c r="K15" s="19"/>
      <c r="L15" s="19" t="s">
        <v>607</v>
      </c>
      <c r="M15" s="19" t="s">
        <v>605</v>
      </c>
      <c r="N15" s="19" t="s">
        <v>605</v>
      </c>
      <c r="O15" s="19"/>
      <c r="P15" s="19"/>
      <c r="Q15" s="19"/>
      <c r="R15" s="19"/>
      <c r="T15" s="41"/>
      <c r="V15" s="40" t="s">
        <v>602</v>
      </c>
      <c r="W15" s="40">
        <f>SUM(W2:W14)</f>
        <v>15</v>
      </c>
      <c r="Y15" s="40">
        <f>SUM(Y2:Y14)</f>
        <v>15</v>
      </c>
      <c r="AA15" s="40">
        <f>SUM(AA2:AA14)</f>
        <v>0</v>
      </c>
      <c r="AC15" s="40">
        <f>SUM(AC2:AC14)</f>
        <v>9</v>
      </c>
    </row>
    <row r="16" spans="1:29" ht="16.5" customHeight="1">
      <c r="A16" s="36" t="s">
        <v>1</v>
      </c>
      <c r="B16" s="19" t="s">
        <v>604</v>
      </c>
      <c r="C16" s="19" t="s">
        <v>605</v>
      </c>
      <c r="D16" s="19" t="s">
        <v>605</v>
      </c>
      <c r="E16" s="19" t="s">
        <v>605</v>
      </c>
      <c r="F16" s="19"/>
      <c r="G16" s="19"/>
      <c r="H16" s="19" t="s">
        <v>606</v>
      </c>
      <c r="I16" s="19" t="s">
        <v>605</v>
      </c>
      <c r="J16" s="19" t="s">
        <v>605</v>
      </c>
      <c r="K16" s="19" t="s">
        <v>605</v>
      </c>
      <c r="L16" s="19" t="s">
        <v>605</v>
      </c>
      <c r="M16" s="19"/>
      <c r="N16" s="19"/>
      <c r="O16" s="19" t="s">
        <v>604</v>
      </c>
      <c r="P16" s="19" t="s">
        <v>605</v>
      </c>
      <c r="Q16" s="19"/>
      <c r="R16" s="19"/>
      <c r="T16" s="41"/>
    </row>
    <row r="17" spans="1:29" ht="16.5" customHeight="1">
      <c r="A17" s="36" t="s">
        <v>366</v>
      </c>
      <c r="B17" s="19"/>
      <c r="C17" s="19"/>
      <c r="D17" s="19"/>
      <c r="E17" s="19"/>
      <c r="F17" s="19"/>
      <c r="G17" s="19"/>
      <c r="H17" s="19"/>
      <c r="I17" s="19"/>
      <c r="J17" s="19"/>
      <c r="K17" s="19"/>
      <c r="L17" s="19"/>
      <c r="M17" s="19"/>
      <c r="N17" s="19"/>
      <c r="O17" s="19"/>
      <c r="P17" s="19"/>
      <c r="Q17" s="19"/>
      <c r="R17" s="19"/>
      <c r="T17" s="41"/>
    </row>
    <row r="18" spans="1:29" ht="16.5" customHeight="1">
      <c r="A18" s="42"/>
      <c r="B18" s="37"/>
      <c r="C18" s="37"/>
      <c r="D18" s="37"/>
      <c r="E18" s="37"/>
      <c r="F18" s="37"/>
      <c r="G18" s="37"/>
      <c r="H18" s="38"/>
      <c r="I18" s="38"/>
      <c r="J18" s="38"/>
      <c r="K18" s="38"/>
      <c r="L18" s="38"/>
      <c r="M18" s="38"/>
      <c r="N18" s="38"/>
      <c r="O18" s="38"/>
      <c r="P18" s="37"/>
      <c r="Q18" s="37"/>
      <c r="R18" s="39"/>
      <c r="T18" s="41"/>
      <c r="X18" s="40" t="s">
        <v>167</v>
      </c>
    </row>
    <row r="19" spans="1:29" ht="16.5" customHeight="1">
      <c r="A19" s="23" t="s">
        <v>368</v>
      </c>
      <c r="B19" s="25">
        <v>44033</v>
      </c>
      <c r="C19" s="25">
        <v>44034</v>
      </c>
      <c r="D19" s="25">
        <v>44035</v>
      </c>
      <c r="E19" s="25">
        <v>44036</v>
      </c>
      <c r="F19" s="30">
        <v>44037</v>
      </c>
      <c r="G19" s="30">
        <v>44038</v>
      </c>
      <c r="H19" s="25">
        <v>44039</v>
      </c>
      <c r="I19" s="25">
        <v>44040</v>
      </c>
      <c r="J19" s="25">
        <v>44041</v>
      </c>
      <c r="K19" s="25">
        <v>44042</v>
      </c>
      <c r="L19" s="25">
        <v>44043</v>
      </c>
      <c r="M19" s="26" t="s">
        <v>216</v>
      </c>
      <c r="N19" s="31">
        <v>44044</v>
      </c>
      <c r="O19" s="31">
        <v>44045</v>
      </c>
      <c r="P19" s="27">
        <v>44046</v>
      </c>
      <c r="Q19" s="27">
        <v>44047</v>
      </c>
      <c r="R19" s="27">
        <v>44048</v>
      </c>
      <c r="T19" s="41"/>
      <c r="V19" s="40" t="s">
        <v>63</v>
      </c>
      <c r="X19" s="40" t="s">
        <v>64</v>
      </c>
      <c r="Z19" s="40" t="s">
        <v>65</v>
      </c>
      <c r="AB19" s="40" t="s">
        <v>169</v>
      </c>
    </row>
    <row r="20" spans="1:29" ht="16.5" customHeight="1">
      <c r="A20" s="36">
        <v>1</v>
      </c>
      <c r="B20" s="19"/>
      <c r="C20" s="19"/>
      <c r="D20" s="19"/>
      <c r="E20" s="19"/>
      <c r="F20" s="19" t="s">
        <v>628</v>
      </c>
      <c r="G20" s="19" t="s">
        <v>629</v>
      </c>
      <c r="H20" s="19"/>
      <c r="I20" s="19"/>
      <c r="J20" s="19"/>
      <c r="K20" s="19"/>
      <c r="L20" s="19"/>
      <c r="M20" s="28"/>
      <c r="N20" s="19" t="s">
        <v>623</v>
      </c>
      <c r="O20" s="19" t="s">
        <v>630</v>
      </c>
      <c r="P20" s="19"/>
      <c r="Q20" s="19"/>
      <c r="R20" s="19"/>
      <c r="T20" s="41"/>
      <c r="V20" s="40" t="s">
        <v>25</v>
      </c>
      <c r="W20" s="40">
        <v>1</v>
      </c>
      <c r="X20" s="40" t="s">
        <v>45</v>
      </c>
      <c r="Y20" s="40">
        <v>2</v>
      </c>
      <c r="Z20" s="40" t="s">
        <v>34</v>
      </c>
      <c r="AB20" s="40" t="s">
        <v>153</v>
      </c>
      <c r="AC20" s="40">
        <v>1</v>
      </c>
    </row>
    <row r="21" spans="1:29" ht="16.5" customHeight="1">
      <c r="A21" s="36">
        <v>2</v>
      </c>
      <c r="B21" s="19"/>
      <c r="C21" s="19"/>
      <c r="D21" s="19"/>
      <c r="E21" s="19"/>
      <c r="F21" s="19" t="s">
        <v>6</v>
      </c>
      <c r="G21" s="19" t="s">
        <v>620</v>
      </c>
      <c r="H21" s="19"/>
      <c r="I21" s="19"/>
      <c r="J21" s="19"/>
      <c r="K21" s="19"/>
      <c r="L21" s="19"/>
      <c r="M21" s="28"/>
      <c r="N21" s="19" t="s">
        <v>636</v>
      </c>
      <c r="O21" s="19" t="s">
        <v>46</v>
      </c>
      <c r="P21" s="19"/>
      <c r="Q21" s="19"/>
      <c r="R21" s="19"/>
      <c r="T21" s="41"/>
      <c r="V21" s="40" t="s">
        <v>2</v>
      </c>
      <c r="W21" s="40">
        <v>2</v>
      </c>
      <c r="X21" s="40" t="s">
        <v>46</v>
      </c>
      <c r="Y21" s="40">
        <v>2</v>
      </c>
      <c r="Z21" s="40" t="s">
        <v>35</v>
      </c>
      <c r="AB21" s="40" t="s">
        <v>26</v>
      </c>
      <c r="AC21" s="40">
        <v>1</v>
      </c>
    </row>
    <row r="22" spans="1:29" ht="16.5" customHeight="1">
      <c r="A22" s="36">
        <v>3</v>
      </c>
      <c r="B22" s="19"/>
      <c r="C22" s="19"/>
      <c r="D22" s="19"/>
      <c r="E22" s="19"/>
      <c r="F22" s="19" t="s">
        <v>609</v>
      </c>
      <c r="G22" s="19" t="s">
        <v>609</v>
      </c>
      <c r="H22" s="19"/>
      <c r="I22" s="19"/>
      <c r="J22" s="19"/>
      <c r="K22" s="19"/>
      <c r="L22" s="19"/>
      <c r="M22" s="28"/>
      <c r="N22" s="19" t="s">
        <v>609</v>
      </c>
      <c r="O22" s="19" t="s">
        <v>609</v>
      </c>
      <c r="P22" s="19"/>
      <c r="Q22" s="19"/>
      <c r="R22" s="19"/>
      <c r="T22" s="41"/>
      <c r="V22" s="40" t="s">
        <v>14</v>
      </c>
      <c r="W22" s="40">
        <v>2</v>
      </c>
      <c r="X22" s="40" t="s">
        <v>6</v>
      </c>
      <c r="Y22" s="40">
        <v>2</v>
      </c>
      <c r="Z22" s="40" t="s">
        <v>8</v>
      </c>
      <c r="AB22" s="40" t="s">
        <v>6</v>
      </c>
      <c r="AC22" s="40">
        <v>1</v>
      </c>
    </row>
    <row r="23" spans="1:29" ht="16.5" customHeight="1">
      <c r="A23" s="36" t="s">
        <v>20</v>
      </c>
      <c r="B23" s="19" t="s">
        <v>614</v>
      </c>
      <c r="C23" s="19" t="s">
        <v>605</v>
      </c>
      <c r="D23" s="19" t="s">
        <v>605</v>
      </c>
      <c r="E23" s="19" t="s">
        <v>605</v>
      </c>
      <c r="F23" s="19" t="s">
        <v>605</v>
      </c>
      <c r="G23" s="19" t="s">
        <v>605</v>
      </c>
      <c r="H23" s="19" t="s">
        <v>615</v>
      </c>
      <c r="I23" s="19" t="s">
        <v>605</v>
      </c>
      <c r="J23" s="19" t="s">
        <v>605</v>
      </c>
      <c r="K23" s="19" t="s">
        <v>605</v>
      </c>
      <c r="L23" s="19" t="s">
        <v>605</v>
      </c>
      <c r="M23" s="28"/>
      <c r="N23" s="19" t="s">
        <v>615</v>
      </c>
      <c r="O23" s="19" t="s">
        <v>605</v>
      </c>
      <c r="P23" s="19" t="s">
        <v>608</v>
      </c>
      <c r="Q23" s="19" t="s">
        <v>605</v>
      </c>
      <c r="R23" s="19" t="s">
        <v>605</v>
      </c>
      <c r="T23" s="41"/>
      <c r="V23" s="40" t="s">
        <v>7</v>
      </c>
      <c r="W23" s="40">
        <v>2</v>
      </c>
      <c r="X23" s="40" t="s">
        <v>23</v>
      </c>
      <c r="Y23" s="40">
        <v>2</v>
      </c>
      <c r="Z23" s="40" t="s">
        <v>38</v>
      </c>
      <c r="AB23" s="40" t="s">
        <v>152</v>
      </c>
      <c r="AC23" s="40">
        <v>2</v>
      </c>
    </row>
    <row r="24" spans="1:29" ht="16.5" customHeight="1">
      <c r="A24" s="36" t="s">
        <v>0</v>
      </c>
      <c r="B24" s="19"/>
      <c r="C24" s="19"/>
      <c r="D24" s="19" t="s">
        <v>607</v>
      </c>
      <c r="E24" s="19" t="s">
        <v>605</v>
      </c>
      <c r="F24" s="19" t="s">
        <v>605</v>
      </c>
      <c r="G24" s="19"/>
      <c r="H24" s="19"/>
      <c r="I24" s="19"/>
      <c r="J24" s="19"/>
      <c r="K24" s="19" t="s">
        <v>607</v>
      </c>
      <c r="L24" s="19" t="s">
        <v>605</v>
      </c>
      <c r="M24" s="28"/>
      <c r="N24" s="19" t="s">
        <v>607</v>
      </c>
      <c r="O24" s="19"/>
      <c r="P24" s="19"/>
      <c r="Q24" s="19"/>
      <c r="R24" s="19"/>
      <c r="T24" s="41"/>
      <c r="V24" s="40" t="s">
        <v>21</v>
      </c>
      <c r="W24" s="40">
        <v>2</v>
      </c>
      <c r="X24" s="40" t="s">
        <v>153</v>
      </c>
      <c r="Y24" s="40">
        <v>1</v>
      </c>
      <c r="Z24" s="40" t="s">
        <v>36</v>
      </c>
      <c r="AB24" s="40" t="s">
        <v>23</v>
      </c>
      <c r="AC24" s="40">
        <v>1</v>
      </c>
    </row>
    <row r="25" spans="1:29" ht="16.5" customHeight="1">
      <c r="A25" s="36" t="s">
        <v>1</v>
      </c>
      <c r="B25" s="19" t="s">
        <v>604</v>
      </c>
      <c r="C25" s="19" t="s">
        <v>605</v>
      </c>
      <c r="D25" s="19" t="s">
        <v>605</v>
      </c>
      <c r="E25" s="19"/>
      <c r="F25" s="19"/>
      <c r="G25" s="19" t="s">
        <v>606</v>
      </c>
      <c r="H25" s="19" t="s">
        <v>605</v>
      </c>
      <c r="I25" s="19" t="s">
        <v>605</v>
      </c>
      <c r="J25" s="19" t="s">
        <v>605</v>
      </c>
      <c r="K25" s="19" t="s">
        <v>605</v>
      </c>
      <c r="L25" s="19"/>
      <c r="M25" s="28"/>
      <c r="N25" s="19"/>
      <c r="O25" s="19" t="s">
        <v>604</v>
      </c>
      <c r="P25" s="19" t="s">
        <v>605</v>
      </c>
      <c r="Q25" s="19" t="s">
        <v>605</v>
      </c>
      <c r="R25" s="19" t="s">
        <v>605</v>
      </c>
      <c r="T25" s="41"/>
      <c r="V25" s="40" t="s">
        <v>26</v>
      </c>
      <c r="W25" s="40">
        <v>1</v>
      </c>
      <c r="X25" s="40" t="s">
        <v>327</v>
      </c>
      <c r="Y25" s="40">
        <v>2</v>
      </c>
      <c r="Z25" s="40" t="s">
        <v>37</v>
      </c>
      <c r="AB25" s="40" t="s">
        <v>25</v>
      </c>
      <c r="AC25" s="40">
        <v>1</v>
      </c>
    </row>
    <row r="26" spans="1:29" ht="16.5" customHeight="1">
      <c r="A26" s="36" t="s">
        <v>366</v>
      </c>
      <c r="B26" s="19"/>
      <c r="C26" s="19"/>
      <c r="D26" s="19"/>
      <c r="E26" s="19"/>
      <c r="F26" s="19"/>
      <c r="G26" s="19"/>
      <c r="H26" s="19"/>
      <c r="I26" s="19"/>
      <c r="J26" s="19"/>
      <c r="K26" s="19"/>
      <c r="L26" s="19"/>
      <c r="M26" s="28"/>
      <c r="N26" s="19"/>
      <c r="O26" s="19"/>
      <c r="P26" s="19"/>
      <c r="Q26" s="19"/>
      <c r="R26" s="19"/>
      <c r="T26" s="41"/>
      <c r="V26" s="40" t="s">
        <v>27</v>
      </c>
      <c r="W26" s="40">
        <v>3</v>
      </c>
      <c r="X26" s="40" t="s">
        <v>28</v>
      </c>
      <c r="Y26" s="40">
        <v>1</v>
      </c>
      <c r="Z26" s="40" t="s">
        <v>249</v>
      </c>
      <c r="AB26" s="40" t="s">
        <v>327</v>
      </c>
      <c r="AC26" s="40">
        <v>1</v>
      </c>
    </row>
    <row r="27" spans="1:29" ht="16.5" customHeight="1">
      <c r="A27" s="26" t="s">
        <v>216</v>
      </c>
      <c r="B27" s="27">
        <v>44049</v>
      </c>
      <c r="C27" s="27">
        <v>44050</v>
      </c>
      <c r="D27" s="31">
        <v>44051</v>
      </c>
      <c r="E27" s="31">
        <v>44052</v>
      </c>
      <c r="F27" s="27">
        <v>44053</v>
      </c>
      <c r="G27" s="27">
        <v>44054</v>
      </c>
      <c r="H27" s="31">
        <v>44055</v>
      </c>
      <c r="I27" s="31">
        <v>44056</v>
      </c>
      <c r="J27" s="31">
        <v>44057</v>
      </c>
      <c r="K27" s="31">
        <v>44058</v>
      </c>
      <c r="L27" s="31">
        <v>44059</v>
      </c>
      <c r="M27" s="27">
        <v>44060</v>
      </c>
      <c r="N27" s="27">
        <v>44061</v>
      </c>
      <c r="O27" s="27">
        <v>44062</v>
      </c>
      <c r="P27" s="27">
        <v>44063</v>
      </c>
      <c r="Q27" s="27"/>
      <c r="R27" s="19"/>
      <c r="T27" s="41"/>
      <c r="V27" s="40" t="s">
        <v>533</v>
      </c>
      <c r="W27" s="40">
        <v>1</v>
      </c>
      <c r="X27" s="40" t="s">
        <v>152</v>
      </c>
      <c r="Y27" s="40">
        <v>2</v>
      </c>
      <c r="AB27" s="40" t="s">
        <v>516</v>
      </c>
      <c r="AC27" s="40">
        <v>1</v>
      </c>
    </row>
    <row r="28" spans="1:29" ht="16.5" customHeight="1">
      <c r="A28" s="28">
        <v>1</v>
      </c>
      <c r="B28" s="19"/>
      <c r="C28" s="19"/>
      <c r="D28" s="19" t="s">
        <v>626</v>
      </c>
      <c r="E28" s="19" t="s">
        <v>624</v>
      </c>
      <c r="F28" s="19"/>
      <c r="G28" s="19"/>
      <c r="H28" s="19"/>
      <c r="I28" s="19"/>
      <c r="J28" s="19"/>
      <c r="K28" s="19"/>
      <c r="L28" s="19"/>
      <c r="M28" s="19"/>
      <c r="N28" s="19"/>
      <c r="O28" s="19"/>
      <c r="P28" s="19"/>
      <c r="Q28" s="19"/>
      <c r="R28" s="19"/>
      <c r="T28" s="41"/>
      <c r="V28" s="40" t="s">
        <v>638</v>
      </c>
      <c r="W28" s="40">
        <v>1</v>
      </c>
      <c r="X28" s="40" t="s">
        <v>249</v>
      </c>
      <c r="Y28" s="40">
        <v>1</v>
      </c>
    </row>
    <row r="29" spans="1:29" ht="16.5" customHeight="1">
      <c r="A29" s="28">
        <v>2</v>
      </c>
      <c r="B29" s="19"/>
      <c r="C29" s="19"/>
      <c r="D29" s="19" t="s">
        <v>639</v>
      </c>
      <c r="E29" s="19" t="s">
        <v>637</v>
      </c>
      <c r="F29" s="19"/>
      <c r="G29" s="19"/>
      <c r="H29" s="19"/>
      <c r="I29" s="19"/>
      <c r="J29" s="19"/>
      <c r="K29" s="19"/>
      <c r="L29" s="19"/>
      <c r="M29" s="19"/>
      <c r="N29" s="19"/>
      <c r="O29" s="19"/>
      <c r="P29" s="19"/>
      <c r="Q29" s="19"/>
      <c r="R29" s="19"/>
      <c r="T29" s="41"/>
    </row>
    <row r="30" spans="1:29" ht="16.5" customHeight="1">
      <c r="A30" s="28">
        <v>3</v>
      </c>
      <c r="B30" s="19"/>
      <c r="C30" s="19"/>
      <c r="D30" s="19" t="s">
        <v>609</v>
      </c>
      <c r="E30" s="19" t="s">
        <v>609</v>
      </c>
      <c r="F30" s="19"/>
      <c r="G30" s="19"/>
      <c r="H30" s="19"/>
      <c r="I30" s="19"/>
      <c r="J30" s="19"/>
      <c r="K30" s="19"/>
      <c r="L30" s="19"/>
      <c r="M30" s="19"/>
      <c r="N30" s="19"/>
      <c r="O30" s="19"/>
      <c r="P30" s="19"/>
      <c r="Q30" s="19"/>
      <c r="R30" s="19"/>
      <c r="T30" s="41"/>
    </row>
    <row r="31" spans="1:29" ht="16.5" customHeight="1">
      <c r="A31" s="28" t="s">
        <v>20</v>
      </c>
      <c r="B31" s="19" t="s">
        <v>608</v>
      </c>
      <c r="C31" s="19" t="s">
        <v>605</v>
      </c>
      <c r="D31" s="19" t="s">
        <v>605</v>
      </c>
      <c r="E31" s="19" t="s">
        <v>605</v>
      </c>
      <c r="F31" s="19" t="s">
        <v>616</v>
      </c>
      <c r="G31" s="19" t="s">
        <v>605</v>
      </c>
      <c r="H31" s="19"/>
      <c r="I31" s="19"/>
      <c r="J31" s="19"/>
      <c r="K31" s="19"/>
      <c r="L31" s="19"/>
      <c r="M31" s="19" t="s">
        <v>610</v>
      </c>
      <c r="N31" s="19" t="s">
        <v>605</v>
      </c>
      <c r="O31" s="19" t="s">
        <v>605</v>
      </c>
      <c r="P31" s="19" t="s">
        <v>605</v>
      </c>
      <c r="Q31" s="19"/>
      <c r="R31" s="19"/>
      <c r="T31" s="41"/>
    </row>
    <row r="32" spans="1:29" ht="16.5" customHeight="1">
      <c r="A32" s="28" t="s">
        <v>0</v>
      </c>
      <c r="B32" s="19" t="s">
        <v>607</v>
      </c>
      <c r="C32" s="19" t="s">
        <v>605</v>
      </c>
      <c r="D32" s="19" t="s">
        <v>605</v>
      </c>
      <c r="E32" s="19"/>
      <c r="F32" s="19"/>
      <c r="G32" s="19"/>
      <c r="H32" s="19"/>
      <c r="I32" s="19"/>
      <c r="J32" s="19"/>
      <c r="K32" s="19"/>
      <c r="L32" s="19"/>
      <c r="M32" s="19"/>
      <c r="N32" s="19"/>
      <c r="O32" s="19"/>
      <c r="P32" s="19" t="s">
        <v>607</v>
      </c>
      <c r="Q32" s="19"/>
      <c r="R32" s="19"/>
      <c r="T32" s="41"/>
      <c r="V32" s="40" t="s">
        <v>602</v>
      </c>
      <c r="W32" s="40">
        <f>SUM(W19:W31)</f>
        <v>15</v>
      </c>
      <c r="Y32" s="40">
        <f>SUM(Y19:Y31)</f>
        <v>15</v>
      </c>
      <c r="AA32" s="40">
        <f>SUM(AA19:AA31)</f>
        <v>0</v>
      </c>
      <c r="AC32" s="40">
        <f>SUM(AC19:AC31)</f>
        <v>9</v>
      </c>
    </row>
    <row r="33" spans="1:20" ht="16.5" customHeight="1">
      <c r="A33" s="28" t="s">
        <v>1</v>
      </c>
      <c r="B33" s="19" t="s">
        <v>604</v>
      </c>
      <c r="C33" s="19"/>
      <c r="D33" s="19"/>
      <c r="E33" s="19" t="s">
        <v>606</v>
      </c>
      <c r="F33" s="19" t="s">
        <v>605</v>
      </c>
      <c r="G33" s="19" t="s">
        <v>605</v>
      </c>
      <c r="H33" s="19"/>
      <c r="I33" s="19"/>
      <c r="J33" s="19"/>
      <c r="K33" s="19"/>
      <c r="L33" s="19"/>
      <c r="M33" s="19" t="s">
        <v>604</v>
      </c>
      <c r="N33" s="19" t="s">
        <v>605</v>
      </c>
      <c r="O33" s="19" t="s">
        <v>605</v>
      </c>
      <c r="P33" s="19" t="s">
        <v>605</v>
      </c>
      <c r="Q33" s="19"/>
      <c r="R33" s="19"/>
    </row>
    <row r="34" spans="1:20" ht="16.5" customHeight="1">
      <c r="A34" s="28" t="s">
        <v>366</v>
      </c>
      <c r="B34" s="19"/>
      <c r="C34" s="19"/>
      <c r="D34" s="19"/>
      <c r="E34" s="19"/>
      <c r="F34" s="19"/>
      <c r="G34" s="19"/>
      <c r="H34" s="19"/>
      <c r="I34" s="19"/>
      <c r="J34" s="19"/>
      <c r="K34" s="19"/>
      <c r="L34" s="19"/>
      <c r="M34" s="19"/>
      <c r="N34" s="19"/>
      <c r="O34" s="19"/>
      <c r="P34" s="19"/>
      <c r="Q34" s="19"/>
      <c r="R34" s="19"/>
    </row>
    <row r="35" spans="1:20" ht="12.75" customHeight="1">
      <c r="Q35" s="145" t="s">
        <v>82</v>
      </c>
      <c r="R35" s="145"/>
      <c r="T35" s="41"/>
    </row>
    <row r="36" spans="1:20">
      <c r="A36" s="40" t="s">
        <v>322</v>
      </c>
      <c r="H36" s="43"/>
      <c r="T36" s="41"/>
    </row>
    <row r="37" spans="1:20">
      <c r="A37" s="43" t="s">
        <v>516</v>
      </c>
      <c r="B37" s="43">
        <v>44009</v>
      </c>
      <c r="C37" s="43">
        <v>44010</v>
      </c>
      <c r="D37" s="43">
        <v>44037</v>
      </c>
      <c r="E37" s="43">
        <v>44038</v>
      </c>
      <c r="F37" s="43"/>
      <c r="G37" s="43"/>
      <c r="H37" s="43"/>
      <c r="I37" s="43"/>
      <c r="J37" s="43"/>
      <c r="K37" s="43"/>
      <c r="L37" s="43"/>
      <c r="M37" s="43"/>
      <c r="N37" s="43"/>
      <c r="O37" s="43"/>
      <c r="P37" s="43"/>
      <c r="Q37" s="43"/>
      <c r="R37" s="43"/>
      <c r="T37" s="41"/>
    </row>
    <row r="38" spans="1:20">
      <c r="A38" s="43" t="s">
        <v>28</v>
      </c>
      <c r="B38" s="43">
        <v>44010</v>
      </c>
      <c r="C38" s="43">
        <v>44037</v>
      </c>
      <c r="D38" s="43">
        <v>44038</v>
      </c>
      <c r="E38" s="43"/>
      <c r="F38" s="43"/>
      <c r="G38" s="43"/>
      <c r="H38" s="43"/>
      <c r="I38" s="43"/>
      <c r="J38" s="43"/>
      <c r="K38" s="43"/>
      <c r="L38" s="43"/>
      <c r="M38" s="43"/>
      <c r="N38" s="43"/>
      <c r="O38" s="43"/>
      <c r="P38" s="43"/>
      <c r="Q38" s="43"/>
      <c r="R38" s="43"/>
      <c r="T38" s="41"/>
    </row>
    <row r="39" spans="1:20">
      <c r="A39" s="43" t="s">
        <v>26</v>
      </c>
      <c r="B39" s="43">
        <v>44023</v>
      </c>
      <c r="C39" s="43"/>
      <c r="D39" s="43"/>
      <c r="E39" s="43"/>
      <c r="F39" s="43"/>
      <c r="G39" s="43"/>
      <c r="H39" s="43"/>
      <c r="I39" s="43"/>
      <c r="J39" s="43"/>
      <c r="K39" s="43"/>
      <c r="L39" s="43"/>
      <c r="M39" s="43"/>
      <c r="N39" s="43"/>
      <c r="O39" s="43"/>
      <c r="P39" s="43"/>
      <c r="Q39" s="43"/>
      <c r="R39" s="43"/>
      <c r="T39" s="41"/>
    </row>
    <row r="40" spans="1:20">
      <c r="A40" s="43" t="s">
        <v>2</v>
      </c>
      <c r="B40" s="43">
        <v>44010</v>
      </c>
      <c r="C40" s="43"/>
      <c r="D40" s="43"/>
      <c r="E40" s="43"/>
      <c r="F40" s="43"/>
      <c r="G40" s="43"/>
      <c r="H40" s="43"/>
      <c r="I40" s="43"/>
      <c r="J40" s="43"/>
      <c r="K40" s="43"/>
      <c r="L40" s="43"/>
      <c r="M40" s="43"/>
      <c r="N40" s="43"/>
      <c r="O40" s="43"/>
      <c r="P40" s="43"/>
      <c r="Q40" s="43"/>
      <c r="R40" s="43"/>
    </row>
    <row r="41" spans="1:20">
      <c r="A41" s="43"/>
      <c r="B41" s="43"/>
      <c r="C41" s="43"/>
      <c r="D41" s="43"/>
      <c r="E41" s="43"/>
      <c r="F41" s="43"/>
      <c r="G41" s="43"/>
      <c r="H41" s="43"/>
      <c r="I41" s="43"/>
      <c r="J41" s="43"/>
      <c r="K41" s="43"/>
      <c r="L41" s="43"/>
      <c r="M41" s="43"/>
      <c r="N41" s="43"/>
      <c r="O41" s="43"/>
      <c r="P41" s="43"/>
      <c r="Q41" s="43"/>
      <c r="R41" s="43"/>
      <c r="T41" s="41"/>
    </row>
    <row r="42" spans="1:20">
      <c r="A42" s="43"/>
      <c r="B42" s="43"/>
      <c r="C42" s="43"/>
      <c r="D42" s="43"/>
      <c r="E42" s="43"/>
      <c r="F42" s="43"/>
      <c r="G42" s="43"/>
      <c r="H42" s="43"/>
      <c r="I42" s="43"/>
      <c r="J42" s="43"/>
      <c r="K42" s="43"/>
      <c r="L42" s="43"/>
      <c r="M42" s="43"/>
      <c r="N42" s="43"/>
      <c r="O42" s="43"/>
      <c r="P42" s="43"/>
      <c r="Q42" s="43"/>
      <c r="R42" s="43"/>
      <c r="T42" s="41"/>
    </row>
    <row r="43" spans="1:20">
      <c r="A43" s="43"/>
      <c r="B43" s="43"/>
      <c r="C43" s="43"/>
      <c r="D43" s="43"/>
      <c r="E43" s="43"/>
      <c r="F43" s="43"/>
      <c r="G43" s="43"/>
      <c r="H43" s="43"/>
      <c r="I43" s="43"/>
      <c r="J43" s="43"/>
      <c r="K43" s="43"/>
      <c r="L43" s="43"/>
      <c r="M43" s="43"/>
      <c r="N43" s="43"/>
      <c r="O43" s="43"/>
      <c r="P43" s="43"/>
      <c r="Q43" s="43"/>
      <c r="R43" s="43"/>
      <c r="T43" s="41"/>
    </row>
    <row r="44" spans="1:20">
      <c r="A44" s="43"/>
      <c r="B44" s="43"/>
      <c r="C44" s="43"/>
      <c r="D44" s="43"/>
      <c r="E44" s="43"/>
      <c r="F44" s="43"/>
      <c r="G44" s="43"/>
      <c r="H44" s="43"/>
      <c r="I44" s="43"/>
      <c r="J44" s="43"/>
      <c r="K44" s="43"/>
      <c r="L44" s="43"/>
      <c r="M44" s="43"/>
      <c r="N44" s="43"/>
      <c r="O44" s="43"/>
      <c r="P44" s="43"/>
      <c r="Q44" s="43"/>
      <c r="R44" s="43"/>
      <c r="T44" s="41"/>
    </row>
    <row r="45" spans="1:20">
      <c r="A45" s="43"/>
      <c r="B45" s="43"/>
      <c r="C45" s="43"/>
      <c r="D45" s="43"/>
      <c r="E45" s="43"/>
      <c r="F45" s="43"/>
      <c r="G45" s="43"/>
      <c r="H45" s="43"/>
      <c r="I45" s="43"/>
      <c r="J45" s="43"/>
      <c r="K45" s="43"/>
      <c r="L45" s="43"/>
      <c r="M45" s="43"/>
      <c r="N45" s="43"/>
      <c r="O45" s="43"/>
      <c r="P45" s="43"/>
      <c r="Q45" s="43"/>
      <c r="R45" s="43"/>
    </row>
    <row r="46" spans="1:20">
      <c r="A46" s="43"/>
      <c r="B46" s="43"/>
      <c r="C46" s="43"/>
      <c r="D46" s="43"/>
      <c r="E46" s="43"/>
      <c r="F46" s="43"/>
      <c r="G46" s="43"/>
      <c r="H46" s="43"/>
      <c r="I46" s="43"/>
      <c r="J46" s="43"/>
      <c r="K46" s="43"/>
      <c r="L46" s="43"/>
      <c r="M46" s="43"/>
      <c r="N46" s="43"/>
      <c r="O46" s="43"/>
      <c r="P46" s="43"/>
      <c r="Q46" s="43"/>
      <c r="R46" s="43"/>
      <c r="T46" s="41"/>
    </row>
    <row r="47" spans="1:20">
      <c r="A47" s="43"/>
      <c r="B47" s="43"/>
      <c r="C47" s="43"/>
      <c r="D47" s="43"/>
      <c r="E47" s="43"/>
      <c r="F47" s="43"/>
      <c r="G47" s="43"/>
      <c r="H47" s="43"/>
      <c r="I47" s="43"/>
      <c r="J47" s="43"/>
      <c r="K47" s="43"/>
      <c r="L47" s="43"/>
      <c r="M47" s="43"/>
      <c r="N47" s="43"/>
      <c r="O47" s="43"/>
      <c r="P47" s="43"/>
      <c r="Q47" s="43"/>
      <c r="R47" s="43"/>
      <c r="T47" s="41"/>
    </row>
    <row r="48" spans="1:20">
      <c r="A48" s="43"/>
      <c r="B48" s="43"/>
      <c r="C48" s="43"/>
      <c r="D48" s="43"/>
      <c r="E48" s="43"/>
      <c r="F48" s="43"/>
      <c r="G48" s="43"/>
      <c r="H48" s="43"/>
      <c r="I48" s="43"/>
      <c r="J48" s="43"/>
      <c r="K48" s="43"/>
      <c r="L48" s="43"/>
      <c r="M48" s="43"/>
      <c r="N48" s="43"/>
      <c r="O48" s="43"/>
      <c r="P48" s="43"/>
      <c r="Q48" s="43"/>
      <c r="R48" s="43"/>
      <c r="T48" s="41"/>
    </row>
    <row r="49" spans="1:18">
      <c r="A49" s="43"/>
      <c r="B49" s="43"/>
      <c r="C49" s="43"/>
      <c r="D49" s="43"/>
      <c r="E49" s="43"/>
      <c r="F49" s="43"/>
      <c r="G49" s="43"/>
      <c r="H49" s="43"/>
      <c r="I49" s="43"/>
      <c r="J49" s="43"/>
      <c r="K49" s="43"/>
      <c r="L49" s="43"/>
      <c r="M49" s="43"/>
      <c r="N49" s="43"/>
      <c r="O49" s="43"/>
      <c r="P49" s="43"/>
      <c r="Q49" s="43"/>
      <c r="R49" s="43"/>
    </row>
    <row r="50" spans="1:18">
      <c r="A50" s="43"/>
      <c r="B50" s="43"/>
      <c r="C50" s="43"/>
      <c r="D50" s="43"/>
      <c r="E50" s="43"/>
      <c r="F50" s="43"/>
      <c r="G50" s="43"/>
      <c r="H50" s="43"/>
      <c r="I50" s="43"/>
      <c r="J50" s="43"/>
      <c r="K50" s="43"/>
      <c r="L50" s="43"/>
      <c r="M50" s="43"/>
      <c r="N50" s="43"/>
      <c r="O50" s="43"/>
      <c r="P50" s="43"/>
      <c r="Q50" s="43"/>
      <c r="R50" s="43"/>
    </row>
    <row r="51" spans="1:18">
      <c r="A51" s="43"/>
      <c r="B51" s="43"/>
      <c r="C51" s="43"/>
      <c r="D51" s="43"/>
      <c r="E51" s="43"/>
      <c r="F51" s="43"/>
      <c r="G51" s="43"/>
      <c r="H51" s="43"/>
      <c r="I51" s="43"/>
      <c r="J51" s="43"/>
      <c r="K51" s="43"/>
      <c r="L51" s="43"/>
      <c r="M51" s="43"/>
      <c r="N51" s="43"/>
      <c r="O51" s="43"/>
      <c r="P51" s="43"/>
      <c r="Q51" s="43"/>
      <c r="R51" s="43"/>
    </row>
  </sheetData>
  <mergeCells count="2">
    <mergeCell ref="A1:R1"/>
    <mergeCell ref="Q35:R35"/>
  </mergeCells>
  <phoneticPr fontId="2"/>
  <pageMargins left="0.70866141732283472" right="0.70866141732283472" top="0" bottom="0" header="0.31496062992125984" footer="0.31496062992125984"/>
  <pageSetup paperSize="9" orientation="landscape" r:id="rId1"/>
  <drawing r:id="rId2"/>
  <legacyDrawing r:id="rId3"/>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51"/>
  <sheetViews>
    <sheetView topLeftCell="A31" zoomScaleNormal="100" workbookViewId="0">
      <selection activeCell="O5" sqref="O5"/>
    </sheetView>
  </sheetViews>
  <sheetFormatPr defaultColWidth="9" defaultRowHeight="18.75"/>
  <cols>
    <col min="1" max="18" width="6.625" style="40" customWidth="1"/>
    <col min="19" max="19" width="3.625" style="40" customWidth="1"/>
    <col min="20" max="20" width="6.625" style="40" customWidth="1"/>
    <col min="21" max="21" width="3.625" style="40" customWidth="1"/>
    <col min="22" max="37" width="6.625" style="40" customWidth="1"/>
    <col min="38" max="38" width="3.625" style="40" customWidth="1"/>
    <col min="39" max="16384" width="9" style="40"/>
  </cols>
  <sheetData>
    <row r="1" spans="1:29">
      <c r="A1" s="147" t="s">
        <v>570</v>
      </c>
      <c r="B1" s="147"/>
      <c r="C1" s="147"/>
      <c r="D1" s="147"/>
      <c r="E1" s="147"/>
      <c r="F1" s="147"/>
      <c r="G1" s="147"/>
      <c r="H1" s="147"/>
      <c r="I1" s="147"/>
      <c r="J1" s="147"/>
      <c r="K1" s="147"/>
      <c r="L1" s="147"/>
      <c r="M1" s="147"/>
      <c r="N1" s="147"/>
      <c r="O1" s="147"/>
      <c r="P1" s="147"/>
      <c r="Q1" s="147"/>
      <c r="R1" s="147"/>
      <c r="X1" s="40" t="s">
        <v>85</v>
      </c>
    </row>
    <row r="2" spans="1:29" ht="16.5" customHeight="1">
      <c r="A2" s="26" t="s">
        <v>325</v>
      </c>
      <c r="B2" s="27">
        <v>43942</v>
      </c>
      <c r="C2" s="27">
        <v>43943</v>
      </c>
      <c r="D2" s="27">
        <v>43944</v>
      </c>
      <c r="E2" s="27">
        <v>43945</v>
      </c>
      <c r="F2" s="31">
        <v>43946</v>
      </c>
      <c r="G2" s="31">
        <v>43947</v>
      </c>
      <c r="H2" s="27">
        <v>43948</v>
      </c>
      <c r="I2" s="27">
        <v>43949</v>
      </c>
      <c r="J2" s="27">
        <v>43950</v>
      </c>
      <c r="K2" s="27">
        <v>43951</v>
      </c>
      <c r="L2" s="27"/>
      <c r="M2" s="23" t="s">
        <v>354</v>
      </c>
      <c r="N2" s="25">
        <v>43952</v>
      </c>
      <c r="O2" s="30">
        <v>43953</v>
      </c>
      <c r="P2" s="30">
        <v>43954</v>
      </c>
      <c r="Q2" s="30">
        <v>43955</v>
      </c>
      <c r="R2" s="30">
        <v>43956</v>
      </c>
      <c r="V2" s="40" t="s">
        <v>63</v>
      </c>
      <c r="X2" s="40" t="s">
        <v>64</v>
      </c>
      <c r="Z2" s="40" t="s">
        <v>65</v>
      </c>
      <c r="AB2" s="40" t="s">
        <v>169</v>
      </c>
    </row>
    <row r="3" spans="1:29" ht="16.5" customHeight="1">
      <c r="A3" s="28">
        <v>1</v>
      </c>
      <c r="B3" s="19"/>
      <c r="C3" s="19"/>
      <c r="D3" s="19"/>
      <c r="E3" s="19"/>
      <c r="F3" s="19" t="s">
        <v>595</v>
      </c>
      <c r="G3" s="19" t="s">
        <v>596</v>
      </c>
      <c r="H3" s="19"/>
      <c r="I3" s="19"/>
      <c r="J3" s="19"/>
      <c r="K3" s="19"/>
      <c r="L3" s="19"/>
      <c r="M3" s="36"/>
      <c r="N3" s="19"/>
      <c r="O3" s="19"/>
      <c r="P3" s="19"/>
      <c r="Q3" s="19"/>
      <c r="R3" s="19"/>
      <c r="V3" s="40" t="s">
        <v>25</v>
      </c>
      <c r="W3" s="40">
        <v>2</v>
      </c>
      <c r="X3" s="40" t="s">
        <v>45</v>
      </c>
      <c r="Y3" s="40">
        <v>2</v>
      </c>
      <c r="Z3" s="40" t="s">
        <v>34</v>
      </c>
      <c r="AB3" s="40" t="s">
        <v>153</v>
      </c>
    </row>
    <row r="4" spans="1:29" ht="16.5" customHeight="1">
      <c r="A4" s="28">
        <v>2</v>
      </c>
      <c r="B4" s="19"/>
      <c r="C4" s="19"/>
      <c r="D4" s="19"/>
      <c r="E4" s="19"/>
      <c r="F4" s="19" t="s">
        <v>585</v>
      </c>
      <c r="G4" s="19" t="s">
        <v>584</v>
      </c>
      <c r="H4" s="19"/>
      <c r="I4" s="19"/>
      <c r="J4" s="19"/>
      <c r="K4" s="19"/>
      <c r="L4" s="19"/>
      <c r="M4" s="36"/>
      <c r="N4" s="19"/>
      <c r="O4" s="19"/>
      <c r="P4" s="19"/>
      <c r="Q4" s="19"/>
      <c r="R4" s="19"/>
      <c r="T4" s="41"/>
      <c r="U4" s="41"/>
      <c r="V4" s="40" t="s">
        <v>2</v>
      </c>
      <c r="W4" s="40">
        <v>2</v>
      </c>
      <c r="X4" s="40" t="s">
        <v>46</v>
      </c>
      <c r="Y4" s="40">
        <v>2</v>
      </c>
      <c r="Z4" s="40" t="s">
        <v>35</v>
      </c>
      <c r="AB4" s="40" t="s">
        <v>26</v>
      </c>
    </row>
    <row r="5" spans="1:29" ht="16.5" customHeight="1">
      <c r="A5" s="28">
        <v>3</v>
      </c>
      <c r="B5" s="19"/>
      <c r="C5" s="19"/>
      <c r="D5" s="19"/>
      <c r="E5" s="19"/>
      <c r="F5" s="19" t="s">
        <v>542</v>
      </c>
      <c r="G5" s="19" t="s">
        <v>542</v>
      </c>
      <c r="H5" s="19"/>
      <c r="I5" s="19"/>
      <c r="J5" s="19"/>
      <c r="K5" s="19"/>
      <c r="L5" s="19"/>
      <c r="M5" s="36"/>
      <c r="N5" s="19"/>
      <c r="O5" s="19"/>
      <c r="P5" s="19"/>
      <c r="Q5" s="19"/>
      <c r="R5" s="19"/>
      <c r="T5" s="41"/>
      <c r="U5" s="41"/>
      <c r="V5" s="40" t="s">
        <v>14</v>
      </c>
      <c r="W5" s="40">
        <v>2</v>
      </c>
      <c r="X5" s="40" t="s">
        <v>6</v>
      </c>
      <c r="Y5" s="40">
        <v>2</v>
      </c>
      <c r="Z5" s="40" t="s">
        <v>8</v>
      </c>
      <c r="AB5" s="40" t="s">
        <v>6</v>
      </c>
    </row>
    <row r="6" spans="1:29" ht="16.5" customHeight="1">
      <c r="A6" s="28" t="s">
        <v>20</v>
      </c>
      <c r="B6" s="19" t="s">
        <v>576</v>
      </c>
      <c r="C6" s="19" t="s">
        <v>573</v>
      </c>
      <c r="D6" s="19" t="s">
        <v>573</v>
      </c>
      <c r="E6" s="19" t="s">
        <v>573</v>
      </c>
      <c r="F6" s="19" t="s">
        <v>573</v>
      </c>
      <c r="G6" s="19" t="s">
        <v>573</v>
      </c>
      <c r="H6" s="19" t="s">
        <v>578</v>
      </c>
      <c r="I6" s="19" t="s">
        <v>13</v>
      </c>
      <c r="J6" s="19" t="s">
        <v>13</v>
      </c>
      <c r="K6" s="19" t="s">
        <v>13</v>
      </c>
      <c r="L6" s="19"/>
      <c r="M6" s="36"/>
      <c r="N6" s="19" t="s">
        <v>578</v>
      </c>
      <c r="O6" s="19"/>
      <c r="P6" s="19"/>
      <c r="Q6" s="19"/>
      <c r="R6" s="19"/>
      <c r="T6" s="41"/>
      <c r="U6" s="41"/>
      <c r="V6" s="40" t="s">
        <v>7</v>
      </c>
      <c r="W6" s="40">
        <v>2</v>
      </c>
      <c r="X6" s="40" t="s">
        <v>23</v>
      </c>
      <c r="Y6" s="40">
        <v>2</v>
      </c>
      <c r="Z6" s="40" t="s">
        <v>38</v>
      </c>
      <c r="AB6" s="40" t="s">
        <v>152</v>
      </c>
    </row>
    <row r="7" spans="1:29" ht="16.5" customHeight="1">
      <c r="A7" s="28" t="s">
        <v>0</v>
      </c>
      <c r="B7" s="19"/>
      <c r="C7" s="19"/>
      <c r="D7" s="19" t="s">
        <v>575</v>
      </c>
      <c r="E7" s="19" t="s">
        <v>573</v>
      </c>
      <c r="F7" s="19" t="s">
        <v>573</v>
      </c>
      <c r="G7" s="19"/>
      <c r="H7" s="19"/>
      <c r="I7" s="19"/>
      <c r="J7" s="19"/>
      <c r="K7" s="19" t="s">
        <v>575</v>
      </c>
      <c r="L7" s="19"/>
      <c r="M7" s="36"/>
      <c r="N7" s="19" t="s">
        <v>575</v>
      </c>
      <c r="O7" s="19"/>
      <c r="P7" s="19"/>
      <c r="Q7" s="19"/>
      <c r="R7" s="19"/>
      <c r="T7" s="41"/>
      <c r="U7" s="41"/>
      <c r="V7" s="40" t="s">
        <v>21</v>
      </c>
      <c r="W7" s="40">
        <v>2</v>
      </c>
      <c r="X7" s="40" t="s">
        <v>153</v>
      </c>
      <c r="Y7" s="40">
        <v>1</v>
      </c>
      <c r="Z7" s="40" t="s">
        <v>36</v>
      </c>
      <c r="AB7" s="40" t="s">
        <v>23</v>
      </c>
    </row>
    <row r="8" spans="1:29" ht="16.5" customHeight="1">
      <c r="A8" s="28" t="s">
        <v>1</v>
      </c>
      <c r="B8" s="19" t="s">
        <v>572</v>
      </c>
      <c r="C8" s="19" t="s">
        <v>573</v>
      </c>
      <c r="D8" s="19" t="s">
        <v>573</v>
      </c>
      <c r="E8" s="19"/>
      <c r="F8" s="19"/>
      <c r="G8" s="19" t="s">
        <v>574</v>
      </c>
      <c r="H8" s="19" t="s">
        <v>573</v>
      </c>
      <c r="I8" s="19" t="s">
        <v>573</v>
      </c>
      <c r="J8" s="19" t="s">
        <v>573</v>
      </c>
      <c r="K8" s="19" t="s">
        <v>573</v>
      </c>
      <c r="L8" s="19"/>
      <c r="M8" s="36"/>
      <c r="N8" s="19"/>
      <c r="O8" s="19"/>
      <c r="P8" s="19"/>
      <c r="Q8" s="19"/>
      <c r="R8" s="19"/>
      <c r="T8" s="41"/>
      <c r="V8" s="40" t="s">
        <v>26</v>
      </c>
      <c r="W8" s="40">
        <v>2</v>
      </c>
      <c r="X8" s="40" t="s">
        <v>327</v>
      </c>
      <c r="Y8" s="40">
        <v>2</v>
      </c>
      <c r="Z8" s="40" t="s">
        <v>37</v>
      </c>
      <c r="AB8" s="40" t="s">
        <v>25</v>
      </c>
    </row>
    <row r="9" spans="1:29" ht="16.5" customHeight="1">
      <c r="A9" s="28" t="s">
        <v>366</v>
      </c>
      <c r="B9" s="19"/>
      <c r="C9" s="19"/>
      <c r="D9" s="19"/>
      <c r="E9" s="19"/>
      <c r="F9" s="19"/>
      <c r="G9" s="19"/>
      <c r="H9" s="19"/>
      <c r="I9" s="19"/>
      <c r="J9" s="19"/>
      <c r="K9" s="19"/>
      <c r="L9" s="19"/>
      <c r="M9" s="36"/>
      <c r="N9" s="19"/>
      <c r="O9" s="19"/>
      <c r="P9" s="19"/>
      <c r="Q9" s="19"/>
      <c r="R9" s="19"/>
      <c r="T9" s="41"/>
      <c r="V9" s="40" t="s">
        <v>27</v>
      </c>
      <c r="W9" s="40">
        <v>3</v>
      </c>
      <c r="X9" s="40" t="s">
        <v>28</v>
      </c>
      <c r="Y9" s="40">
        <v>2</v>
      </c>
      <c r="Z9" s="40" t="s">
        <v>249</v>
      </c>
      <c r="AB9" s="40" t="s">
        <v>327</v>
      </c>
    </row>
    <row r="10" spans="1:29" ht="16.5" customHeight="1">
      <c r="A10" s="23" t="s">
        <v>354</v>
      </c>
      <c r="B10" s="30">
        <v>43957</v>
      </c>
      <c r="C10" s="25">
        <v>43958</v>
      </c>
      <c r="D10" s="25">
        <v>43959</v>
      </c>
      <c r="E10" s="30">
        <v>43960</v>
      </c>
      <c r="F10" s="30">
        <v>43961</v>
      </c>
      <c r="G10" s="25">
        <v>43962</v>
      </c>
      <c r="H10" s="25">
        <v>43963</v>
      </c>
      <c r="I10" s="25">
        <v>43964</v>
      </c>
      <c r="J10" s="25">
        <v>43965</v>
      </c>
      <c r="K10" s="25">
        <v>43966</v>
      </c>
      <c r="L10" s="30">
        <v>43967</v>
      </c>
      <c r="M10" s="30">
        <v>43968</v>
      </c>
      <c r="N10" s="25">
        <v>43969</v>
      </c>
      <c r="O10" s="25">
        <v>43970</v>
      </c>
      <c r="P10" s="25">
        <v>43971</v>
      </c>
      <c r="Q10" s="19"/>
      <c r="R10" s="19"/>
      <c r="T10" s="41"/>
      <c r="V10" s="40" t="s">
        <v>533</v>
      </c>
      <c r="W10" s="40">
        <v>2</v>
      </c>
      <c r="X10" s="40" t="s">
        <v>152</v>
      </c>
      <c r="Y10" s="40">
        <v>2</v>
      </c>
      <c r="AB10" s="40" t="s">
        <v>249</v>
      </c>
    </row>
    <row r="11" spans="1:29" ht="16.5" customHeight="1">
      <c r="A11" s="36">
        <v>1</v>
      </c>
      <c r="B11" s="19"/>
      <c r="C11" s="19"/>
      <c r="D11" s="19"/>
      <c r="E11" s="19" t="s">
        <v>598</v>
      </c>
      <c r="F11" s="19" t="s">
        <v>594</v>
      </c>
      <c r="G11" s="19"/>
      <c r="H11" s="19"/>
      <c r="I11" s="19"/>
      <c r="J11" s="19"/>
      <c r="K11" s="19"/>
      <c r="L11" s="19" t="s">
        <v>597</v>
      </c>
      <c r="M11" s="19" t="s">
        <v>599</v>
      </c>
      <c r="N11" s="19"/>
      <c r="O11" s="19"/>
      <c r="P11" s="19"/>
      <c r="Q11" s="19"/>
      <c r="R11" s="19"/>
      <c r="T11" s="41"/>
      <c r="V11" s="40" t="s">
        <v>516</v>
      </c>
      <c r="W11" s="40">
        <v>1</v>
      </c>
      <c r="X11" s="40" t="s">
        <v>249</v>
      </c>
      <c r="Y11" s="40">
        <v>2</v>
      </c>
      <c r="AB11" s="40" t="s">
        <v>516</v>
      </c>
    </row>
    <row r="12" spans="1:29" ht="16.5" customHeight="1">
      <c r="A12" s="36">
        <v>2</v>
      </c>
      <c r="B12" s="19"/>
      <c r="C12" s="19"/>
      <c r="D12" s="19"/>
      <c r="E12" s="19" t="s">
        <v>586</v>
      </c>
      <c r="F12" s="19" t="s">
        <v>587</v>
      </c>
      <c r="G12" s="19"/>
      <c r="H12" s="19"/>
      <c r="I12" s="19"/>
      <c r="J12" s="19"/>
      <c r="K12" s="19"/>
      <c r="L12" s="19" t="s">
        <v>588</v>
      </c>
      <c r="M12" s="19" t="s">
        <v>589</v>
      </c>
      <c r="N12" s="19"/>
      <c r="O12" s="19"/>
      <c r="P12" s="19"/>
      <c r="Q12" s="19"/>
      <c r="R12" s="19"/>
      <c r="T12" s="41"/>
      <c r="X12" s="40" t="s">
        <v>516</v>
      </c>
      <c r="Y12" s="40">
        <v>1</v>
      </c>
    </row>
    <row r="13" spans="1:29" ht="16.5" customHeight="1">
      <c r="A13" s="36">
        <v>3</v>
      </c>
      <c r="B13" s="19"/>
      <c r="C13" s="19"/>
      <c r="D13" s="19"/>
      <c r="E13" s="19" t="s">
        <v>542</v>
      </c>
      <c r="F13" s="19" t="s">
        <v>542</v>
      </c>
      <c r="G13" s="19"/>
      <c r="H13" s="19"/>
      <c r="I13" s="19"/>
      <c r="J13" s="19"/>
      <c r="K13" s="19"/>
      <c r="L13" s="19" t="s">
        <v>542</v>
      </c>
      <c r="M13" s="19" t="s">
        <v>542</v>
      </c>
      <c r="N13" s="19"/>
      <c r="O13" s="19"/>
      <c r="P13" s="19"/>
      <c r="Q13" s="19"/>
      <c r="R13" s="19"/>
      <c r="T13" s="41"/>
    </row>
    <row r="14" spans="1:29" ht="16.5" customHeight="1">
      <c r="A14" s="36" t="s">
        <v>20</v>
      </c>
      <c r="B14" s="19"/>
      <c r="C14" s="19" t="s">
        <v>577</v>
      </c>
      <c r="D14" s="19" t="s">
        <v>13</v>
      </c>
      <c r="E14" s="19" t="s">
        <v>13</v>
      </c>
      <c r="F14" s="19" t="s">
        <v>13</v>
      </c>
      <c r="G14" s="19" t="s">
        <v>579</v>
      </c>
      <c r="H14" s="19" t="s">
        <v>13</v>
      </c>
      <c r="I14" s="19" t="s">
        <v>13</v>
      </c>
      <c r="J14" s="19" t="s">
        <v>13</v>
      </c>
      <c r="K14" s="19" t="s">
        <v>13</v>
      </c>
      <c r="L14" s="19" t="s">
        <v>13</v>
      </c>
      <c r="M14" s="19" t="s">
        <v>13</v>
      </c>
      <c r="N14" s="19" t="s">
        <v>580</v>
      </c>
      <c r="O14" s="19" t="s">
        <v>13</v>
      </c>
      <c r="P14" s="19" t="s">
        <v>13</v>
      </c>
      <c r="Q14" s="19"/>
      <c r="R14" s="19"/>
      <c r="T14" s="41"/>
    </row>
    <row r="15" spans="1:29" ht="16.5" customHeight="1">
      <c r="A15" s="36" t="s">
        <v>0</v>
      </c>
      <c r="B15" s="19"/>
      <c r="C15" s="19" t="s">
        <v>575</v>
      </c>
      <c r="D15" s="19" t="s">
        <v>573</v>
      </c>
      <c r="E15" s="19" t="s">
        <v>573</v>
      </c>
      <c r="F15" s="19"/>
      <c r="G15" s="19"/>
      <c r="H15" s="19"/>
      <c r="I15" s="19"/>
      <c r="J15" s="19" t="s">
        <v>575</v>
      </c>
      <c r="K15" s="19" t="s">
        <v>573</v>
      </c>
      <c r="L15" s="19" t="s">
        <v>573</v>
      </c>
      <c r="M15" s="19"/>
      <c r="N15" s="19"/>
      <c r="O15" s="19"/>
      <c r="P15" s="19"/>
      <c r="Q15" s="19"/>
      <c r="R15" s="19"/>
      <c r="T15" s="41"/>
      <c r="V15" s="40" t="s">
        <v>567</v>
      </c>
      <c r="W15" s="40">
        <f>SUM(W2:W14)</f>
        <v>18</v>
      </c>
      <c r="Y15" s="40">
        <f>SUM(Y2:Y14)</f>
        <v>18</v>
      </c>
      <c r="AA15" s="40">
        <f>SUM(AA2:AA14)</f>
        <v>0</v>
      </c>
      <c r="AC15" s="40">
        <f>SUM(AC2:AC14)</f>
        <v>0</v>
      </c>
    </row>
    <row r="16" spans="1:29" ht="16.5" customHeight="1">
      <c r="A16" s="36" t="s">
        <v>1</v>
      </c>
      <c r="B16" s="19"/>
      <c r="C16" s="19" t="s">
        <v>572</v>
      </c>
      <c r="D16" s="19"/>
      <c r="E16" s="19"/>
      <c r="F16" s="19" t="s">
        <v>574</v>
      </c>
      <c r="G16" s="19" t="s">
        <v>573</v>
      </c>
      <c r="H16" s="19" t="s">
        <v>573</v>
      </c>
      <c r="I16" s="19" t="s">
        <v>573</v>
      </c>
      <c r="J16" s="19" t="s">
        <v>573</v>
      </c>
      <c r="K16" s="19"/>
      <c r="L16" s="19"/>
      <c r="M16" s="19" t="s">
        <v>572</v>
      </c>
      <c r="N16" s="19" t="s">
        <v>573</v>
      </c>
      <c r="O16" s="19" t="s">
        <v>573</v>
      </c>
      <c r="P16" s="19" t="s">
        <v>573</v>
      </c>
      <c r="Q16" s="19"/>
      <c r="R16" s="19"/>
      <c r="T16" s="41"/>
    </row>
    <row r="17" spans="1:29" ht="16.5" customHeight="1">
      <c r="A17" s="36" t="s">
        <v>366</v>
      </c>
      <c r="B17" s="19"/>
      <c r="C17" s="19"/>
      <c r="D17" s="19"/>
      <c r="E17" s="19"/>
      <c r="F17" s="19"/>
      <c r="G17" s="19"/>
      <c r="H17" s="19"/>
      <c r="I17" s="19"/>
      <c r="J17" s="19"/>
      <c r="K17" s="19"/>
      <c r="L17" s="19"/>
      <c r="M17" s="19"/>
      <c r="N17" s="19"/>
      <c r="O17" s="19"/>
      <c r="P17" s="19"/>
      <c r="Q17" s="19"/>
      <c r="R17" s="19"/>
      <c r="T17" s="41"/>
    </row>
    <row r="18" spans="1:29" ht="16.5" customHeight="1">
      <c r="A18" s="42"/>
      <c r="B18" s="37"/>
      <c r="C18" s="37"/>
      <c r="D18" s="37"/>
      <c r="E18" s="37"/>
      <c r="F18" s="37"/>
      <c r="G18" s="37"/>
      <c r="H18" s="38"/>
      <c r="I18" s="38"/>
      <c r="J18" s="38"/>
      <c r="K18" s="38"/>
      <c r="L18" s="38"/>
      <c r="M18" s="38"/>
      <c r="N18" s="38"/>
      <c r="O18" s="38"/>
      <c r="P18" s="37"/>
      <c r="Q18" s="37"/>
      <c r="R18" s="39"/>
      <c r="T18" s="41"/>
      <c r="X18" s="40" t="s">
        <v>571</v>
      </c>
    </row>
    <row r="19" spans="1:29" ht="16.5" customHeight="1">
      <c r="A19" s="23" t="s">
        <v>354</v>
      </c>
      <c r="B19" s="25">
        <v>43972</v>
      </c>
      <c r="C19" s="25">
        <v>43973</v>
      </c>
      <c r="D19" s="30">
        <v>43974</v>
      </c>
      <c r="E19" s="30">
        <v>43975</v>
      </c>
      <c r="F19" s="25">
        <v>43976</v>
      </c>
      <c r="G19" s="25">
        <v>43977</v>
      </c>
      <c r="H19" s="25">
        <v>43978</v>
      </c>
      <c r="I19" s="25">
        <v>43979</v>
      </c>
      <c r="J19" s="25">
        <v>43980</v>
      </c>
      <c r="K19" s="30">
        <v>43981</v>
      </c>
      <c r="L19" s="30">
        <v>43982</v>
      </c>
      <c r="M19" s="26" t="s">
        <v>355</v>
      </c>
      <c r="N19" s="27">
        <v>43983</v>
      </c>
      <c r="O19" s="27">
        <v>43984</v>
      </c>
      <c r="P19" s="27">
        <v>43985</v>
      </c>
      <c r="Q19" s="27">
        <v>43986</v>
      </c>
      <c r="R19" s="27">
        <v>43987</v>
      </c>
      <c r="T19" s="41"/>
      <c r="V19" s="40" t="s">
        <v>63</v>
      </c>
      <c r="X19" s="40" t="s">
        <v>64</v>
      </c>
      <c r="Z19" s="40" t="s">
        <v>65</v>
      </c>
      <c r="AB19" s="40" t="s">
        <v>169</v>
      </c>
    </row>
    <row r="20" spans="1:29" ht="16.5" customHeight="1">
      <c r="A20" s="36">
        <v>1</v>
      </c>
      <c r="B20" s="19"/>
      <c r="C20" s="19"/>
      <c r="D20" s="19" t="s">
        <v>601</v>
      </c>
      <c r="E20" s="19" t="s">
        <v>600</v>
      </c>
      <c r="F20" s="19"/>
      <c r="G20" s="19"/>
      <c r="H20" s="19"/>
      <c r="I20" s="19"/>
      <c r="J20" s="19"/>
      <c r="K20" s="19" t="s">
        <v>596</v>
      </c>
      <c r="L20" s="19" t="s">
        <v>595</v>
      </c>
      <c r="M20" s="28"/>
      <c r="N20" s="19"/>
      <c r="O20" s="19"/>
      <c r="P20" s="19"/>
      <c r="Q20" s="19"/>
      <c r="R20" s="19"/>
      <c r="T20" s="41"/>
      <c r="V20" s="40" t="s">
        <v>25</v>
      </c>
      <c r="W20" s="40">
        <v>2</v>
      </c>
      <c r="X20" s="40" t="s">
        <v>45</v>
      </c>
      <c r="Y20" s="40">
        <v>1</v>
      </c>
      <c r="Z20" s="40" t="s">
        <v>34</v>
      </c>
      <c r="AB20" s="40" t="s">
        <v>153</v>
      </c>
      <c r="AC20" s="40">
        <v>2</v>
      </c>
    </row>
    <row r="21" spans="1:29" ht="16.5" customHeight="1">
      <c r="A21" s="36">
        <v>2</v>
      </c>
      <c r="B21" s="19"/>
      <c r="C21" s="19"/>
      <c r="D21" s="19" t="s">
        <v>590</v>
      </c>
      <c r="E21" s="19" t="s">
        <v>591</v>
      </c>
      <c r="F21" s="19"/>
      <c r="G21" s="19"/>
      <c r="H21" s="19"/>
      <c r="I21" s="19"/>
      <c r="J21" s="19"/>
      <c r="K21" s="19" t="s">
        <v>592</v>
      </c>
      <c r="L21" s="19" t="s">
        <v>593</v>
      </c>
      <c r="M21" s="28"/>
      <c r="N21" s="19"/>
      <c r="O21" s="19"/>
      <c r="P21" s="19"/>
      <c r="Q21" s="19"/>
      <c r="R21" s="19"/>
      <c r="T21" s="41"/>
      <c r="V21" s="40" t="s">
        <v>2</v>
      </c>
      <c r="W21" s="40">
        <v>2</v>
      </c>
      <c r="X21" s="40" t="s">
        <v>46</v>
      </c>
      <c r="Y21" s="40">
        <v>2</v>
      </c>
      <c r="Z21" s="40" t="s">
        <v>35</v>
      </c>
      <c r="AB21" s="40" t="s">
        <v>26</v>
      </c>
      <c r="AC21" s="40">
        <v>1</v>
      </c>
    </row>
    <row r="22" spans="1:29" ht="16.5" customHeight="1">
      <c r="A22" s="36">
        <v>3</v>
      </c>
      <c r="B22" s="19"/>
      <c r="C22" s="19"/>
      <c r="D22" s="19" t="s">
        <v>542</v>
      </c>
      <c r="E22" s="19" t="s">
        <v>542</v>
      </c>
      <c r="F22" s="19"/>
      <c r="G22" s="19"/>
      <c r="H22" s="19"/>
      <c r="I22" s="19"/>
      <c r="J22" s="19"/>
      <c r="K22" s="19" t="s">
        <v>542</v>
      </c>
      <c r="L22" s="19" t="s">
        <v>542</v>
      </c>
      <c r="M22" s="28"/>
      <c r="N22" s="19"/>
      <c r="O22" s="19"/>
      <c r="P22" s="19"/>
      <c r="Q22" s="19"/>
      <c r="R22" s="19"/>
      <c r="T22" s="41"/>
      <c r="V22" s="40" t="s">
        <v>14</v>
      </c>
      <c r="W22" s="40">
        <v>2</v>
      </c>
      <c r="X22" s="40" t="s">
        <v>6</v>
      </c>
      <c r="Y22" s="40">
        <v>1</v>
      </c>
      <c r="Z22" s="40" t="s">
        <v>8</v>
      </c>
      <c r="AB22" s="40" t="s">
        <v>6</v>
      </c>
      <c r="AC22" s="40">
        <v>1</v>
      </c>
    </row>
    <row r="23" spans="1:29" ht="16.5" customHeight="1">
      <c r="A23" s="36" t="s">
        <v>20</v>
      </c>
      <c r="B23" s="19" t="s">
        <v>580</v>
      </c>
      <c r="C23" s="19" t="s">
        <v>13</v>
      </c>
      <c r="D23" s="19" t="s">
        <v>13</v>
      </c>
      <c r="E23" s="19" t="s">
        <v>13</v>
      </c>
      <c r="F23" s="19" t="s">
        <v>581</v>
      </c>
      <c r="G23" s="19" t="s">
        <v>13</v>
      </c>
      <c r="H23" s="19" t="s">
        <v>13</v>
      </c>
      <c r="I23" s="19" t="s">
        <v>13</v>
      </c>
      <c r="J23" s="19" t="s">
        <v>13</v>
      </c>
      <c r="K23" s="19" t="s">
        <v>13</v>
      </c>
      <c r="L23" s="19" t="s">
        <v>13</v>
      </c>
      <c r="M23" s="28"/>
      <c r="N23" s="19" t="s">
        <v>582</v>
      </c>
      <c r="O23" s="19" t="s">
        <v>583</v>
      </c>
      <c r="P23" s="19" t="s">
        <v>583</v>
      </c>
      <c r="Q23" s="19" t="s">
        <v>583</v>
      </c>
      <c r="R23" s="19" t="s">
        <v>583</v>
      </c>
      <c r="T23" s="41"/>
      <c r="V23" s="40" t="s">
        <v>7</v>
      </c>
      <c r="W23" s="40">
        <v>2</v>
      </c>
      <c r="X23" s="40" t="s">
        <v>23</v>
      </c>
      <c r="Y23" s="40">
        <v>1</v>
      </c>
      <c r="Z23" s="40" t="s">
        <v>38</v>
      </c>
      <c r="AB23" s="40" t="s">
        <v>152</v>
      </c>
      <c r="AC23" s="40">
        <v>1</v>
      </c>
    </row>
    <row r="24" spans="1:29" ht="16.5" customHeight="1">
      <c r="A24" s="36" t="s">
        <v>0</v>
      </c>
      <c r="B24" s="19" t="s">
        <v>575</v>
      </c>
      <c r="C24" s="19" t="s">
        <v>573</v>
      </c>
      <c r="D24" s="19" t="s">
        <v>573</v>
      </c>
      <c r="E24" s="19"/>
      <c r="F24" s="19"/>
      <c r="G24" s="19"/>
      <c r="H24" s="19"/>
      <c r="I24" s="19" t="s">
        <v>575</v>
      </c>
      <c r="J24" s="19" t="s">
        <v>573</v>
      </c>
      <c r="K24" s="19" t="s">
        <v>573</v>
      </c>
      <c r="L24" s="19"/>
      <c r="M24" s="28"/>
      <c r="N24" s="19"/>
      <c r="O24" s="19"/>
      <c r="P24" s="19"/>
      <c r="Q24" s="19" t="s">
        <v>575</v>
      </c>
      <c r="R24" s="19" t="s">
        <v>573</v>
      </c>
      <c r="T24" s="41"/>
      <c r="V24" s="40" t="s">
        <v>21</v>
      </c>
      <c r="W24" s="40">
        <v>2</v>
      </c>
      <c r="X24" s="40" t="s">
        <v>153</v>
      </c>
      <c r="Y24" s="40">
        <v>1</v>
      </c>
      <c r="Z24" s="40" t="s">
        <v>36</v>
      </c>
      <c r="AB24" s="40" t="s">
        <v>23</v>
      </c>
      <c r="AC24" s="40">
        <v>1</v>
      </c>
    </row>
    <row r="25" spans="1:29" ht="16.5" customHeight="1">
      <c r="A25" s="36" t="s">
        <v>1</v>
      </c>
      <c r="B25" s="19" t="s">
        <v>572</v>
      </c>
      <c r="C25" s="19"/>
      <c r="D25" s="19"/>
      <c r="E25" s="19" t="s">
        <v>574</v>
      </c>
      <c r="F25" s="19" t="s">
        <v>573</v>
      </c>
      <c r="G25" s="19" t="s">
        <v>573</v>
      </c>
      <c r="H25" s="19" t="s">
        <v>573</v>
      </c>
      <c r="I25" s="19" t="s">
        <v>573</v>
      </c>
      <c r="J25" s="19"/>
      <c r="K25" s="19"/>
      <c r="L25" s="19" t="s">
        <v>572</v>
      </c>
      <c r="M25" s="28"/>
      <c r="N25" s="19" t="s">
        <v>572</v>
      </c>
      <c r="O25" s="19" t="s">
        <v>573</v>
      </c>
      <c r="P25" s="19" t="s">
        <v>573</v>
      </c>
      <c r="Q25" s="19" t="s">
        <v>573</v>
      </c>
      <c r="R25" s="19"/>
      <c r="T25" s="41"/>
      <c r="V25" s="40" t="s">
        <v>26</v>
      </c>
      <c r="W25" s="40">
        <v>2</v>
      </c>
      <c r="X25" s="40" t="s">
        <v>327</v>
      </c>
      <c r="Y25" s="40">
        <v>2</v>
      </c>
      <c r="Z25" s="40" t="s">
        <v>37</v>
      </c>
      <c r="AB25" s="40" t="s">
        <v>25</v>
      </c>
      <c r="AC25" s="40">
        <v>1</v>
      </c>
    </row>
    <row r="26" spans="1:29" ht="16.5" customHeight="1">
      <c r="A26" s="36" t="s">
        <v>366</v>
      </c>
      <c r="B26" s="19"/>
      <c r="C26" s="19"/>
      <c r="D26" s="19"/>
      <c r="E26" s="19"/>
      <c r="F26" s="19"/>
      <c r="G26" s="19"/>
      <c r="H26" s="19"/>
      <c r="I26" s="19"/>
      <c r="J26" s="19"/>
      <c r="K26" s="19"/>
      <c r="L26" s="19"/>
      <c r="M26" s="28"/>
      <c r="N26" s="19"/>
      <c r="O26" s="19"/>
      <c r="P26" s="19"/>
      <c r="Q26" s="19"/>
      <c r="R26" s="19"/>
      <c r="T26" s="41"/>
      <c r="V26" s="40" t="s">
        <v>27</v>
      </c>
      <c r="W26" s="40">
        <v>1</v>
      </c>
      <c r="X26" s="40" t="s">
        <v>28</v>
      </c>
      <c r="Y26" s="40">
        <v>2</v>
      </c>
      <c r="Z26" s="40" t="s">
        <v>249</v>
      </c>
      <c r="AB26" s="40" t="s">
        <v>327</v>
      </c>
      <c r="AC26" s="40">
        <v>1</v>
      </c>
    </row>
    <row r="27" spans="1:29" ht="16.5" customHeight="1">
      <c r="A27" s="26" t="s">
        <v>355</v>
      </c>
      <c r="B27" s="31">
        <v>43988</v>
      </c>
      <c r="C27" s="31">
        <v>43989</v>
      </c>
      <c r="D27" s="27">
        <v>43990</v>
      </c>
      <c r="E27" s="27">
        <v>43991</v>
      </c>
      <c r="F27" s="27">
        <v>43992</v>
      </c>
      <c r="G27" s="27">
        <v>43993</v>
      </c>
      <c r="H27" s="27">
        <v>43994</v>
      </c>
      <c r="I27" s="31">
        <v>43995</v>
      </c>
      <c r="J27" s="31">
        <v>43996</v>
      </c>
      <c r="K27" s="27">
        <v>43997</v>
      </c>
      <c r="L27" s="27">
        <v>43998</v>
      </c>
      <c r="M27" s="27">
        <v>43999</v>
      </c>
      <c r="N27" s="27">
        <v>44000</v>
      </c>
      <c r="O27" s="27">
        <v>44001</v>
      </c>
      <c r="P27" s="31">
        <v>44002</v>
      </c>
      <c r="Q27" s="27"/>
      <c r="R27" s="19"/>
      <c r="T27" s="41"/>
      <c r="V27" s="40" t="s">
        <v>533</v>
      </c>
      <c r="W27" s="40">
        <v>2</v>
      </c>
      <c r="X27" s="40" t="s">
        <v>152</v>
      </c>
      <c r="Y27" s="40">
        <v>2</v>
      </c>
      <c r="AB27" s="40" t="s">
        <v>249</v>
      </c>
    </row>
    <row r="28" spans="1:29" ht="16.5" customHeight="1">
      <c r="A28" s="28">
        <v>1</v>
      </c>
      <c r="B28" s="19" t="s">
        <v>594</v>
      </c>
      <c r="C28" s="19" t="s">
        <v>599</v>
      </c>
      <c r="D28" s="19"/>
      <c r="E28" s="19"/>
      <c r="F28" s="19"/>
      <c r="G28" s="19"/>
      <c r="H28" s="19"/>
      <c r="I28" s="19" t="s">
        <v>598</v>
      </c>
      <c r="J28" s="19" t="s">
        <v>597</v>
      </c>
      <c r="K28" s="19"/>
      <c r="L28" s="19"/>
      <c r="M28" s="19"/>
      <c r="N28" s="19"/>
      <c r="O28" s="19"/>
      <c r="P28" s="19" t="s">
        <v>600</v>
      </c>
      <c r="Q28" s="19"/>
      <c r="R28" s="19"/>
      <c r="T28" s="41"/>
      <c r="X28" s="40" t="s">
        <v>249</v>
      </c>
      <c r="Y28" s="40">
        <v>1</v>
      </c>
      <c r="AB28" s="40" t="s">
        <v>516</v>
      </c>
      <c r="AC28" s="40">
        <v>1</v>
      </c>
    </row>
    <row r="29" spans="1:29" ht="16.5" customHeight="1">
      <c r="A29" s="28">
        <v>2</v>
      </c>
      <c r="B29" s="19" t="s">
        <v>586</v>
      </c>
      <c r="C29" s="19" t="s">
        <v>585</v>
      </c>
      <c r="D29" s="19"/>
      <c r="E29" s="19"/>
      <c r="F29" s="19"/>
      <c r="G29" s="19"/>
      <c r="H29" s="19"/>
      <c r="I29" s="19" t="s">
        <v>589</v>
      </c>
      <c r="J29" s="19" t="s">
        <v>584</v>
      </c>
      <c r="K29" s="19"/>
      <c r="L29" s="19"/>
      <c r="M29" s="19"/>
      <c r="N29" s="19"/>
      <c r="O29" s="19"/>
      <c r="P29" s="19" t="s">
        <v>590</v>
      </c>
      <c r="Q29" s="19"/>
      <c r="R29" s="19"/>
      <c r="T29" s="41"/>
      <c r="X29" s="40" t="s">
        <v>516</v>
      </c>
      <c r="Y29" s="40">
        <v>2</v>
      </c>
    </row>
    <row r="30" spans="1:29" ht="16.5" customHeight="1">
      <c r="A30" s="28">
        <v>3</v>
      </c>
      <c r="B30" s="19" t="s">
        <v>542</v>
      </c>
      <c r="C30" s="19" t="s">
        <v>542</v>
      </c>
      <c r="D30" s="19"/>
      <c r="E30" s="19"/>
      <c r="F30" s="19"/>
      <c r="G30" s="19"/>
      <c r="H30" s="19"/>
      <c r="I30" s="19" t="s">
        <v>542</v>
      </c>
      <c r="J30" s="19" t="s">
        <v>542</v>
      </c>
      <c r="K30" s="19"/>
      <c r="L30" s="19"/>
      <c r="M30" s="19"/>
      <c r="N30" s="19"/>
      <c r="O30" s="19"/>
      <c r="P30" s="19" t="s">
        <v>542</v>
      </c>
      <c r="Q30" s="19"/>
      <c r="R30" s="19"/>
      <c r="T30" s="41"/>
    </row>
    <row r="31" spans="1:29" ht="16.5" customHeight="1">
      <c r="A31" s="28" t="s">
        <v>20</v>
      </c>
      <c r="B31" s="19" t="s">
        <v>582</v>
      </c>
      <c r="C31" s="19" t="s">
        <v>13</v>
      </c>
      <c r="D31" s="19" t="s">
        <v>26</v>
      </c>
      <c r="E31" s="19" t="s">
        <v>13</v>
      </c>
      <c r="F31" s="19" t="s">
        <v>13</v>
      </c>
      <c r="G31" s="19" t="s">
        <v>13</v>
      </c>
      <c r="H31" s="19" t="s">
        <v>13</v>
      </c>
      <c r="I31" s="19" t="s">
        <v>13</v>
      </c>
      <c r="J31" s="19" t="s">
        <v>13</v>
      </c>
      <c r="K31" s="19" t="s">
        <v>153</v>
      </c>
      <c r="L31" s="19" t="s">
        <v>13</v>
      </c>
      <c r="M31" s="19" t="s">
        <v>13</v>
      </c>
      <c r="N31" s="19" t="s">
        <v>13</v>
      </c>
      <c r="O31" s="19" t="s">
        <v>13</v>
      </c>
      <c r="P31" s="19" t="s">
        <v>13</v>
      </c>
      <c r="Q31" s="19"/>
      <c r="R31" s="19"/>
      <c r="T31" s="41"/>
    </row>
    <row r="32" spans="1:29" ht="16.5" customHeight="1">
      <c r="A32" s="28" t="s">
        <v>0</v>
      </c>
      <c r="B32" s="19" t="s">
        <v>575</v>
      </c>
      <c r="C32" s="19"/>
      <c r="D32" s="19"/>
      <c r="E32" s="19"/>
      <c r="F32" s="19"/>
      <c r="G32" s="19" t="s">
        <v>575</v>
      </c>
      <c r="H32" s="19" t="s">
        <v>573</v>
      </c>
      <c r="I32" s="19" t="s">
        <v>573</v>
      </c>
      <c r="J32" s="19"/>
      <c r="K32" s="19"/>
      <c r="L32" s="19"/>
      <c r="M32" s="19"/>
      <c r="N32" s="19" t="s">
        <v>575</v>
      </c>
      <c r="O32" s="19" t="s">
        <v>573</v>
      </c>
      <c r="P32" s="19" t="s">
        <v>573</v>
      </c>
      <c r="Q32" s="19"/>
      <c r="R32" s="19"/>
      <c r="T32" s="41"/>
      <c r="V32" s="40" t="s">
        <v>602</v>
      </c>
      <c r="W32" s="40">
        <f>SUM(W19:W31)</f>
        <v>15</v>
      </c>
      <c r="Y32" s="40">
        <f>SUM(Y19:Y31)</f>
        <v>15</v>
      </c>
      <c r="AA32" s="40">
        <f>SUM(AA19:AA31)</f>
        <v>0</v>
      </c>
      <c r="AC32" s="40">
        <f>SUM(AC19:AC31)</f>
        <v>9</v>
      </c>
    </row>
    <row r="33" spans="1:20" ht="16.5" customHeight="1">
      <c r="A33" s="28" t="s">
        <v>1</v>
      </c>
      <c r="B33" s="19"/>
      <c r="C33" s="19" t="s">
        <v>574</v>
      </c>
      <c r="D33" s="19" t="s">
        <v>573</v>
      </c>
      <c r="E33" s="19" t="s">
        <v>573</v>
      </c>
      <c r="F33" s="19" t="s">
        <v>573</v>
      </c>
      <c r="G33" s="19" t="s">
        <v>573</v>
      </c>
      <c r="H33" s="19"/>
      <c r="I33" s="19"/>
      <c r="J33" s="19" t="s">
        <v>572</v>
      </c>
      <c r="K33" s="19" t="s">
        <v>573</v>
      </c>
      <c r="L33" s="19" t="s">
        <v>573</v>
      </c>
      <c r="M33" s="19" t="s">
        <v>573</v>
      </c>
      <c r="N33" s="19" t="s">
        <v>573</v>
      </c>
      <c r="O33" s="19"/>
      <c r="P33" s="19"/>
      <c r="Q33" s="19"/>
      <c r="R33" s="19"/>
    </row>
    <row r="34" spans="1:20" ht="16.5" customHeight="1">
      <c r="A34" s="28" t="s">
        <v>366</v>
      </c>
      <c r="B34" s="19"/>
      <c r="C34" s="19"/>
      <c r="D34" s="19"/>
      <c r="E34" s="19"/>
      <c r="F34" s="19"/>
      <c r="G34" s="19"/>
      <c r="H34" s="19"/>
      <c r="I34" s="19"/>
      <c r="J34" s="19"/>
      <c r="K34" s="19"/>
      <c r="L34" s="19"/>
      <c r="M34" s="19"/>
      <c r="N34" s="19"/>
      <c r="O34" s="19"/>
      <c r="P34" s="19"/>
      <c r="Q34" s="19"/>
      <c r="R34" s="19"/>
    </row>
    <row r="35" spans="1:20" ht="12.75" customHeight="1">
      <c r="Q35" s="145" t="s">
        <v>82</v>
      </c>
      <c r="R35" s="145"/>
      <c r="T35" s="41"/>
    </row>
    <row r="36" spans="1:20">
      <c r="A36" s="40" t="s">
        <v>322</v>
      </c>
      <c r="H36" s="43"/>
      <c r="T36" s="41"/>
    </row>
    <row r="37" spans="1:20">
      <c r="A37" s="43" t="s">
        <v>21</v>
      </c>
      <c r="B37" s="43">
        <v>43946</v>
      </c>
      <c r="C37" s="43">
        <v>43947</v>
      </c>
      <c r="D37" s="43"/>
      <c r="E37" s="43"/>
      <c r="F37" s="43"/>
      <c r="G37" s="43"/>
      <c r="H37" s="43"/>
      <c r="I37" s="43"/>
      <c r="J37" s="43"/>
      <c r="K37" s="43"/>
      <c r="L37" s="43"/>
      <c r="M37" s="43"/>
      <c r="N37" s="43"/>
      <c r="O37" s="43"/>
      <c r="P37" s="43"/>
      <c r="Q37" s="43"/>
      <c r="R37" s="43"/>
      <c r="T37" s="41"/>
    </row>
    <row r="38" spans="1:20">
      <c r="A38" s="43" t="s">
        <v>28</v>
      </c>
      <c r="B38" s="43">
        <v>43981</v>
      </c>
      <c r="C38" s="43">
        <v>43982</v>
      </c>
      <c r="D38" s="43"/>
      <c r="E38" s="43"/>
      <c r="F38" s="43"/>
      <c r="G38" s="43"/>
      <c r="H38" s="43"/>
      <c r="I38" s="43"/>
      <c r="J38" s="43"/>
      <c r="K38" s="43"/>
      <c r="L38" s="43"/>
      <c r="M38" s="43"/>
      <c r="N38" s="43"/>
      <c r="O38" s="43"/>
      <c r="P38" s="43"/>
      <c r="Q38" s="43"/>
      <c r="R38" s="43"/>
      <c r="T38" s="41"/>
    </row>
    <row r="39" spans="1:20">
      <c r="A39" s="43" t="s">
        <v>26</v>
      </c>
      <c r="B39" s="43">
        <v>43981</v>
      </c>
      <c r="C39" s="43">
        <v>43988</v>
      </c>
      <c r="D39" s="43">
        <v>43995</v>
      </c>
      <c r="E39" s="43"/>
      <c r="F39" s="43"/>
      <c r="G39" s="43"/>
      <c r="H39" s="43"/>
      <c r="I39" s="43"/>
      <c r="J39" s="43"/>
      <c r="K39" s="43"/>
      <c r="L39" s="43"/>
      <c r="M39" s="43"/>
      <c r="N39" s="43"/>
      <c r="O39" s="43"/>
      <c r="P39" s="43"/>
      <c r="Q39" s="43"/>
      <c r="R39" s="43"/>
      <c r="T39" s="41"/>
    </row>
    <row r="40" spans="1:20">
      <c r="A40" s="43" t="s">
        <v>2</v>
      </c>
      <c r="B40" s="43">
        <v>43946</v>
      </c>
      <c r="C40" s="43">
        <v>43967</v>
      </c>
      <c r="D40" s="43">
        <v>43988</v>
      </c>
      <c r="E40" s="43"/>
      <c r="F40" s="43"/>
      <c r="G40" s="43"/>
      <c r="H40" s="43"/>
      <c r="I40" s="43"/>
      <c r="J40" s="43"/>
      <c r="K40" s="43"/>
      <c r="L40" s="43"/>
      <c r="M40" s="43"/>
      <c r="N40" s="43"/>
      <c r="O40" s="43"/>
      <c r="P40" s="43"/>
      <c r="Q40" s="43"/>
      <c r="R40" s="43"/>
    </row>
    <row r="41" spans="1:20">
      <c r="A41" s="43" t="s">
        <v>153</v>
      </c>
      <c r="B41" s="43">
        <v>43960</v>
      </c>
      <c r="C41" s="43">
        <v>43961</v>
      </c>
      <c r="D41" s="43"/>
      <c r="E41" s="43"/>
      <c r="F41" s="43"/>
      <c r="G41" s="43"/>
      <c r="H41" s="43"/>
      <c r="I41" s="43"/>
      <c r="J41" s="43"/>
      <c r="K41" s="43"/>
      <c r="L41" s="43"/>
      <c r="M41" s="43"/>
      <c r="N41" s="43"/>
      <c r="O41" s="43"/>
      <c r="P41" s="43"/>
      <c r="Q41" s="43"/>
      <c r="R41" s="43"/>
      <c r="T41" s="41"/>
    </row>
    <row r="42" spans="1:20">
      <c r="A42" s="43" t="s">
        <v>14</v>
      </c>
      <c r="B42" s="43">
        <v>43946</v>
      </c>
      <c r="C42" s="43">
        <v>43947</v>
      </c>
      <c r="D42" s="43"/>
      <c r="E42" s="43"/>
      <c r="F42" s="43"/>
      <c r="G42" s="43"/>
      <c r="H42" s="43"/>
      <c r="I42" s="43"/>
      <c r="J42" s="43"/>
      <c r="K42" s="43"/>
      <c r="L42" s="43"/>
      <c r="M42" s="43"/>
      <c r="N42" s="43"/>
      <c r="O42" s="43"/>
      <c r="P42" s="43"/>
      <c r="Q42" s="43"/>
      <c r="R42" s="43"/>
      <c r="T42" s="41"/>
    </row>
    <row r="43" spans="1:20">
      <c r="A43" s="43" t="s">
        <v>516</v>
      </c>
      <c r="B43" s="43">
        <v>43946</v>
      </c>
      <c r="C43" s="43">
        <v>43947</v>
      </c>
      <c r="D43" s="43">
        <v>43960</v>
      </c>
      <c r="E43" s="43">
        <v>43961</v>
      </c>
      <c r="F43" s="43">
        <v>43981</v>
      </c>
      <c r="G43" s="43">
        <v>43982</v>
      </c>
      <c r="H43" s="43"/>
      <c r="I43" s="43"/>
      <c r="J43" s="43"/>
      <c r="K43" s="43"/>
      <c r="L43" s="43"/>
      <c r="M43" s="43"/>
      <c r="N43" s="43"/>
      <c r="O43" s="43"/>
      <c r="P43" s="43"/>
      <c r="Q43" s="43"/>
      <c r="R43" s="43"/>
      <c r="T43" s="41"/>
    </row>
    <row r="44" spans="1:20">
      <c r="A44" s="43"/>
      <c r="B44" s="43"/>
      <c r="C44" s="43"/>
      <c r="D44" s="43"/>
      <c r="E44" s="43"/>
      <c r="F44" s="43"/>
      <c r="G44" s="43"/>
      <c r="H44" s="43"/>
      <c r="I44" s="43"/>
      <c r="J44" s="43"/>
      <c r="K44" s="43"/>
      <c r="L44" s="43"/>
      <c r="M44" s="43"/>
      <c r="N44" s="43"/>
      <c r="O44" s="43"/>
      <c r="P44" s="43"/>
      <c r="Q44" s="43"/>
      <c r="R44" s="43"/>
      <c r="T44" s="41"/>
    </row>
    <row r="45" spans="1:20">
      <c r="A45" s="43"/>
      <c r="B45" s="43"/>
      <c r="C45" s="43"/>
      <c r="D45" s="43"/>
      <c r="E45" s="43"/>
      <c r="F45" s="43"/>
      <c r="G45" s="43"/>
      <c r="H45" s="43"/>
      <c r="I45" s="43"/>
      <c r="J45" s="43"/>
      <c r="K45" s="43"/>
      <c r="L45" s="43"/>
      <c r="M45" s="43"/>
      <c r="N45" s="43"/>
      <c r="O45" s="43"/>
      <c r="P45" s="43"/>
      <c r="Q45" s="43"/>
      <c r="R45" s="43"/>
    </row>
    <row r="46" spans="1:20">
      <c r="A46" s="43"/>
      <c r="B46" s="43"/>
      <c r="C46" s="43"/>
      <c r="D46" s="43"/>
      <c r="E46" s="43"/>
      <c r="F46" s="43"/>
      <c r="G46" s="43"/>
      <c r="H46" s="43"/>
      <c r="I46" s="43"/>
      <c r="J46" s="43"/>
      <c r="K46" s="43"/>
      <c r="L46" s="43"/>
      <c r="M46" s="43"/>
      <c r="N46" s="43"/>
      <c r="O46" s="43"/>
      <c r="P46" s="43"/>
      <c r="Q46" s="43"/>
      <c r="R46" s="43"/>
      <c r="T46" s="41"/>
    </row>
    <row r="47" spans="1:20">
      <c r="A47" s="43"/>
      <c r="B47" s="43"/>
      <c r="C47" s="43"/>
      <c r="D47" s="43"/>
      <c r="E47" s="43"/>
      <c r="F47" s="43"/>
      <c r="G47" s="43"/>
      <c r="H47" s="43"/>
      <c r="I47" s="43"/>
      <c r="J47" s="43"/>
      <c r="K47" s="43"/>
      <c r="L47" s="43"/>
      <c r="M47" s="43"/>
      <c r="N47" s="43"/>
      <c r="O47" s="43"/>
      <c r="P47" s="43"/>
      <c r="Q47" s="43"/>
      <c r="R47" s="43"/>
      <c r="T47" s="41"/>
    </row>
    <row r="48" spans="1:20">
      <c r="A48" s="43"/>
      <c r="B48" s="43"/>
      <c r="C48" s="43"/>
      <c r="D48" s="43"/>
      <c r="E48" s="43"/>
      <c r="F48" s="43"/>
      <c r="G48" s="43"/>
      <c r="H48" s="43"/>
      <c r="I48" s="43"/>
      <c r="J48" s="43"/>
      <c r="K48" s="43"/>
      <c r="L48" s="43"/>
      <c r="M48" s="43"/>
      <c r="N48" s="43"/>
      <c r="O48" s="43"/>
      <c r="P48" s="43"/>
      <c r="Q48" s="43"/>
      <c r="R48" s="43"/>
      <c r="T48" s="41"/>
    </row>
    <row r="49" spans="1:18">
      <c r="A49" s="43"/>
      <c r="B49" s="43"/>
      <c r="C49" s="43"/>
      <c r="D49" s="43"/>
      <c r="E49" s="43"/>
      <c r="F49" s="43"/>
      <c r="G49" s="43"/>
      <c r="H49" s="43"/>
      <c r="I49" s="43"/>
      <c r="J49" s="43"/>
      <c r="K49" s="43"/>
      <c r="L49" s="43"/>
      <c r="M49" s="43"/>
      <c r="N49" s="43"/>
      <c r="O49" s="43"/>
      <c r="P49" s="43"/>
      <c r="Q49" s="43"/>
      <c r="R49" s="43"/>
    </row>
    <row r="50" spans="1:18">
      <c r="A50" s="43"/>
      <c r="B50" s="43"/>
      <c r="C50" s="43"/>
      <c r="D50" s="43"/>
      <c r="E50" s="43"/>
      <c r="F50" s="43"/>
      <c r="G50" s="43"/>
      <c r="H50" s="43"/>
      <c r="I50" s="43"/>
      <c r="J50" s="43"/>
      <c r="K50" s="43"/>
      <c r="L50" s="43"/>
      <c r="M50" s="43"/>
      <c r="N50" s="43"/>
      <c r="O50" s="43"/>
      <c r="P50" s="43"/>
      <c r="Q50" s="43"/>
      <c r="R50" s="43"/>
    </row>
    <row r="51" spans="1:18">
      <c r="A51" s="43"/>
      <c r="B51" s="43"/>
      <c r="C51" s="43"/>
      <c r="D51" s="43"/>
      <c r="E51" s="43"/>
      <c r="F51" s="43"/>
      <c r="G51" s="43"/>
      <c r="H51" s="43"/>
      <c r="I51" s="43"/>
      <c r="J51" s="43"/>
      <c r="K51" s="43"/>
      <c r="L51" s="43"/>
      <c r="M51" s="43"/>
      <c r="N51" s="43"/>
      <c r="O51" s="43"/>
      <c r="P51" s="43"/>
      <c r="Q51" s="43"/>
      <c r="R51" s="43"/>
    </row>
  </sheetData>
  <mergeCells count="2">
    <mergeCell ref="A1:R1"/>
    <mergeCell ref="Q35:R35"/>
  </mergeCells>
  <phoneticPr fontId="2"/>
  <pageMargins left="0.70866141732283472" right="0.70866141732283472" top="0" bottom="0" header="0.31496062992125984" footer="0.31496062992125984"/>
  <pageSetup paperSize="9" orientation="landscape" r:id="rId1"/>
  <drawing r:id="rId2"/>
  <legacyDrawing r:id="rId3"/>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51"/>
  <sheetViews>
    <sheetView topLeftCell="A16" zoomScaleNormal="100" workbookViewId="0">
      <selection activeCell="I13" sqref="I13"/>
    </sheetView>
  </sheetViews>
  <sheetFormatPr defaultColWidth="9" defaultRowHeight="18.75"/>
  <cols>
    <col min="1" max="18" width="6.625" style="40" customWidth="1"/>
    <col min="19" max="19" width="3.625" style="40" customWidth="1"/>
    <col min="20" max="20" width="6.625" style="40" customWidth="1"/>
    <col min="21" max="21" width="3.625" style="40" customWidth="1"/>
    <col min="22" max="37" width="6.625" style="40" customWidth="1"/>
    <col min="38" max="38" width="3.625" style="40" customWidth="1"/>
    <col min="39" max="16384" width="9" style="40"/>
  </cols>
  <sheetData>
    <row r="1" spans="1:29">
      <c r="A1" s="147" t="s">
        <v>541</v>
      </c>
      <c r="B1" s="147"/>
      <c r="C1" s="147"/>
      <c r="D1" s="147"/>
      <c r="E1" s="147"/>
      <c r="F1" s="147"/>
      <c r="G1" s="147"/>
      <c r="H1" s="147"/>
      <c r="I1" s="147"/>
      <c r="J1" s="147"/>
      <c r="K1" s="147"/>
      <c r="L1" s="147"/>
      <c r="M1" s="147"/>
      <c r="N1" s="147"/>
      <c r="O1" s="147"/>
      <c r="P1" s="147"/>
      <c r="Q1" s="147"/>
      <c r="R1" s="147"/>
      <c r="X1" s="40" t="s">
        <v>495</v>
      </c>
    </row>
    <row r="2" spans="1:29" ht="16.5" customHeight="1">
      <c r="A2" s="26" t="s">
        <v>279</v>
      </c>
      <c r="B2" s="27">
        <v>43882</v>
      </c>
      <c r="C2" s="31">
        <v>43883</v>
      </c>
      <c r="D2" s="31">
        <v>43884</v>
      </c>
      <c r="E2" s="27">
        <v>43885</v>
      </c>
      <c r="F2" s="27">
        <v>43886</v>
      </c>
      <c r="G2" s="27">
        <v>43887</v>
      </c>
      <c r="H2" s="27">
        <v>43888</v>
      </c>
      <c r="I2" s="27">
        <v>43889</v>
      </c>
      <c r="J2" s="31">
        <v>43890</v>
      </c>
      <c r="K2" s="27"/>
      <c r="L2" s="27"/>
      <c r="M2" s="23" t="s">
        <v>324</v>
      </c>
      <c r="N2" s="30">
        <v>43891</v>
      </c>
      <c r="O2" s="25">
        <v>43892</v>
      </c>
      <c r="P2" s="25">
        <v>43893</v>
      </c>
      <c r="Q2" s="25">
        <v>43894</v>
      </c>
      <c r="R2" s="25">
        <v>43895</v>
      </c>
      <c r="V2" s="40" t="s">
        <v>63</v>
      </c>
      <c r="X2" s="40" t="s">
        <v>64</v>
      </c>
      <c r="Z2" s="40" t="s">
        <v>65</v>
      </c>
      <c r="AB2" s="40" t="s">
        <v>169</v>
      </c>
    </row>
    <row r="3" spans="1:29" ht="16.5" customHeight="1">
      <c r="A3" s="28">
        <v>1</v>
      </c>
      <c r="B3" s="19"/>
      <c r="C3" s="19" t="s">
        <v>558</v>
      </c>
      <c r="D3" s="19" t="s">
        <v>557</v>
      </c>
      <c r="E3" s="19"/>
      <c r="F3" s="19"/>
      <c r="G3" s="19"/>
      <c r="H3" s="19"/>
      <c r="I3" s="19"/>
      <c r="J3" s="19" t="s">
        <v>559</v>
      </c>
      <c r="K3" s="19"/>
      <c r="L3" s="19"/>
      <c r="M3" s="36"/>
      <c r="N3" s="19" t="s">
        <v>560</v>
      </c>
      <c r="O3" s="19"/>
      <c r="P3" s="19"/>
      <c r="Q3" s="19"/>
      <c r="R3" s="19"/>
      <c r="V3" s="40" t="s">
        <v>25</v>
      </c>
      <c r="W3" s="40">
        <v>2</v>
      </c>
      <c r="X3" s="40" t="s">
        <v>45</v>
      </c>
      <c r="Y3" s="40">
        <v>3</v>
      </c>
      <c r="Z3" s="40" t="s">
        <v>34</v>
      </c>
      <c r="AB3" s="40" t="s">
        <v>153</v>
      </c>
      <c r="AC3" s="40">
        <v>1</v>
      </c>
    </row>
    <row r="4" spans="1:29" ht="16.5" customHeight="1">
      <c r="A4" s="28">
        <v>2</v>
      </c>
      <c r="B4" s="19"/>
      <c r="C4" s="19" t="s">
        <v>552</v>
      </c>
      <c r="D4" s="19" t="s">
        <v>568</v>
      </c>
      <c r="E4" s="19"/>
      <c r="F4" s="19"/>
      <c r="G4" s="19"/>
      <c r="H4" s="19"/>
      <c r="I4" s="19"/>
      <c r="J4" s="19" t="s">
        <v>249</v>
      </c>
      <c r="K4" s="19"/>
      <c r="L4" s="19"/>
      <c r="M4" s="36"/>
      <c r="N4" s="19" t="s">
        <v>553</v>
      </c>
      <c r="O4" s="19"/>
      <c r="P4" s="19"/>
      <c r="Q4" s="19"/>
      <c r="R4" s="19"/>
      <c r="T4" s="41"/>
      <c r="U4" s="41"/>
      <c r="V4" s="40" t="s">
        <v>2</v>
      </c>
      <c r="W4" s="40">
        <v>2</v>
      </c>
      <c r="X4" s="40" t="s">
        <v>46</v>
      </c>
      <c r="Y4" s="40">
        <v>2</v>
      </c>
      <c r="Z4" s="40" t="s">
        <v>35</v>
      </c>
      <c r="AB4" s="40" t="s">
        <v>26</v>
      </c>
      <c r="AC4" s="40">
        <v>1</v>
      </c>
    </row>
    <row r="5" spans="1:29" ht="16.5" customHeight="1">
      <c r="A5" s="28">
        <v>3</v>
      </c>
      <c r="B5" s="19"/>
      <c r="C5" s="19" t="s">
        <v>542</v>
      </c>
      <c r="D5" s="19" t="s">
        <v>542</v>
      </c>
      <c r="E5" s="19"/>
      <c r="F5" s="19"/>
      <c r="G5" s="19"/>
      <c r="H5" s="19"/>
      <c r="I5" s="19"/>
      <c r="J5" s="19" t="s">
        <v>542</v>
      </c>
      <c r="K5" s="19"/>
      <c r="L5" s="19"/>
      <c r="M5" s="36"/>
      <c r="N5" s="19" t="s">
        <v>542</v>
      </c>
      <c r="O5" s="19"/>
      <c r="P5" s="19"/>
      <c r="Q5" s="19"/>
      <c r="R5" s="19"/>
      <c r="T5" s="41"/>
      <c r="U5" s="41"/>
      <c r="V5" s="40" t="s">
        <v>14</v>
      </c>
      <c r="W5" s="40">
        <v>2</v>
      </c>
      <c r="X5" s="40" t="s">
        <v>6</v>
      </c>
      <c r="Y5" s="40">
        <v>1</v>
      </c>
      <c r="Z5" s="40" t="s">
        <v>8</v>
      </c>
      <c r="AB5" s="40" t="s">
        <v>6</v>
      </c>
      <c r="AC5" s="40">
        <v>1</v>
      </c>
    </row>
    <row r="6" spans="1:29" ht="16.5" customHeight="1">
      <c r="A6" s="28" t="s">
        <v>20</v>
      </c>
      <c r="B6" s="19" t="s">
        <v>327</v>
      </c>
      <c r="C6" s="19" t="s">
        <v>13</v>
      </c>
      <c r="D6" s="19" t="s">
        <v>13</v>
      </c>
      <c r="E6" s="19" t="s">
        <v>152</v>
      </c>
      <c r="F6" s="19" t="s">
        <v>13</v>
      </c>
      <c r="G6" s="19" t="s">
        <v>13</v>
      </c>
      <c r="H6" s="19" t="s">
        <v>13</v>
      </c>
      <c r="I6" s="19" t="s">
        <v>13</v>
      </c>
      <c r="J6" s="19" t="s">
        <v>13</v>
      </c>
      <c r="K6" s="19"/>
      <c r="L6" s="19"/>
      <c r="M6" s="36"/>
      <c r="N6" s="19" t="s">
        <v>152</v>
      </c>
      <c r="O6" s="19" t="s">
        <v>153</v>
      </c>
      <c r="P6" s="19" t="s">
        <v>13</v>
      </c>
      <c r="Q6" s="19" t="s">
        <v>13</v>
      </c>
      <c r="R6" s="19" t="s">
        <v>13</v>
      </c>
      <c r="T6" s="41"/>
      <c r="U6" s="41"/>
      <c r="V6" s="40" t="s">
        <v>7</v>
      </c>
      <c r="W6" s="40">
        <v>2</v>
      </c>
      <c r="X6" s="40" t="s">
        <v>23</v>
      </c>
      <c r="Y6" s="40">
        <v>2</v>
      </c>
      <c r="Z6" s="40" t="s">
        <v>38</v>
      </c>
      <c r="AB6" s="40" t="s">
        <v>152</v>
      </c>
      <c r="AC6" s="40">
        <v>1</v>
      </c>
    </row>
    <row r="7" spans="1:29" ht="16.5" customHeight="1">
      <c r="A7" s="28" t="s">
        <v>0</v>
      </c>
      <c r="B7" s="19" t="s">
        <v>9</v>
      </c>
      <c r="C7" s="19" t="s">
        <v>13</v>
      </c>
      <c r="D7" s="19"/>
      <c r="E7" s="19"/>
      <c r="F7" s="19"/>
      <c r="G7" s="19"/>
      <c r="H7" s="19" t="s">
        <v>9</v>
      </c>
      <c r="I7" s="19" t="s">
        <v>13</v>
      </c>
      <c r="J7" s="19" t="s">
        <v>13</v>
      </c>
      <c r="K7" s="19"/>
      <c r="L7" s="19"/>
      <c r="M7" s="36"/>
      <c r="N7" s="19"/>
      <c r="O7" s="19"/>
      <c r="P7" s="19"/>
      <c r="Q7" s="19"/>
      <c r="R7" s="19" t="s">
        <v>9</v>
      </c>
      <c r="T7" s="41"/>
      <c r="U7" s="41"/>
      <c r="V7" s="40" t="s">
        <v>21</v>
      </c>
      <c r="W7" s="40">
        <v>2</v>
      </c>
      <c r="X7" s="40" t="s">
        <v>153</v>
      </c>
      <c r="Y7" s="40">
        <v>2</v>
      </c>
      <c r="Z7" s="40" t="s">
        <v>36</v>
      </c>
      <c r="AB7" s="40" t="s">
        <v>23</v>
      </c>
      <c r="AC7" s="40">
        <v>1</v>
      </c>
    </row>
    <row r="8" spans="1:29" ht="16.5" customHeight="1">
      <c r="A8" s="28" t="s">
        <v>1</v>
      </c>
      <c r="B8" s="19"/>
      <c r="C8" s="19"/>
      <c r="D8" s="19" t="s">
        <v>213</v>
      </c>
      <c r="E8" s="19" t="s">
        <v>13</v>
      </c>
      <c r="F8" s="19" t="s">
        <v>13</v>
      </c>
      <c r="G8" s="19" t="s">
        <v>13</v>
      </c>
      <c r="H8" s="19" t="s">
        <v>13</v>
      </c>
      <c r="I8" s="19"/>
      <c r="J8" s="19"/>
      <c r="K8" s="19"/>
      <c r="L8" s="19"/>
      <c r="M8" s="36"/>
      <c r="N8" s="19" t="s">
        <v>166</v>
      </c>
      <c r="O8" s="19" t="s">
        <v>13</v>
      </c>
      <c r="P8" s="19" t="s">
        <v>13</v>
      </c>
      <c r="Q8" s="19" t="s">
        <v>13</v>
      </c>
      <c r="R8" s="19" t="s">
        <v>13</v>
      </c>
      <c r="T8" s="41"/>
      <c r="V8" s="40" t="s">
        <v>26</v>
      </c>
      <c r="W8" s="40">
        <v>2</v>
      </c>
      <c r="X8" s="40" t="s">
        <v>327</v>
      </c>
      <c r="Y8" s="40">
        <v>1</v>
      </c>
      <c r="Z8" s="40" t="s">
        <v>37</v>
      </c>
      <c r="AB8" s="40" t="s">
        <v>25</v>
      </c>
      <c r="AC8" s="40">
        <v>1</v>
      </c>
    </row>
    <row r="9" spans="1:29" ht="16.5" customHeight="1">
      <c r="A9" s="28" t="s">
        <v>366</v>
      </c>
      <c r="B9" s="19"/>
      <c r="C9" s="19"/>
      <c r="D9" s="19"/>
      <c r="E9" s="19"/>
      <c r="F9" s="19"/>
      <c r="G9" s="19"/>
      <c r="H9" s="19"/>
      <c r="I9" s="19"/>
      <c r="J9" s="19"/>
      <c r="K9" s="19"/>
      <c r="L9" s="19"/>
      <c r="M9" s="36"/>
      <c r="N9" s="19"/>
      <c r="O9" s="19"/>
      <c r="P9" s="19"/>
      <c r="Q9" s="19"/>
      <c r="R9" s="19"/>
      <c r="T9" s="41"/>
      <c r="V9" s="40" t="s">
        <v>27</v>
      </c>
      <c r="W9" s="40">
        <v>2</v>
      </c>
      <c r="X9" s="40" t="s">
        <v>28</v>
      </c>
      <c r="Y9" s="40">
        <v>2</v>
      </c>
      <c r="Z9" s="40" t="s">
        <v>249</v>
      </c>
      <c r="AB9" s="40" t="s">
        <v>327</v>
      </c>
      <c r="AC9" s="40">
        <v>1</v>
      </c>
    </row>
    <row r="10" spans="1:29" ht="16.5" customHeight="1">
      <c r="A10" s="23" t="s">
        <v>324</v>
      </c>
      <c r="B10" s="25">
        <v>43896</v>
      </c>
      <c r="C10" s="30">
        <v>43897</v>
      </c>
      <c r="D10" s="30">
        <v>43898</v>
      </c>
      <c r="E10" s="25">
        <v>43899</v>
      </c>
      <c r="F10" s="25">
        <v>43900</v>
      </c>
      <c r="G10" s="25">
        <v>43901</v>
      </c>
      <c r="H10" s="25">
        <v>43902</v>
      </c>
      <c r="I10" s="25">
        <v>43903</v>
      </c>
      <c r="J10" s="30">
        <v>43904</v>
      </c>
      <c r="K10" s="30">
        <v>43905</v>
      </c>
      <c r="L10" s="25">
        <v>43906</v>
      </c>
      <c r="M10" s="25">
        <v>43907</v>
      </c>
      <c r="N10" s="25">
        <v>43908</v>
      </c>
      <c r="O10" s="25">
        <v>43909</v>
      </c>
      <c r="P10" s="25">
        <v>43910</v>
      </c>
      <c r="Q10" s="19"/>
      <c r="R10" s="19"/>
      <c r="T10" s="41"/>
      <c r="V10" s="40" t="s">
        <v>28</v>
      </c>
      <c r="W10" s="40">
        <v>0</v>
      </c>
      <c r="X10" s="40" t="s">
        <v>152</v>
      </c>
      <c r="Y10" s="40">
        <v>1</v>
      </c>
      <c r="AB10" s="40" t="s">
        <v>249</v>
      </c>
    </row>
    <row r="11" spans="1:29" ht="16.5" customHeight="1">
      <c r="A11" s="36">
        <v>1</v>
      </c>
      <c r="B11" s="19"/>
      <c r="C11" s="19" t="s">
        <v>561</v>
      </c>
      <c r="D11" s="19" t="s">
        <v>562</v>
      </c>
      <c r="E11" s="19"/>
      <c r="F11" s="19"/>
      <c r="G11" s="19"/>
      <c r="H11" s="19"/>
      <c r="I11" s="19"/>
      <c r="J11" s="19" t="s">
        <v>563</v>
      </c>
      <c r="K11" s="19" t="s">
        <v>564</v>
      </c>
      <c r="L11" s="19"/>
      <c r="M11" s="19"/>
      <c r="N11" s="19"/>
      <c r="O11" s="19"/>
      <c r="P11" s="19"/>
      <c r="Q11" s="19"/>
      <c r="R11" s="19"/>
      <c r="T11" s="41"/>
      <c r="V11" s="40" t="s">
        <v>533</v>
      </c>
      <c r="W11" s="40">
        <v>1</v>
      </c>
      <c r="X11" s="40" t="s">
        <v>249</v>
      </c>
      <c r="Y11" s="40">
        <v>2</v>
      </c>
      <c r="AB11" s="40" t="s">
        <v>516</v>
      </c>
      <c r="AC11" s="40">
        <v>1</v>
      </c>
    </row>
    <row r="12" spans="1:29" ht="16.5" customHeight="1">
      <c r="A12" s="36">
        <v>2</v>
      </c>
      <c r="B12" s="19"/>
      <c r="C12" s="19" t="s">
        <v>554</v>
      </c>
      <c r="D12" s="19" t="s">
        <v>327</v>
      </c>
      <c r="E12" s="19"/>
      <c r="F12" s="19"/>
      <c r="G12" s="19"/>
      <c r="H12" s="19"/>
      <c r="I12" s="19"/>
      <c r="J12" s="19" t="s">
        <v>46</v>
      </c>
      <c r="K12" s="19" t="s">
        <v>93</v>
      </c>
      <c r="L12" s="19"/>
      <c r="M12" s="19"/>
      <c r="N12" s="19"/>
      <c r="O12" s="19"/>
      <c r="P12" s="19"/>
      <c r="Q12" s="19"/>
      <c r="R12" s="19"/>
      <c r="T12" s="41"/>
      <c r="V12" s="40" t="s">
        <v>6</v>
      </c>
      <c r="W12" s="40">
        <v>1</v>
      </c>
    </row>
    <row r="13" spans="1:29" ht="16.5" customHeight="1">
      <c r="A13" s="36">
        <v>3</v>
      </c>
      <c r="B13" s="19"/>
      <c r="C13" s="19" t="s">
        <v>542</v>
      </c>
      <c r="D13" s="19" t="s">
        <v>542</v>
      </c>
      <c r="E13" s="19"/>
      <c r="F13" s="19"/>
      <c r="G13" s="19"/>
      <c r="H13" s="19"/>
      <c r="I13" s="19"/>
      <c r="J13" s="19" t="s">
        <v>542</v>
      </c>
      <c r="K13" s="19" t="s">
        <v>542</v>
      </c>
      <c r="L13" s="19"/>
      <c r="M13" s="19"/>
      <c r="N13" s="19"/>
      <c r="O13" s="19"/>
      <c r="P13" s="19"/>
      <c r="Q13" s="19"/>
      <c r="R13" s="19"/>
      <c r="T13" s="41"/>
    </row>
    <row r="14" spans="1:29" ht="16.5" customHeight="1">
      <c r="A14" s="36" t="s">
        <v>20</v>
      </c>
      <c r="B14" s="19" t="s">
        <v>153</v>
      </c>
      <c r="C14" s="19" t="s">
        <v>13</v>
      </c>
      <c r="D14" s="19" t="s">
        <v>13</v>
      </c>
      <c r="E14" s="19" t="s">
        <v>6</v>
      </c>
      <c r="F14" s="19" t="s">
        <v>13</v>
      </c>
      <c r="G14" s="19" t="s">
        <v>13</v>
      </c>
      <c r="H14" s="19" t="s">
        <v>13</v>
      </c>
      <c r="I14" s="19" t="s">
        <v>13</v>
      </c>
      <c r="J14" s="19" t="s">
        <v>13</v>
      </c>
      <c r="K14" s="19" t="s">
        <v>13</v>
      </c>
      <c r="L14" s="19" t="s">
        <v>23</v>
      </c>
      <c r="M14" s="19" t="s">
        <v>13</v>
      </c>
      <c r="N14" s="19" t="s">
        <v>13</v>
      </c>
      <c r="O14" s="19" t="s">
        <v>13</v>
      </c>
      <c r="P14" s="19" t="s">
        <v>13</v>
      </c>
      <c r="Q14" s="19"/>
      <c r="R14" s="19"/>
      <c r="T14" s="41"/>
    </row>
    <row r="15" spans="1:29" ht="16.5" customHeight="1">
      <c r="A15" s="36" t="s">
        <v>0</v>
      </c>
      <c r="B15" s="19" t="s">
        <v>9</v>
      </c>
      <c r="C15" s="19" t="s">
        <v>13</v>
      </c>
      <c r="D15" s="19"/>
      <c r="E15" s="19"/>
      <c r="F15" s="19"/>
      <c r="G15" s="19"/>
      <c r="H15" s="19" t="s">
        <v>9</v>
      </c>
      <c r="I15" s="19" t="s">
        <v>13</v>
      </c>
      <c r="J15" s="19" t="s">
        <v>13</v>
      </c>
      <c r="K15" s="19"/>
      <c r="L15" s="19"/>
      <c r="M15" s="19"/>
      <c r="N15" s="19"/>
      <c r="O15" s="19" t="s">
        <v>9</v>
      </c>
      <c r="P15" s="19" t="s">
        <v>13</v>
      </c>
      <c r="Q15" s="19"/>
      <c r="R15" s="19"/>
      <c r="T15" s="41"/>
      <c r="V15" s="40" t="s">
        <v>108</v>
      </c>
      <c r="W15" s="40">
        <f>SUM(W2:W14)</f>
        <v>16</v>
      </c>
      <c r="Y15" s="40">
        <f>SUM(Y2:Y14)</f>
        <v>16</v>
      </c>
      <c r="AA15" s="40">
        <f>SUM(AA2:AA14)</f>
        <v>0</v>
      </c>
      <c r="AC15" s="40">
        <f>SUM(AC2:AC14)</f>
        <v>8</v>
      </c>
    </row>
    <row r="16" spans="1:29" ht="16.5" customHeight="1">
      <c r="A16" s="36" t="s">
        <v>1</v>
      </c>
      <c r="B16" s="19"/>
      <c r="C16" s="19"/>
      <c r="D16" s="19" t="s">
        <v>213</v>
      </c>
      <c r="E16" s="19" t="s">
        <v>13</v>
      </c>
      <c r="F16" s="19" t="s">
        <v>13</v>
      </c>
      <c r="G16" s="19" t="s">
        <v>13</v>
      </c>
      <c r="H16" s="19" t="s">
        <v>13</v>
      </c>
      <c r="I16" s="19"/>
      <c r="J16" s="19"/>
      <c r="K16" s="19" t="s">
        <v>166</v>
      </c>
      <c r="L16" s="19" t="s">
        <v>13</v>
      </c>
      <c r="M16" s="19" t="s">
        <v>13</v>
      </c>
      <c r="N16" s="19" t="s">
        <v>13</v>
      </c>
      <c r="O16" s="19" t="s">
        <v>13</v>
      </c>
      <c r="P16" s="19"/>
      <c r="Q16" s="19"/>
      <c r="R16" s="19"/>
      <c r="T16" s="41"/>
    </row>
    <row r="17" spans="1:29" ht="16.5" customHeight="1">
      <c r="A17" s="36" t="s">
        <v>366</v>
      </c>
      <c r="B17" s="19"/>
      <c r="C17" s="19"/>
      <c r="D17" s="19"/>
      <c r="E17" s="19"/>
      <c r="F17" s="19"/>
      <c r="G17" s="19"/>
      <c r="H17" s="19"/>
      <c r="I17" s="19"/>
      <c r="J17" s="19"/>
      <c r="K17" s="19"/>
      <c r="L17" s="19"/>
      <c r="M17" s="19"/>
      <c r="N17" s="19"/>
      <c r="O17" s="19"/>
      <c r="P17" s="19"/>
      <c r="Q17" s="19"/>
      <c r="R17" s="19"/>
      <c r="T17" s="41"/>
    </row>
    <row r="18" spans="1:29" ht="16.5" customHeight="1">
      <c r="A18" s="42"/>
      <c r="B18" s="37"/>
      <c r="C18" s="37"/>
      <c r="D18" s="37"/>
      <c r="E18" s="37"/>
      <c r="F18" s="37"/>
      <c r="G18" s="37"/>
      <c r="H18" s="38"/>
      <c r="I18" s="38"/>
      <c r="J18" s="38"/>
      <c r="K18" s="38"/>
      <c r="L18" s="38"/>
      <c r="M18" s="38"/>
      <c r="N18" s="38"/>
      <c r="O18" s="38"/>
      <c r="P18" s="37"/>
      <c r="Q18" s="37"/>
      <c r="R18" s="39"/>
      <c r="T18" s="41"/>
      <c r="X18" s="40" t="s">
        <v>85</v>
      </c>
    </row>
    <row r="19" spans="1:29" ht="16.5" customHeight="1">
      <c r="A19" s="23" t="s">
        <v>324</v>
      </c>
      <c r="B19" s="30">
        <v>43911</v>
      </c>
      <c r="C19" s="30">
        <v>43912</v>
      </c>
      <c r="D19" s="25">
        <v>43913</v>
      </c>
      <c r="E19" s="25">
        <v>43914</v>
      </c>
      <c r="F19" s="25">
        <v>43915</v>
      </c>
      <c r="G19" s="25">
        <v>43916</v>
      </c>
      <c r="H19" s="25">
        <v>43917</v>
      </c>
      <c r="I19" s="30">
        <v>43918</v>
      </c>
      <c r="J19" s="30">
        <v>43919</v>
      </c>
      <c r="K19" s="25">
        <v>43920</v>
      </c>
      <c r="L19" s="25">
        <v>43921</v>
      </c>
      <c r="M19" s="26" t="s">
        <v>325</v>
      </c>
      <c r="N19" s="27">
        <v>43922</v>
      </c>
      <c r="O19" s="27">
        <v>43923</v>
      </c>
      <c r="P19" s="27">
        <v>43924</v>
      </c>
      <c r="Q19" s="31">
        <v>43925</v>
      </c>
      <c r="R19" s="31">
        <v>43926</v>
      </c>
      <c r="T19" s="41"/>
      <c r="V19" s="40" t="s">
        <v>63</v>
      </c>
      <c r="X19" s="40" t="s">
        <v>64</v>
      </c>
      <c r="Z19" s="40" t="s">
        <v>65</v>
      </c>
      <c r="AB19" s="40" t="s">
        <v>169</v>
      </c>
    </row>
    <row r="20" spans="1:29" ht="16.5" customHeight="1">
      <c r="A20" s="36">
        <v>1</v>
      </c>
      <c r="B20" s="19" t="s">
        <v>558</v>
      </c>
      <c r="C20" s="19" t="s">
        <v>557</v>
      </c>
      <c r="D20" s="19"/>
      <c r="E20" s="19"/>
      <c r="F20" s="19"/>
      <c r="G20" s="19"/>
      <c r="H20" s="19"/>
      <c r="I20" s="19" t="s">
        <v>560</v>
      </c>
      <c r="J20" s="19" t="s">
        <v>559</v>
      </c>
      <c r="K20" s="19"/>
      <c r="L20" s="19"/>
      <c r="M20" s="28"/>
      <c r="N20" s="19"/>
      <c r="O20" s="19"/>
      <c r="P20" s="19"/>
      <c r="Q20" s="19" t="s">
        <v>561</v>
      </c>
      <c r="R20" s="19" t="s">
        <v>562</v>
      </c>
      <c r="T20" s="41"/>
      <c r="V20" s="40" t="s">
        <v>25</v>
      </c>
      <c r="W20" s="40">
        <v>2</v>
      </c>
      <c r="X20" s="40" t="s">
        <v>45</v>
      </c>
      <c r="Y20" s="40">
        <v>2</v>
      </c>
      <c r="Z20" s="40" t="s">
        <v>34</v>
      </c>
      <c r="AB20" s="40" t="s">
        <v>153</v>
      </c>
    </row>
    <row r="21" spans="1:29" ht="16.5" customHeight="1">
      <c r="A21" s="36">
        <v>2</v>
      </c>
      <c r="B21" s="19" t="s">
        <v>152</v>
      </c>
      <c r="C21" s="19" t="s">
        <v>565</v>
      </c>
      <c r="D21" s="19"/>
      <c r="E21" s="19"/>
      <c r="F21" s="19"/>
      <c r="G21" s="19"/>
      <c r="H21" s="19"/>
      <c r="I21" s="19" t="s">
        <v>327</v>
      </c>
      <c r="J21" s="19" t="s">
        <v>28</v>
      </c>
      <c r="K21" s="19"/>
      <c r="L21" s="19"/>
      <c r="M21" s="28"/>
      <c r="N21" s="19"/>
      <c r="O21" s="19"/>
      <c r="P21" s="19"/>
      <c r="Q21" s="19" t="s">
        <v>249</v>
      </c>
      <c r="R21" s="19" t="s">
        <v>553</v>
      </c>
      <c r="T21" s="41"/>
      <c r="V21" s="40" t="s">
        <v>2</v>
      </c>
      <c r="W21" s="40">
        <v>2</v>
      </c>
      <c r="X21" s="40" t="s">
        <v>46</v>
      </c>
      <c r="Y21" s="40">
        <v>2</v>
      </c>
      <c r="Z21" s="40" t="s">
        <v>35</v>
      </c>
      <c r="AB21" s="40" t="s">
        <v>26</v>
      </c>
    </row>
    <row r="22" spans="1:29" ht="16.5" customHeight="1">
      <c r="A22" s="36">
        <v>3</v>
      </c>
      <c r="B22" s="19" t="s">
        <v>542</v>
      </c>
      <c r="C22" s="19" t="s">
        <v>542</v>
      </c>
      <c r="D22" s="19"/>
      <c r="E22" s="19"/>
      <c r="F22" s="19"/>
      <c r="G22" s="19"/>
      <c r="H22" s="19"/>
      <c r="I22" s="19" t="s">
        <v>542</v>
      </c>
      <c r="J22" s="19" t="s">
        <v>542</v>
      </c>
      <c r="K22" s="19"/>
      <c r="L22" s="19"/>
      <c r="M22" s="28"/>
      <c r="N22" s="19"/>
      <c r="O22" s="19"/>
      <c r="P22" s="19"/>
      <c r="Q22" s="19" t="s">
        <v>542</v>
      </c>
      <c r="R22" s="19" t="s">
        <v>542</v>
      </c>
      <c r="T22" s="41"/>
      <c r="V22" s="40" t="s">
        <v>14</v>
      </c>
      <c r="W22" s="40">
        <v>2</v>
      </c>
      <c r="X22" s="40" t="s">
        <v>6</v>
      </c>
      <c r="Y22" s="40">
        <v>2</v>
      </c>
      <c r="Z22" s="40" t="s">
        <v>8</v>
      </c>
      <c r="AB22" s="40" t="s">
        <v>6</v>
      </c>
    </row>
    <row r="23" spans="1:29" ht="16.5" customHeight="1">
      <c r="A23" s="36" t="s">
        <v>20</v>
      </c>
      <c r="B23" s="19" t="s">
        <v>23</v>
      </c>
      <c r="C23" s="19" t="s">
        <v>13</v>
      </c>
      <c r="D23" s="19" t="s">
        <v>25</v>
      </c>
      <c r="E23" s="19" t="s">
        <v>13</v>
      </c>
      <c r="F23" s="19" t="s">
        <v>13</v>
      </c>
      <c r="G23" s="19" t="s">
        <v>13</v>
      </c>
      <c r="H23" s="19" t="s">
        <v>13</v>
      </c>
      <c r="I23" s="19" t="s">
        <v>13</v>
      </c>
      <c r="J23" s="19" t="s">
        <v>13</v>
      </c>
      <c r="K23" s="19" t="s">
        <v>516</v>
      </c>
      <c r="L23" s="19" t="s">
        <v>13</v>
      </c>
      <c r="M23" s="28"/>
      <c r="N23" s="19" t="s">
        <v>516</v>
      </c>
      <c r="O23" s="19" t="s">
        <v>13</v>
      </c>
      <c r="P23" s="19" t="s">
        <v>13</v>
      </c>
      <c r="Q23" s="19" t="s">
        <v>13</v>
      </c>
      <c r="R23" s="19" t="s">
        <v>13</v>
      </c>
      <c r="T23" s="41"/>
      <c r="V23" s="40" t="s">
        <v>7</v>
      </c>
      <c r="W23" s="40">
        <v>2</v>
      </c>
      <c r="X23" s="40" t="s">
        <v>23</v>
      </c>
      <c r="Y23" s="40">
        <v>2</v>
      </c>
      <c r="Z23" s="40" t="s">
        <v>38</v>
      </c>
      <c r="AB23" s="40" t="s">
        <v>152</v>
      </c>
    </row>
    <row r="24" spans="1:29" ht="16.5" customHeight="1">
      <c r="A24" s="36" t="s">
        <v>0</v>
      </c>
      <c r="B24" s="19" t="s">
        <v>9</v>
      </c>
      <c r="C24" s="19"/>
      <c r="D24" s="19"/>
      <c r="E24" s="19"/>
      <c r="F24" s="19"/>
      <c r="G24" s="19" t="s">
        <v>9</v>
      </c>
      <c r="H24" s="19" t="s">
        <v>13</v>
      </c>
      <c r="I24" s="19" t="s">
        <v>13</v>
      </c>
      <c r="J24" s="19"/>
      <c r="K24" s="19"/>
      <c r="L24" s="19"/>
      <c r="M24" s="28"/>
      <c r="N24" s="19"/>
      <c r="O24" s="19" t="s">
        <v>9</v>
      </c>
      <c r="P24" s="19" t="s">
        <v>13</v>
      </c>
      <c r="Q24" s="19" t="s">
        <v>13</v>
      </c>
      <c r="R24" s="19"/>
      <c r="T24" s="41"/>
      <c r="V24" s="40" t="s">
        <v>21</v>
      </c>
      <c r="W24" s="40">
        <v>2</v>
      </c>
      <c r="X24" s="40" t="s">
        <v>153</v>
      </c>
      <c r="Y24" s="40">
        <v>1</v>
      </c>
      <c r="Z24" s="40" t="s">
        <v>36</v>
      </c>
      <c r="AB24" s="40" t="s">
        <v>23</v>
      </c>
    </row>
    <row r="25" spans="1:29" ht="16.5" customHeight="1">
      <c r="A25" s="36" t="s">
        <v>1</v>
      </c>
      <c r="B25" s="19"/>
      <c r="C25" s="19" t="s">
        <v>213</v>
      </c>
      <c r="D25" s="19" t="s">
        <v>13</v>
      </c>
      <c r="E25" s="19" t="s">
        <v>13</v>
      </c>
      <c r="F25" s="19" t="s">
        <v>13</v>
      </c>
      <c r="G25" s="19" t="s">
        <v>13</v>
      </c>
      <c r="H25" s="19"/>
      <c r="I25" s="19"/>
      <c r="J25" s="19" t="s">
        <v>166</v>
      </c>
      <c r="K25" s="19" t="s">
        <v>13</v>
      </c>
      <c r="L25" s="19" t="s">
        <v>13</v>
      </c>
      <c r="M25" s="19"/>
      <c r="N25" s="19" t="s">
        <v>166</v>
      </c>
      <c r="O25" s="19" t="s">
        <v>13</v>
      </c>
      <c r="P25" s="19"/>
      <c r="Q25" s="19"/>
      <c r="R25" s="19" t="s">
        <v>213</v>
      </c>
      <c r="T25" s="41"/>
      <c r="V25" s="40" t="s">
        <v>26</v>
      </c>
      <c r="W25" s="40">
        <v>2</v>
      </c>
      <c r="X25" s="40" t="s">
        <v>327</v>
      </c>
      <c r="Y25" s="40">
        <v>2</v>
      </c>
      <c r="Z25" s="40" t="s">
        <v>37</v>
      </c>
      <c r="AB25" s="40" t="s">
        <v>25</v>
      </c>
    </row>
    <row r="26" spans="1:29" ht="16.5" customHeight="1">
      <c r="A26" s="36" t="s">
        <v>366</v>
      </c>
      <c r="B26" s="19"/>
      <c r="C26" s="19"/>
      <c r="D26" s="19"/>
      <c r="E26" s="19"/>
      <c r="F26" s="19"/>
      <c r="G26" s="19"/>
      <c r="H26" s="19"/>
      <c r="I26" s="19"/>
      <c r="J26" s="19"/>
      <c r="K26" s="19"/>
      <c r="L26" s="19"/>
      <c r="M26" s="28"/>
      <c r="N26" s="19"/>
      <c r="O26" s="19"/>
      <c r="P26" s="19"/>
      <c r="Q26" s="19"/>
      <c r="R26" s="19"/>
      <c r="T26" s="41"/>
      <c r="V26" s="40" t="s">
        <v>27</v>
      </c>
      <c r="W26" s="40">
        <v>3</v>
      </c>
      <c r="X26" s="40" t="s">
        <v>28</v>
      </c>
      <c r="Y26" s="40">
        <v>2</v>
      </c>
      <c r="Z26" s="40" t="s">
        <v>249</v>
      </c>
      <c r="AB26" s="40" t="s">
        <v>327</v>
      </c>
    </row>
    <row r="27" spans="1:29" ht="16.5" customHeight="1">
      <c r="A27" s="26" t="s">
        <v>325</v>
      </c>
      <c r="B27" s="27">
        <v>43927</v>
      </c>
      <c r="C27" s="27">
        <v>43928</v>
      </c>
      <c r="D27" s="27">
        <v>43929</v>
      </c>
      <c r="E27" s="27">
        <v>43930</v>
      </c>
      <c r="F27" s="27">
        <v>43931</v>
      </c>
      <c r="G27" s="31">
        <v>43932</v>
      </c>
      <c r="H27" s="31">
        <v>43933</v>
      </c>
      <c r="I27" s="27">
        <v>43934</v>
      </c>
      <c r="J27" s="27">
        <v>43935</v>
      </c>
      <c r="K27" s="27">
        <v>43936</v>
      </c>
      <c r="L27" s="27">
        <v>43937</v>
      </c>
      <c r="M27" s="27">
        <v>43938</v>
      </c>
      <c r="N27" s="31">
        <v>43939</v>
      </c>
      <c r="O27" s="31">
        <v>43940</v>
      </c>
      <c r="P27" s="27">
        <v>43941</v>
      </c>
      <c r="Q27" s="27"/>
      <c r="R27" s="19"/>
      <c r="T27" s="41"/>
      <c r="V27" s="40" t="s">
        <v>533</v>
      </c>
      <c r="W27" s="40">
        <v>2</v>
      </c>
      <c r="X27" s="40" t="s">
        <v>152</v>
      </c>
      <c r="Y27" s="40">
        <v>2</v>
      </c>
      <c r="AB27" s="40" t="s">
        <v>249</v>
      </c>
    </row>
    <row r="28" spans="1:29" ht="16.5" customHeight="1">
      <c r="A28" s="28">
        <v>1</v>
      </c>
      <c r="B28" s="19"/>
      <c r="C28" s="19"/>
      <c r="D28" s="19"/>
      <c r="E28" s="19"/>
      <c r="F28" s="19"/>
      <c r="G28" s="19" t="s">
        <v>564</v>
      </c>
      <c r="H28" s="19" t="s">
        <v>563</v>
      </c>
      <c r="I28" s="19"/>
      <c r="J28" s="19"/>
      <c r="K28" s="19"/>
      <c r="L28" s="19"/>
      <c r="M28" s="19"/>
      <c r="N28" s="19" t="s">
        <v>569</v>
      </c>
      <c r="O28" s="19" t="s">
        <v>558</v>
      </c>
      <c r="P28" s="19"/>
      <c r="Q28" s="19"/>
      <c r="R28" s="19"/>
      <c r="T28" s="41"/>
      <c r="V28" s="40" t="s">
        <v>516</v>
      </c>
      <c r="W28" s="40">
        <v>1</v>
      </c>
      <c r="X28" s="40" t="s">
        <v>249</v>
      </c>
      <c r="Y28" s="40">
        <v>2</v>
      </c>
      <c r="AB28" s="40" t="s">
        <v>516</v>
      </c>
    </row>
    <row r="29" spans="1:29" ht="16.5" customHeight="1">
      <c r="A29" s="28">
        <v>2</v>
      </c>
      <c r="B29" s="19"/>
      <c r="C29" s="19"/>
      <c r="D29" s="19"/>
      <c r="E29" s="19"/>
      <c r="F29" s="19"/>
      <c r="G29" s="19" t="s">
        <v>23</v>
      </c>
      <c r="H29" s="19" t="s">
        <v>46</v>
      </c>
      <c r="I29" s="19"/>
      <c r="J29" s="19"/>
      <c r="K29" s="19"/>
      <c r="L29" s="19"/>
      <c r="M29" s="19"/>
      <c r="N29" s="19" t="s">
        <v>555</v>
      </c>
      <c r="O29" s="19" t="s">
        <v>152</v>
      </c>
      <c r="P29" s="19"/>
      <c r="Q29" s="19"/>
      <c r="R29" s="19"/>
      <c r="T29" s="41"/>
      <c r="X29" s="40" t="s">
        <v>556</v>
      </c>
      <c r="Y29" s="40">
        <v>1</v>
      </c>
    </row>
    <row r="30" spans="1:29" ht="16.5" customHeight="1">
      <c r="A30" s="28">
        <v>3</v>
      </c>
      <c r="B30" s="19"/>
      <c r="C30" s="19"/>
      <c r="D30" s="19"/>
      <c r="E30" s="19"/>
      <c r="F30" s="19"/>
      <c r="G30" s="19" t="s">
        <v>542</v>
      </c>
      <c r="H30" s="19" t="s">
        <v>542</v>
      </c>
      <c r="I30" s="19"/>
      <c r="J30" s="19"/>
      <c r="K30" s="19"/>
      <c r="L30" s="19"/>
      <c r="M30" s="19"/>
      <c r="N30" s="19" t="s">
        <v>542</v>
      </c>
      <c r="O30" s="19" t="s">
        <v>542</v>
      </c>
      <c r="P30" s="19"/>
      <c r="Q30" s="19"/>
      <c r="R30" s="19"/>
      <c r="T30" s="41"/>
    </row>
    <row r="31" spans="1:29" ht="16.5" customHeight="1">
      <c r="A31" s="28" t="s">
        <v>20</v>
      </c>
      <c r="B31" s="19" t="s">
        <v>327</v>
      </c>
      <c r="C31" s="19" t="s">
        <v>13</v>
      </c>
      <c r="D31" s="19" t="s">
        <v>13</v>
      </c>
      <c r="E31" s="19" t="s">
        <v>13</v>
      </c>
      <c r="F31" s="19" t="s">
        <v>13</v>
      </c>
      <c r="G31" s="19" t="s">
        <v>13</v>
      </c>
      <c r="H31" s="19" t="s">
        <v>13</v>
      </c>
      <c r="I31" s="19" t="s">
        <v>26</v>
      </c>
      <c r="J31" s="19" t="s">
        <v>13</v>
      </c>
      <c r="K31" s="19" t="s">
        <v>13</v>
      </c>
      <c r="L31" s="19" t="s">
        <v>13</v>
      </c>
      <c r="M31" s="19" t="s">
        <v>13</v>
      </c>
      <c r="N31" s="19" t="s">
        <v>13</v>
      </c>
      <c r="O31" s="19" t="s">
        <v>13</v>
      </c>
      <c r="P31" s="19" t="s">
        <v>153</v>
      </c>
      <c r="Q31" s="19"/>
      <c r="R31" s="19"/>
      <c r="T31" s="41"/>
    </row>
    <row r="32" spans="1:29" ht="16.5" customHeight="1">
      <c r="A32" s="28" t="s">
        <v>0</v>
      </c>
      <c r="B32" s="19"/>
      <c r="C32" s="19"/>
      <c r="D32" s="19"/>
      <c r="E32" s="19" t="s">
        <v>9</v>
      </c>
      <c r="F32" s="19" t="s">
        <v>13</v>
      </c>
      <c r="G32" s="19" t="s">
        <v>13</v>
      </c>
      <c r="H32" s="19"/>
      <c r="I32" s="19"/>
      <c r="J32" s="19"/>
      <c r="K32" s="19"/>
      <c r="L32" s="19" t="s">
        <v>9</v>
      </c>
      <c r="M32" s="19" t="s">
        <v>13</v>
      </c>
      <c r="N32" s="19" t="s">
        <v>13</v>
      </c>
      <c r="O32" s="19"/>
      <c r="P32" s="19"/>
      <c r="Q32" s="19"/>
      <c r="R32" s="19"/>
      <c r="T32" s="41"/>
      <c r="V32" s="40" t="s">
        <v>567</v>
      </c>
      <c r="W32" s="40">
        <f>SUM(W19:W31)</f>
        <v>18</v>
      </c>
      <c r="Y32" s="40">
        <f>SUM(Y19:Y31)</f>
        <v>18</v>
      </c>
      <c r="AA32" s="40">
        <f>SUM(AA19:AA31)</f>
        <v>0</v>
      </c>
      <c r="AC32" s="40">
        <f>SUM(AC19:AC31)</f>
        <v>0</v>
      </c>
    </row>
    <row r="33" spans="1:20" ht="16.5" customHeight="1">
      <c r="A33" s="28" t="s">
        <v>1</v>
      </c>
      <c r="B33" s="19" t="s">
        <v>213</v>
      </c>
      <c r="C33" s="19" t="s">
        <v>13</v>
      </c>
      <c r="D33" s="19" t="s">
        <v>13</v>
      </c>
      <c r="E33" s="19" t="s">
        <v>13</v>
      </c>
      <c r="F33" s="19"/>
      <c r="G33" s="19"/>
      <c r="H33" s="19" t="s">
        <v>166</v>
      </c>
      <c r="I33" s="19" t="s">
        <v>13</v>
      </c>
      <c r="J33" s="19" t="s">
        <v>13</v>
      </c>
      <c r="K33" s="19" t="s">
        <v>13</v>
      </c>
      <c r="L33" s="19" t="s">
        <v>13</v>
      </c>
      <c r="M33" s="19"/>
      <c r="N33" s="19"/>
      <c r="O33" s="19" t="s">
        <v>213</v>
      </c>
      <c r="P33" s="19" t="s">
        <v>13</v>
      </c>
      <c r="Q33" s="19"/>
      <c r="R33" s="19"/>
    </row>
    <row r="34" spans="1:20" ht="16.5" customHeight="1">
      <c r="A34" s="28" t="s">
        <v>366</v>
      </c>
      <c r="B34" s="19"/>
      <c r="C34" s="19"/>
      <c r="D34" s="19"/>
      <c r="E34" s="19"/>
      <c r="F34" s="19"/>
      <c r="G34" s="19"/>
      <c r="H34" s="19"/>
      <c r="I34" s="19"/>
      <c r="J34" s="19"/>
      <c r="K34" s="19"/>
      <c r="L34" s="19"/>
      <c r="M34" s="19"/>
      <c r="N34" s="19"/>
      <c r="O34" s="19"/>
      <c r="P34" s="19"/>
      <c r="Q34" s="19"/>
      <c r="R34" s="19"/>
    </row>
    <row r="35" spans="1:20" ht="12.75" customHeight="1">
      <c r="Q35" s="145" t="s">
        <v>82</v>
      </c>
      <c r="R35" s="145"/>
      <c r="T35" s="41"/>
    </row>
    <row r="36" spans="1:20">
      <c r="A36" s="40" t="s">
        <v>322</v>
      </c>
      <c r="H36" s="43"/>
      <c r="T36" s="41"/>
    </row>
    <row r="37" spans="1:20">
      <c r="A37" s="43" t="s">
        <v>27</v>
      </c>
      <c r="B37" s="43">
        <v>43897</v>
      </c>
      <c r="C37" s="43">
        <v>43898</v>
      </c>
      <c r="D37" s="43">
        <v>43912</v>
      </c>
      <c r="E37" s="43"/>
      <c r="F37" s="43"/>
      <c r="G37" s="43"/>
      <c r="H37" s="43"/>
      <c r="I37" s="43"/>
      <c r="J37" s="43"/>
      <c r="K37" s="43"/>
      <c r="L37" s="43"/>
      <c r="M37" s="43"/>
      <c r="N37" s="43"/>
      <c r="O37" s="43"/>
      <c r="P37" s="43"/>
      <c r="Q37" s="43"/>
      <c r="R37" s="43"/>
      <c r="T37" s="41"/>
    </row>
    <row r="38" spans="1:20">
      <c r="A38" s="43" t="s">
        <v>28</v>
      </c>
      <c r="B38" s="43">
        <v>43891</v>
      </c>
      <c r="C38" s="43">
        <v>43897</v>
      </c>
      <c r="D38" s="43">
        <v>43898</v>
      </c>
      <c r="E38" s="43">
        <v>43933</v>
      </c>
      <c r="F38" s="43">
        <v>43939</v>
      </c>
      <c r="G38" s="43">
        <v>43940</v>
      </c>
      <c r="H38" s="43"/>
      <c r="I38" s="43"/>
      <c r="J38" s="43"/>
      <c r="K38" s="43"/>
      <c r="L38" s="43"/>
      <c r="M38" s="43"/>
      <c r="N38" s="43"/>
      <c r="O38" s="43"/>
      <c r="P38" s="43"/>
      <c r="Q38" s="43"/>
      <c r="R38" s="43"/>
      <c r="T38" s="41"/>
    </row>
    <row r="39" spans="1:20">
      <c r="A39" s="43" t="s">
        <v>543</v>
      </c>
      <c r="B39" s="43">
        <v>43925</v>
      </c>
      <c r="C39" s="43">
        <v>43932</v>
      </c>
      <c r="D39" s="43"/>
      <c r="E39" s="43"/>
      <c r="F39" s="43"/>
      <c r="G39" s="43"/>
      <c r="H39" s="43"/>
      <c r="I39" s="43"/>
      <c r="J39" s="43"/>
      <c r="K39" s="43"/>
      <c r="L39" s="43"/>
      <c r="M39" s="43"/>
      <c r="N39" s="43"/>
      <c r="O39" s="43"/>
      <c r="P39" s="43"/>
      <c r="Q39" s="43"/>
      <c r="R39" s="43"/>
      <c r="T39" s="41"/>
    </row>
    <row r="40" spans="1:20">
      <c r="A40" s="43" t="s">
        <v>544</v>
      </c>
      <c r="B40" s="43">
        <v>43890</v>
      </c>
      <c r="C40" s="43">
        <v>43891</v>
      </c>
      <c r="D40" s="43"/>
      <c r="E40" s="43"/>
      <c r="F40" s="43"/>
      <c r="G40" s="43"/>
      <c r="H40" s="43"/>
      <c r="I40" s="43"/>
      <c r="J40" s="43"/>
      <c r="K40" s="43"/>
      <c r="L40" s="43"/>
      <c r="M40" s="43"/>
      <c r="N40" s="43"/>
      <c r="O40" s="43"/>
      <c r="P40" s="43"/>
      <c r="Q40" s="43"/>
      <c r="R40" s="43"/>
    </row>
    <row r="41" spans="1:20">
      <c r="A41" s="43" t="s">
        <v>545</v>
      </c>
      <c r="B41" s="43">
        <v>43883</v>
      </c>
      <c r="C41" s="43">
        <v>43884</v>
      </c>
      <c r="D41" s="43"/>
      <c r="E41" s="43"/>
      <c r="F41" s="43"/>
      <c r="G41" s="43"/>
      <c r="H41" s="43"/>
      <c r="I41" s="43"/>
      <c r="J41" s="43"/>
      <c r="K41" s="43"/>
      <c r="L41" s="43"/>
      <c r="M41" s="43"/>
      <c r="N41" s="43"/>
      <c r="O41" s="43"/>
      <c r="P41" s="43"/>
      <c r="Q41" s="43"/>
      <c r="R41" s="43"/>
      <c r="T41" s="41"/>
    </row>
    <row r="42" spans="1:20">
      <c r="A42" s="43" t="s">
        <v>546</v>
      </c>
      <c r="B42" s="43">
        <v>43883</v>
      </c>
      <c r="C42" s="43">
        <v>43925</v>
      </c>
      <c r="D42" s="43">
        <v>43939</v>
      </c>
      <c r="E42" s="43"/>
      <c r="F42" s="43"/>
      <c r="G42" s="43"/>
      <c r="H42" s="43"/>
      <c r="I42" s="43"/>
      <c r="J42" s="43"/>
      <c r="K42" s="43"/>
      <c r="L42" s="43"/>
      <c r="M42" s="43"/>
      <c r="N42" s="43"/>
      <c r="O42" s="43"/>
      <c r="P42" s="43"/>
      <c r="Q42" s="43"/>
      <c r="R42" s="43"/>
      <c r="T42" s="41"/>
    </row>
    <row r="43" spans="1:20">
      <c r="A43" s="43" t="s">
        <v>547</v>
      </c>
      <c r="B43" s="43">
        <v>43883</v>
      </c>
      <c r="C43" s="43">
        <v>43884</v>
      </c>
      <c r="D43" s="43">
        <v>43925</v>
      </c>
      <c r="E43" s="43">
        <v>43926</v>
      </c>
      <c r="F43" s="43"/>
      <c r="G43" s="43"/>
      <c r="H43" s="43"/>
      <c r="I43" s="43"/>
      <c r="J43" s="43"/>
      <c r="K43" s="43"/>
      <c r="L43" s="43"/>
      <c r="M43" s="43"/>
      <c r="N43" s="43"/>
      <c r="O43" s="43"/>
      <c r="P43" s="43"/>
      <c r="Q43" s="43"/>
      <c r="R43" s="43"/>
      <c r="T43" s="41"/>
    </row>
    <row r="44" spans="1:20">
      <c r="A44" s="43" t="s">
        <v>548</v>
      </c>
      <c r="B44" s="43">
        <v>43898</v>
      </c>
      <c r="C44" s="43"/>
      <c r="D44" s="43"/>
      <c r="E44" s="43"/>
      <c r="F44" s="43"/>
      <c r="G44" s="43"/>
      <c r="H44" s="43"/>
      <c r="I44" s="43"/>
      <c r="J44" s="43"/>
      <c r="K44" s="43"/>
      <c r="L44" s="43"/>
      <c r="M44" s="43"/>
      <c r="N44" s="43"/>
      <c r="O44" s="43"/>
      <c r="P44" s="43"/>
      <c r="Q44" s="43"/>
      <c r="R44" s="43"/>
      <c r="T44" s="41"/>
    </row>
    <row r="45" spans="1:20">
      <c r="A45" s="43" t="s">
        <v>549</v>
      </c>
      <c r="B45" s="43" t="s">
        <v>550</v>
      </c>
      <c r="C45" s="43" t="s">
        <v>551</v>
      </c>
      <c r="D45" s="43"/>
      <c r="E45" s="43"/>
      <c r="F45" s="43"/>
      <c r="G45" s="43"/>
      <c r="H45" s="43"/>
      <c r="I45" s="43"/>
      <c r="J45" s="43"/>
      <c r="K45" s="43"/>
      <c r="L45" s="43"/>
      <c r="M45" s="43"/>
      <c r="N45" s="43"/>
      <c r="O45" s="43"/>
      <c r="P45" s="43"/>
      <c r="Q45" s="43"/>
      <c r="R45" s="43"/>
    </row>
    <row r="46" spans="1:20">
      <c r="A46" s="43" t="s">
        <v>566</v>
      </c>
      <c r="B46" s="43">
        <v>43883</v>
      </c>
      <c r="C46" s="43"/>
      <c r="D46" s="43"/>
      <c r="E46" s="43"/>
      <c r="F46" s="43"/>
      <c r="G46" s="43"/>
      <c r="H46" s="43"/>
      <c r="I46" s="43"/>
      <c r="J46" s="43"/>
      <c r="K46" s="43"/>
      <c r="L46" s="43"/>
      <c r="M46" s="43"/>
      <c r="N46" s="43"/>
      <c r="O46" s="43"/>
      <c r="P46" s="43"/>
      <c r="Q46" s="43"/>
      <c r="R46" s="43"/>
      <c r="T46" s="41"/>
    </row>
    <row r="47" spans="1:20">
      <c r="A47" s="43"/>
      <c r="B47" s="43"/>
      <c r="C47" s="43"/>
      <c r="D47" s="43"/>
      <c r="E47" s="43"/>
      <c r="F47" s="43"/>
      <c r="G47" s="43"/>
      <c r="H47" s="43"/>
      <c r="I47" s="43"/>
      <c r="J47" s="43"/>
      <c r="K47" s="43"/>
      <c r="L47" s="43"/>
      <c r="M47" s="43"/>
      <c r="N47" s="43"/>
      <c r="O47" s="43"/>
      <c r="P47" s="43"/>
      <c r="Q47" s="43"/>
      <c r="R47" s="43"/>
      <c r="T47" s="41"/>
    </row>
    <row r="48" spans="1:20">
      <c r="A48" s="43"/>
      <c r="B48" s="43"/>
      <c r="C48" s="43"/>
      <c r="D48" s="43"/>
      <c r="E48" s="43"/>
      <c r="F48" s="43"/>
      <c r="G48" s="43"/>
      <c r="H48" s="43"/>
      <c r="I48" s="43"/>
      <c r="J48" s="43"/>
      <c r="K48" s="43"/>
      <c r="L48" s="43"/>
      <c r="M48" s="43"/>
      <c r="N48" s="43"/>
      <c r="O48" s="43"/>
      <c r="P48" s="43"/>
      <c r="Q48" s="43"/>
      <c r="R48" s="43"/>
      <c r="T48" s="41"/>
    </row>
    <row r="49" spans="1:18">
      <c r="A49" s="43"/>
      <c r="B49" s="43"/>
      <c r="C49" s="43"/>
      <c r="D49" s="43"/>
      <c r="E49" s="43"/>
      <c r="F49" s="43"/>
      <c r="G49" s="43"/>
      <c r="H49" s="43"/>
      <c r="I49" s="43"/>
      <c r="J49" s="43"/>
      <c r="K49" s="43"/>
      <c r="L49" s="43"/>
      <c r="M49" s="43"/>
      <c r="N49" s="43"/>
      <c r="O49" s="43"/>
      <c r="P49" s="43"/>
      <c r="Q49" s="43"/>
      <c r="R49" s="43"/>
    </row>
    <row r="50" spans="1:18">
      <c r="A50" s="43"/>
      <c r="B50" s="43"/>
      <c r="C50" s="43"/>
      <c r="D50" s="43"/>
      <c r="E50" s="43"/>
      <c r="F50" s="43"/>
      <c r="G50" s="43"/>
      <c r="H50" s="43"/>
      <c r="I50" s="43"/>
      <c r="J50" s="43"/>
      <c r="K50" s="43"/>
      <c r="L50" s="43"/>
      <c r="M50" s="43"/>
      <c r="N50" s="43"/>
      <c r="O50" s="43"/>
      <c r="P50" s="43"/>
      <c r="Q50" s="43"/>
      <c r="R50" s="43"/>
    </row>
    <row r="51" spans="1:18">
      <c r="A51" s="43"/>
      <c r="B51" s="43"/>
      <c r="C51" s="43"/>
      <c r="D51" s="43"/>
      <c r="E51" s="43"/>
      <c r="F51" s="43"/>
      <c r="G51" s="43"/>
      <c r="H51" s="43"/>
      <c r="I51" s="43"/>
      <c r="J51" s="43"/>
      <c r="K51" s="43"/>
      <c r="L51" s="43"/>
      <c r="M51" s="43"/>
      <c r="N51" s="43"/>
      <c r="O51" s="43"/>
      <c r="P51" s="43"/>
      <c r="Q51" s="43"/>
      <c r="R51" s="43"/>
    </row>
  </sheetData>
  <mergeCells count="2">
    <mergeCell ref="A1:R1"/>
    <mergeCell ref="Q35:R35"/>
  </mergeCells>
  <phoneticPr fontId="2"/>
  <pageMargins left="0.70866141732283472" right="0.70866141732283472" top="0" bottom="0" header="0.31496062992125984" footer="0.31496062992125984"/>
  <pageSetup paperSize="9" orientation="landscape" r:id="rId1"/>
  <drawing r:id="rId2"/>
  <legacyDrawing r:id="rId3"/>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C51"/>
  <sheetViews>
    <sheetView zoomScaleNormal="100" workbookViewId="0">
      <selection activeCell="C36" sqref="C36"/>
    </sheetView>
  </sheetViews>
  <sheetFormatPr defaultColWidth="9" defaultRowHeight="18.75"/>
  <cols>
    <col min="1" max="18" width="6.625" style="40" customWidth="1"/>
    <col min="19" max="19" width="3.625" style="40" customWidth="1"/>
    <col min="20" max="20" width="6.625" style="40" customWidth="1"/>
    <col min="21" max="21" width="3.625" style="40" customWidth="1"/>
    <col min="22" max="37" width="6.625" style="40" customWidth="1"/>
    <col min="38" max="38" width="3.625" style="40" customWidth="1"/>
    <col min="39" max="16384" width="9" style="40"/>
  </cols>
  <sheetData>
    <row r="1" spans="1:29">
      <c r="A1" s="147" t="s">
        <v>496</v>
      </c>
      <c r="B1" s="147"/>
      <c r="C1" s="147"/>
      <c r="D1" s="147"/>
      <c r="E1" s="147"/>
      <c r="F1" s="147"/>
      <c r="G1" s="147"/>
      <c r="H1" s="147"/>
      <c r="I1" s="147"/>
      <c r="J1" s="147"/>
      <c r="K1" s="147"/>
      <c r="L1" s="147"/>
      <c r="M1" s="147"/>
      <c r="N1" s="147"/>
      <c r="O1" s="147"/>
      <c r="P1" s="147"/>
      <c r="Q1" s="147"/>
      <c r="R1" s="147"/>
      <c r="X1" s="40" t="s">
        <v>465</v>
      </c>
    </row>
    <row r="2" spans="1:29" ht="16.5" customHeight="1">
      <c r="A2" s="26" t="s">
        <v>244</v>
      </c>
      <c r="B2" s="31">
        <v>43820</v>
      </c>
      <c r="C2" s="31">
        <v>43821</v>
      </c>
      <c r="D2" s="27">
        <v>43822</v>
      </c>
      <c r="E2" s="27">
        <v>43823</v>
      </c>
      <c r="F2" s="27">
        <v>43824</v>
      </c>
      <c r="G2" s="27">
        <v>43825</v>
      </c>
      <c r="H2" s="27">
        <v>43826</v>
      </c>
      <c r="I2" s="31">
        <v>43827</v>
      </c>
      <c r="J2" s="31">
        <v>43828</v>
      </c>
      <c r="K2" s="31">
        <v>43829</v>
      </c>
      <c r="L2" s="31">
        <v>43830</v>
      </c>
      <c r="M2" s="23" t="s">
        <v>278</v>
      </c>
      <c r="N2" s="30">
        <v>43831</v>
      </c>
      <c r="O2" s="30">
        <v>43832</v>
      </c>
      <c r="P2" s="30">
        <v>43833</v>
      </c>
      <c r="Q2" s="30">
        <v>43834</v>
      </c>
      <c r="R2" s="30">
        <v>43835</v>
      </c>
      <c r="V2" s="40" t="s">
        <v>63</v>
      </c>
      <c r="X2" s="40" t="s">
        <v>64</v>
      </c>
      <c r="Z2" s="40" t="s">
        <v>65</v>
      </c>
      <c r="AB2" s="40" t="s">
        <v>169</v>
      </c>
    </row>
    <row r="3" spans="1:29" ht="16.5" customHeight="1">
      <c r="A3" s="28">
        <v>1</v>
      </c>
      <c r="B3" s="19" t="s">
        <v>518</v>
      </c>
      <c r="C3" s="19" t="s">
        <v>519</v>
      </c>
      <c r="D3" s="19"/>
      <c r="E3" s="19"/>
      <c r="F3" s="19"/>
      <c r="G3" s="19"/>
      <c r="H3" s="19"/>
      <c r="I3" s="19" t="s">
        <v>523</v>
      </c>
      <c r="J3" s="19" t="s">
        <v>521</v>
      </c>
      <c r="K3" s="44"/>
      <c r="L3" s="44"/>
      <c r="M3" s="36"/>
      <c r="N3" s="44"/>
      <c r="O3" s="44"/>
      <c r="P3" s="44"/>
      <c r="Q3" s="44"/>
      <c r="R3" s="44"/>
      <c r="V3" s="40" t="s">
        <v>25</v>
      </c>
      <c r="W3" s="40">
        <v>3</v>
      </c>
      <c r="X3" s="40" t="s">
        <v>45</v>
      </c>
      <c r="Y3" s="40">
        <v>2</v>
      </c>
      <c r="Z3" s="40" t="s">
        <v>34</v>
      </c>
      <c r="AA3" s="40">
        <v>1</v>
      </c>
      <c r="AB3" s="40" t="s">
        <v>153</v>
      </c>
      <c r="AC3" s="40">
        <v>1</v>
      </c>
    </row>
    <row r="4" spans="1:29" ht="16.5" customHeight="1">
      <c r="A4" s="28">
        <v>2</v>
      </c>
      <c r="B4" s="19" t="s">
        <v>528</v>
      </c>
      <c r="C4" s="19" t="s">
        <v>529</v>
      </c>
      <c r="D4" s="19"/>
      <c r="E4" s="19"/>
      <c r="F4" s="19"/>
      <c r="G4" s="19"/>
      <c r="H4" s="19"/>
      <c r="I4" s="19" t="s">
        <v>520</v>
      </c>
      <c r="J4" s="19" t="s">
        <v>530</v>
      </c>
      <c r="K4" s="44"/>
      <c r="L4" s="44"/>
      <c r="M4" s="36"/>
      <c r="N4" s="44"/>
      <c r="O4" s="44"/>
      <c r="P4" s="44"/>
      <c r="Q4" s="44"/>
      <c r="R4" s="44"/>
      <c r="T4" s="41"/>
      <c r="U4" s="41"/>
      <c r="V4" s="40" t="s">
        <v>2</v>
      </c>
      <c r="W4" s="40">
        <v>3</v>
      </c>
      <c r="X4" s="40" t="s">
        <v>46</v>
      </c>
      <c r="Y4" s="40">
        <v>3</v>
      </c>
      <c r="Z4" s="40" t="s">
        <v>35</v>
      </c>
      <c r="AB4" s="40" t="s">
        <v>26</v>
      </c>
      <c r="AC4" s="40">
        <v>1</v>
      </c>
    </row>
    <row r="5" spans="1:29" ht="16.5" customHeight="1">
      <c r="A5" s="28">
        <v>3</v>
      </c>
      <c r="B5" s="19" t="s">
        <v>527</v>
      </c>
      <c r="C5" s="19" t="s">
        <v>527</v>
      </c>
      <c r="D5" s="19"/>
      <c r="E5" s="19"/>
      <c r="F5" s="19"/>
      <c r="G5" s="19"/>
      <c r="H5" s="19"/>
      <c r="I5" s="19" t="s">
        <v>527</v>
      </c>
      <c r="J5" s="19" t="s">
        <v>527</v>
      </c>
      <c r="K5" s="44"/>
      <c r="L5" s="44"/>
      <c r="M5" s="36"/>
      <c r="N5" s="44"/>
      <c r="O5" s="44"/>
      <c r="P5" s="44"/>
      <c r="Q5" s="44"/>
      <c r="R5" s="44"/>
      <c r="T5" s="41"/>
      <c r="U5" s="41"/>
      <c r="V5" s="40" t="s">
        <v>14</v>
      </c>
      <c r="W5" s="40">
        <v>2</v>
      </c>
      <c r="X5" s="40" t="s">
        <v>6</v>
      </c>
      <c r="Y5" s="40">
        <v>2</v>
      </c>
      <c r="Z5" s="40" t="s">
        <v>8</v>
      </c>
      <c r="AB5" s="40" t="s">
        <v>6</v>
      </c>
      <c r="AC5" s="40">
        <v>1</v>
      </c>
    </row>
    <row r="6" spans="1:29" ht="16.5" customHeight="1">
      <c r="A6" s="28" t="s">
        <v>20</v>
      </c>
      <c r="B6" s="19" t="s">
        <v>512</v>
      </c>
      <c r="C6" s="19" t="s">
        <v>13</v>
      </c>
      <c r="D6" s="19" t="s">
        <v>153</v>
      </c>
      <c r="E6" s="19" t="s">
        <v>13</v>
      </c>
      <c r="F6" s="19" t="s">
        <v>13</v>
      </c>
      <c r="G6" s="19" t="s">
        <v>13</v>
      </c>
      <c r="H6" s="19" t="s">
        <v>13</v>
      </c>
      <c r="I6" s="19" t="s">
        <v>13</v>
      </c>
      <c r="J6" s="19" t="s">
        <v>13</v>
      </c>
      <c r="K6" s="44"/>
      <c r="L6" s="44"/>
      <c r="M6" s="36"/>
      <c r="N6" s="44"/>
      <c r="O6" s="44"/>
      <c r="P6" s="44"/>
      <c r="Q6" s="44"/>
      <c r="R6" s="44"/>
      <c r="T6" s="41"/>
      <c r="U6" s="41"/>
      <c r="V6" s="40" t="s">
        <v>7</v>
      </c>
      <c r="W6" s="40">
        <v>2</v>
      </c>
      <c r="X6" s="40" t="s">
        <v>23</v>
      </c>
      <c r="Y6" s="40">
        <v>2</v>
      </c>
      <c r="Z6" s="40" t="s">
        <v>38</v>
      </c>
      <c r="AA6" s="40">
        <v>1</v>
      </c>
      <c r="AB6" s="40" t="s">
        <v>152</v>
      </c>
      <c r="AC6" s="40">
        <v>1</v>
      </c>
    </row>
    <row r="7" spans="1:29" ht="16.5" customHeight="1">
      <c r="A7" s="28" t="s">
        <v>0</v>
      </c>
      <c r="B7" s="19"/>
      <c r="C7" s="19"/>
      <c r="D7" s="19"/>
      <c r="E7" s="19"/>
      <c r="F7" s="19"/>
      <c r="G7" s="19" t="s">
        <v>510</v>
      </c>
      <c r="H7" s="19" t="s">
        <v>508</v>
      </c>
      <c r="I7" s="19" t="s">
        <v>508</v>
      </c>
      <c r="J7" s="19"/>
      <c r="K7" s="44"/>
      <c r="L7" s="44"/>
      <c r="M7" s="36"/>
      <c r="N7" s="44"/>
      <c r="O7" s="44"/>
      <c r="P7" s="44"/>
      <c r="Q7" s="44"/>
      <c r="R7" s="44"/>
      <c r="T7" s="41"/>
      <c r="U7" s="41"/>
      <c r="V7" s="40" t="s">
        <v>21</v>
      </c>
      <c r="W7" s="40">
        <v>2</v>
      </c>
      <c r="X7" s="40" t="s">
        <v>153</v>
      </c>
      <c r="Y7" s="40">
        <v>2</v>
      </c>
      <c r="Z7" s="40" t="s">
        <v>36</v>
      </c>
      <c r="AB7" s="40" t="s">
        <v>23</v>
      </c>
      <c r="AC7" s="40">
        <v>1</v>
      </c>
    </row>
    <row r="8" spans="1:29" ht="16.5" customHeight="1">
      <c r="A8" s="28" t="s">
        <v>1</v>
      </c>
      <c r="B8" s="19"/>
      <c r="C8" s="19" t="s">
        <v>504</v>
      </c>
      <c r="D8" s="19" t="s">
        <v>505</v>
      </c>
      <c r="E8" s="19" t="s">
        <v>505</v>
      </c>
      <c r="F8" s="19" t="s">
        <v>505</v>
      </c>
      <c r="G8" s="19" t="s">
        <v>505</v>
      </c>
      <c r="H8" s="19"/>
      <c r="I8" s="19"/>
      <c r="J8" s="19" t="s">
        <v>509</v>
      </c>
      <c r="K8" s="44"/>
      <c r="L8" s="44"/>
      <c r="M8" s="36"/>
      <c r="N8" s="44"/>
      <c r="O8" s="44"/>
      <c r="P8" s="44"/>
      <c r="Q8" s="44"/>
      <c r="R8" s="44"/>
      <c r="T8" s="41"/>
      <c r="V8" s="40" t="s">
        <v>26</v>
      </c>
      <c r="W8" s="40">
        <v>1</v>
      </c>
      <c r="X8" s="40" t="s">
        <v>327</v>
      </c>
      <c r="Y8" s="40">
        <v>2</v>
      </c>
      <c r="Z8" s="40" t="s">
        <v>37</v>
      </c>
      <c r="AB8" s="40" t="s">
        <v>25</v>
      </c>
      <c r="AC8" s="40">
        <v>1</v>
      </c>
    </row>
    <row r="9" spans="1:29" ht="16.5" customHeight="1">
      <c r="A9" s="28" t="s">
        <v>366</v>
      </c>
      <c r="B9" s="19"/>
      <c r="C9" s="19"/>
      <c r="D9" s="19"/>
      <c r="E9" s="19"/>
      <c r="F9" s="19"/>
      <c r="G9" s="19"/>
      <c r="H9" s="19"/>
      <c r="I9" s="19"/>
      <c r="J9" s="19"/>
      <c r="K9" s="44"/>
      <c r="L9" s="44"/>
      <c r="M9" s="36"/>
      <c r="N9" s="44"/>
      <c r="O9" s="44"/>
      <c r="P9" s="44"/>
      <c r="Q9" s="44"/>
      <c r="R9" s="44"/>
      <c r="T9" s="41"/>
      <c r="V9" s="40" t="s">
        <v>27</v>
      </c>
      <c r="W9" s="40">
        <v>2</v>
      </c>
      <c r="X9" s="40" t="s">
        <v>28</v>
      </c>
      <c r="Y9" s="40">
        <v>0</v>
      </c>
      <c r="Z9" s="40" t="s">
        <v>249</v>
      </c>
      <c r="AB9" s="40" t="s">
        <v>327</v>
      </c>
      <c r="AC9" s="40">
        <v>1</v>
      </c>
    </row>
    <row r="10" spans="1:29" ht="16.5" customHeight="1">
      <c r="A10" s="23" t="s">
        <v>278</v>
      </c>
      <c r="B10" s="25">
        <v>43836</v>
      </c>
      <c r="C10" s="25">
        <v>43837</v>
      </c>
      <c r="D10" s="25">
        <v>43838</v>
      </c>
      <c r="E10" s="25">
        <v>43839</v>
      </c>
      <c r="F10" s="25">
        <v>43840</v>
      </c>
      <c r="G10" s="30">
        <v>43841</v>
      </c>
      <c r="H10" s="30">
        <v>43842</v>
      </c>
      <c r="I10" s="25">
        <v>43843</v>
      </c>
      <c r="J10" s="25">
        <v>43844</v>
      </c>
      <c r="K10" s="25">
        <v>43845</v>
      </c>
      <c r="L10" s="25">
        <v>43846</v>
      </c>
      <c r="M10" s="25">
        <v>43847</v>
      </c>
      <c r="N10" s="30">
        <v>43848</v>
      </c>
      <c r="O10" s="30">
        <v>43849</v>
      </c>
      <c r="P10" s="25">
        <v>43850</v>
      </c>
      <c r="Q10" s="19"/>
      <c r="R10" s="19"/>
      <c r="T10" s="41"/>
      <c r="V10" s="40" t="s">
        <v>28</v>
      </c>
      <c r="W10" s="40">
        <v>1</v>
      </c>
      <c r="X10" s="40" t="s">
        <v>152</v>
      </c>
      <c r="Y10" s="40">
        <v>2</v>
      </c>
      <c r="AB10" s="40" t="s">
        <v>249</v>
      </c>
      <c r="AC10" s="40">
        <v>1</v>
      </c>
    </row>
    <row r="11" spans="1:29" ht="16.5" customHeight="1">
      <c r="A11" s="36">
        <v>1</v>
      </c>
      <c r="B11" s="19"/>
      <c r="C11" s="19"/>
      <c r="D11" s="19"/>
      <c r="E11" s="19"/>
      <c r="F11" s="19"/>
      <c r="G11" s="19" t="s">
        <v>526</v>
      </c>
      <c r="H11" s="19" t="s">
        <v>522</v>
      </c>
      <c r="I11" s="19"/>
      <c r="J11" s="19"/>
      <c r="K11" s="19"/>
      <c r="L11" s="19"/>
      <c r="M11" s="19"/>
      <c r="N11" s="19" t="s">
        <v>524</v>
      </c>
      <c r="O11" s="19" t="s">
        <v>525</v>
      </c>
      <c r="P11" s="19"/>
      <c r="Q11" s="19"/>
      <c r="R11" s="19"/>
      <c r="T11" s="41"/>
      <c r="X11" s="40" t="s">
        <v>249</v>
      </c>
      <c r="Y11" s="40">
        <v>1</v>
      </c>
    </row>
    <row r="12" spans="1:29" ht="16.5" customHeight="1">
      <c r="A12" s="36">
        <v>2</v>
      </c>
      <c r="B12" s="19"/>
      <c r="C12" s="19"/>
      <c r="D12" s="19"/>
      <c r="E12" s="19"/>
      <c r="F12" s="19"/>
      <c r="G12" s="19" t="s">
        <v>534</v>
      </c>
      <c r="H12" s="19" t="s">
        <v>537</v>
      </c>
      <c r="I12" s="19"/>
      <c r="J12" s="19"/>
      <c r="K12" s="19"/>
      <c r="L12" s="19"/>
      <c r="M12" s="19"/>
      <c r="N12" s="19" t="s">
        <v>327</v>
      </c>
      <c r="O12" s="19" t="s">
        <v>93</v>
      </c>
      <c r="P12" s="19"/>
      <c r="Q12" s="19"/>
      <c r="R12" s="19"/>
      <c r="T12" s="41"/>
    </row>
    <row r="13" spans="1:29" ht="16.5" customHeight="1">
      <c r="A13" s="36">
        <v>3</v>
      </c>
      <c r="B13" s="19"/>
      <c r="C13" s="19"/>
      <c r="D13" s="19"/>
      <c r="E13" s="19"/>
      <c r="F13" s="19"/>
      <c r="G13" s="19" t="s">
        <v>527</v>
      </c>
      <c r="H13" s="19" t="s">
        <v>527</v>
      </c>
      <c r="I13" s="19"/>
      <c r="J13" s="19"/>
      <c r="K13" s="19"/>
      <c r="L13" s="19"/>
      <c r="M13" s="19"/>
      <c r="N13" s="19" t="s">
        <v>527</v>
      </c>
      <c r="O13" s="19" t="s">
        <v>527</v>
      </c>
      <c r="P13" s="19"/>
      <c r="Q13" s="19"/>
      <c r="R13" s="19"/>
      <c r="T13" s="41"/>
    </row>
    <row r="14" spans="1:29" ht="16.5" customHeight="1">
      <c r="A14" s="36" t="s">
        <v>20</v>
      </c>
      <c r="B14" s="19" t="s">
        <v>152</v>
      </c>
      <c r="C14" s="19" t="s">
        <v>13</v>
      </c>
      <c r="D14" s="19" t="s">
        <v>13</v>
      </c>
      <c r="E14" s="19" t="s">
        <v>13</v>
      </c>
      <c r="F14" s="19" t="s">
        <v>13</v>
      </c>
      <c r="G14" s="19" t="s">
        <v>13</v>
      </c>
      <c r="H14" s="19" t="s">
        <v>13</v>
      </c>
      <c r="I14" s="19" t="s">
        <v>513</v>
      </c>
      <c r="J14" s="19" t="s">
        <v>13</v>
      </c>
      <c r="K14" s="19" t="s">
        <v>13</v>
      </c>
      <c r="L14" s="19" t="s">
        <v>13</v>
      </c>
      <c r="M14" s="19" t="s">
        <v>13</v>
      </c>
      <c r="N14" s="19" t="s">
        <v>13</v>
      </c>
      <c r="O14" s="19" t="s">
        <v>13</v>
      </c>
      <c r="P14" s="19" t="s">
        <v>514</v>
      </c>
      <c r="Q14" s="19"/>
      <c r="R14" s="19"/>
      <c r="T14" s="41"/>
    </row>
    <row r="15" spans="1:29" ht="16.5" customHeight="1">
      <c r="A15" s="36" t="s">
        <v>0</v>
      </c>
      <c r="B15" s="19"/>
      <c r="C15" s="19"/>
      <c r="D15" s="19"/>
      <c r="E15" s="19" t="s">
        <v>510</v>
      </c>
      <c r="F15" s="19" t="s">
        <v>13</v>
      </c>
      <c r="G15" s="19" t="s">
        <v>13</v>
      </c>
      <c r="H15" s="19"/>
      <c r="I15" s="19"/>
      <c r="J15" s="19"/>
      <c r="K15" s="19"/>
      <c r="L15" s="19" t="s">
        <v>510</v>
      </c>
      <c r="M15" s="19" t="s">
        <v>508</v>
      </c>
      <c r="N15" s="19" t="s">
        <v>508</v>
      </c>
      <c r="O15" s="19"/>
      <c r="P15" s="19"/>
      <c r="Q15" s="19"/>
      <c r="R15" s="19"/>
      <c r="T15" s="41"/>
      <c r="V15" s="40" t="s">
        <v>108</v>
      </c>
      <c r="W15" s="40">
        <f>SUM(W2:W14)</f>
        <v>16</v>
      </c>
      <c r="Y15" s="40">
        <f>SUM(Y2:Y14)</f>
        <v>16</v>
      </c>
      <c r="AA15" s="40">
        <f>SUM(AA2:AA14)</f>
        <v>2</v>
      </c>
      <c r="AC15" s="40">
        <f>SUM(AC2:AC14)</f>
        <v>8</v>
      </c>
    </row>
    <row r="16" spans="1:29" ht="16.5" customHeight="1">
      <c r="A16" s="36" t="s">
        <v>1</v>
      </c>
      <c r="B16" s="19" t="s">
        <v>166</v>
      </c>
      <c r="C16" s="19" t="s">
        <v>505</v>
      </c>
      <c r="D16" s="19" t="s">
        <v>505</v>
      </c>
      <c r="E16" s="19" t="s">
        <v>505</v>
      </c>
      <c r="F16" s="19"/>
      <c r="G16" s="19"/>
      <c r="H16" s="19" t="s">
        <v>509</v>
      </c>
      <c r="I16" s="19" t="s">
        <v>508</v>
      </c>
      <c r="J16" s="19" t="s">
        <v>508</v>
      </c>
      <c r="K16" s="19" t="s">
        <v>508</v>
      </c>
      <c r="L16" s="19" t="s">
        <v>508</v>
      </c>
      <c r="M16" s="19"/>
      <c r="N16" s="19"/>
      <c r="O16" s="19" t="s">
        <v>507</v>
      </c>
      <c r="P16" s="19" t="s">
        <v>508</v>
      </c>
      <c r="Q16" s="19"/>
      <c r="R16" s="19"/>
      <c r="T16" s="41"/>
    </row>
    <row r="17" spans="1:29" ht="16.5" customHeight="1">
      <c r="A17" s="36" t="s">
        <v>366</v>
      </c>
      <c r="B17" s="19"/>
      <c r="C17" s="19"/>
      <c r="D17" s="19"/>
      <c r="E17" s="19"/>
      <c r="F17" s="19"/>
      <c r="G17" s="19"/>
      <c r="H17" s="19"/>
      <c r="I17" s="19"/>
      <c r="J17" s="19"/>
      <c r="K17" s="19"/>
      <c r="L17" s="19"/>
      <c r="M17" s="19"/>
      <c r="N17" s="19"/>
      <c r="O17" s="19"/>
      <c r="P17" s="19"/>
      <c r="Q17" s="19"/>
      <c r="R17" s="19"/>
      <c r="T17" s="41"/>
    </row>
    <row r="18" spans="1:29" ht="16.5" customHeight="1">
      <c r="A18" s="42"/>
      <c r="B18" s="37"/>
      <c r="C18" s="37"/>
      <c r="D18" s="37"/>
      <c r="E18" s="37"/>
      <c r="F18" s="37"/>
      <c r="G18" s="37"/>
      <c r="H18" s="38"/>
      <c r="I18" s="38"/>
      <c r="J18" s="38"/>
      <c r="K18" s="38"/>
      <c r="L18" s="38"/>
      <c r="M18" s="38"/>
      <c r="N18" s="38"/>
      <c r="O18" s="38"/>
      <c r="P18" s="37"/>
      <c r="Q18" s="37"/>
      <c r="R18" s="39"/>
      <c r="T18" s="41"/>
      <c r="X18" s="40" t="s">
        <v>495</v>
      </c>
    </row>
    <row r="19" spans="1:29" ht="16.5" customHeight="1">
      <c r="A19" s="23" t="s">
        <v>278</v>
      </c>
      <c r="B19" s="25">
        <v>43851</v>
      </c>
      <c r="C19" s="25">
        <v>43852</v>
      </c>
      <c r="D19" s="25">
        <v>43853</v>
      </c>
      <c r="E19" s="25">
        <v>43854</v>
      </c>
      <c r="F19" s="30">
        <v>43855</v>
      </c>
      <c r="G19" s="30">
        <v>43856</v>
      </c>
      <c r="H19" s="25">
        <v>43857</v>
      </c>
      <c r="I19" s="25">
        <v>43858</v>
      </c>
      <c r="J19" s="25">
        <v>43859</v>
      </c>
      <c r="K19" s="25">
        <v>43860</v>
      </c>
      <c r="L19" s="25">
        <v>43861</v>
      </c>
      <c r="M19" s="26" t="s">
        <v>279</v>
      </c>
      <c r="N19" s="31">
        <v>43862</v>
      </c>
      <c r="O19" s="31">
        <v>43863</v>
      </c>
      <c r="P19" s="27">
        <v>43864</v>
      </c>
      <c r="Q19" s="27">
        <v>43865</v>
      </c>
      <c r="R19" s="27">
        <v>43866</v>
      </c>
      <c r="T19" s="41"/>
      <c r="V19" s="40" t="s">
        <v>63</v>
      </c>
      <c r="X19" s="40" t="s">
        <v>64</v>
      </c>
      <c r="Z19" s="40" t="s">
        <v>65</v>
      </c>
      <c r="AB19" s="40" t="s">
        <v>169</v>
      </c>
    </row>
    <row r="20" spans="1:29" ht="16.5" customHeight="1">
      <c r="A20" s="36">
        <v>1</v>
      </c>
      <c r="B20" s="19"/>
      <c r="C20" s="19"/>
      <c r="D20" s="19"/>
      <c r="E20" s="19"/>
      <c r="F20" s="19" t="s">
        <v>521</v>
      </c>
      <c r="G20" s="19" t="s">
        <v>518</v>
      </c>
      <c r="H20" s="19"/>
      <c r="I20" s="19"/>
      <c r="J20" s="19"/>
      <c r="K20" s="19"/>
      <c r="L20" s="19"/>
      <c r="M20" s="28"/>
      <c r="N20" s="19" t="s">
        <v>532</v>
      </c>
      <c r="O20" s="19" t="s">
        <v>523</v>
      </c>
      <c r="P20" s="19"/>
      <c r="Q20" s="19"/>
      <c r="R20" s="19"/>
      <c r="T20" s="41"/>
      <c r="V20" s="40" t="s">
        <v>25</v>
      </c>
      <c r="W20" s="40">
        <v>2</v>
      </c>
      <c r="X20" s="40" t="s">
        <v>45</v>
      </c>
      <c r="Y20" s="40">
        <v>3</v>
      </c>
      <c r="Z20" s="40" t="s">
        <v>34</v>
      </c>
      <c r="AB20" s="40" t="s">
        <v>153</v>
      </c>
      <c r="AC20" s="40">
        <v>1</v>
      </c>
    </row>
    <row r="21" spans="1:29" ht="16.5" customHeight="1">
      <c r="A21" s="36">
        <v>2</v>
      </c>
      <c r="B21" s="19"/>
      <c r="C21" s="19"/>
      <c r="D21" s="19"/>
      <c r="E21" s="19"/>
      <c r="F21" s="19" t="s">
        <v>249</v>
      </c>
      <c r="G21" s="19" t="s">
        <v>28</v>
      </c>
      <c r="H21" s="19"/>
      <c r="I21" s="19"/>
      <c r="J21" s="19"/>
      <c r="K21" s="19"/>
      <c r="L21" s="19"/>
      <c r="M21" s="28"/>
      <c r="N21" s="19" t="s">
        <v>535</v>
      </c>
      <c r="O21" s="19" t="s">
        <v>152</v>
      </c>
      <c r="P21" s="19"/>
      <c r="Q21" s="19"/>
      <c r="R21" s="19"/>
      <c r="T21" s="41"/>
      <c r="V21" s="40" t="s">
        <v>2</v>
      </c>
      <c r="W21" s="40">
        <v>2</v>
      </c>
      <c r="X21" s="40" t="s">
        <v>46</v>
      </c>
      <c r="Y21" s="40">
        <v>2</v>
      </c>
      <c r="Z21" s="40" t="s">
        <v>35</v>
      </c>
      <c r="AB21" s="40" t="s">
        <v>26</v>
      </c>
      <c r="AC21" s="40">
        <v>1</v>
      </c>
    </row>
    <row r="22" spans="1:29" ht="16.5" customHeight="1">
      <c r="A22" s="36">
        <v>3</v>
      </c>
      <c r="B22" s="19"/>
      <c r="C22" s="19"/>
      <c r="D22" s="19"/>
      <c r="E22" s="19"/>
      <c r="F22" s="19" t="s">
        <v>527</v>
      </c>
      <c r="G22" s="19" t="s">
        <v>527</v>
      </c>
      <c r="H22" s="19"/>
      <c r="I22" s="19"/>
      <c r="J22" s="19"/>
      <c r="K22" s="19"/>
      <c r="L22" s="19"/>
      <c r="M22" s="28"/>
      <c r="N22" s="19" t="s">
        <v>527</v>
      </c>
      <c r="O22" s="19" t="s">
        <v>527</v>
      </c>
      <c r="P22" s="19"/>
      <c r="Q22" s="19"/>
      <c r="R22" s="19"/>
      <c r="T22" s="41"/>
      <c r="V22" s="40" t="s">
        <v>14</v>
      </c>
      <c r="W22" s="40">
        <v>2</v>
      </c>
      <c r="X22" s="40" t="s">
        <v>6</v>
      </c>
      <c r="Y22" s="40">
        <v>1</v>
      </c>
      <c r="Z22" s="40" t="s">
        <v>8</v>
      </c>
      <c r="AB22" s="40" t="s">
        <v>6</v>
      </c>
      <c r="AC22" s="40">
        <v>1</v>
      </c>
    </row>
    <row r="23" spans="1:29" ht="16.5" customHeight="1">
      <c r="A23" s="36" t="s">
        <v>20</v>
      </c>
      <c r="B23" s="19" t="s">
        <v>514</v>
      </c>
      <c r="C23" s="19" t="s">
        <v>508</v>
      </c>
      <c r="D23" s="19" t="s">
        <v>508</v>
      </c>
      <c r="E23" s="19" t="s">
        <v>508</v>
      </c>
      <c r="F23" s="19" t="s">
        <v>508</v>
      </c>
      <c r="G23" s="19" t="s">
        <v>508</v>
      </c>
      <c r="H23" s="19" t="s">
        <v>515</v>
      </c>
      <c r="I23" s="19" t="s">
        <v>508</v>
      </c>
      <c r="J23" s="19" t="s">
        <v>508</v>
      </c>
      <c r="K23" s="19" t="s">
        <v>508</v>
      </c>
      <c r="L23" s="19" t="s">
        <v>508</v>
      </c>
      <c r="M23" s="28"/>
      <c r="N23" s="19" t="s">
        <v>515</v>
      </c>
      <c r="O23" s="19" t="s">
        <v>508</v>
      </c>
      <c r="P23" s="19" t="s">
        <v>516</v>
      </c>
      <c r="Q23" s="19" t="s">
        <v>508</v>
      </c>
      <c r="R23" s="19" t="s">
        <v>508</v>
      </c>
      <c r="T23" s="41"/>
      <c r="V23" s="40" t="s">
        <v>7</v>
      </c>
      <c r="W23" s="40">
        <v>2</v>
      </c>
      <c r="X23" s="40" t="s">
        <v>23</v>
      </c>
      <c r="Y23" s="40">
        <v>2</v>
      </c>
      <c r="Z23" s="40" t="s">
        <v>38</v>
      </c>
      <c r="AB23" s="40" t="s">
        <v>152</v>
      </c>
      <c r="AC23" s="40">
        <v>1</v>
      </c>
    </row>
    <row r="24" spans="1:29" ht="16.5" customHeight="1">
      <c r="A24" s="36" t="s">
        <v>0</v>
      </c>
      <c r="B24" s="19"/>
      <c r="C24" s="19"/>
      <c r="D24" s="19" t="s">
        <v>510</v>
      </c>
      <c r="E24" s="19" t="s">
        <v>508</v>
      </c>
      <c r="F24" s="19" t="s">
        <v>508</v>
      </c>
      <c r="G24" s="19"/>
      <c r="H24" s="19"/>
      <c r="I24" s="19"/>
      <c r="J24" s="19"/>
      <c r="K24" s="19" t="s">
        <v>510</v>
      </c>
      <c r="L24" s="19" t="s">
        <v>508</v>
      </c>
      <c r="M24" s="28"/>
      <c r="N24" s="19" t="s">
        <v>510</v>
      </c>
      <c r="O24" s="19"/>
      <c r="P24" s="19"/>
      <c r="Q24" s="19"/>
      <c r="R24" s="19"/>
      <c r="T24" s="41"/>
      <c r="V24" s="40" t="s">
        <v>21</v>
      </c>
      <c r="W24" s="40">
        <v>2</v>
      </c>
      <c r="X24" s="40" t="s">
        <v>153</v>
      </c>
      <c r="Y24" s="40">
        <v>2</v>
      </c>
      <c r="Z24" s="40" t="s">
        <v>36</v>
      </c>
      <c r="AB24" s="40" t="s">
        <v>23</v>
      </c>
      <c r="AC24" s="40">
        <v>1</v>
      </c>
    </row>
    <row r="25" spans="1:29" ht="16.5" customHeight="1">
      <c r="A25" s="36" t="s">
        <v>1</v>
      </c>
      <c r="B25" s="19" t="s">
        <v>507</v>
      </c>
      <c r="C25" s="19" t="s">
        <v>508</v>
      </c>
      <c r="D25" s="19" t="s">
        <v>508</v>
      </c>
      <c r="E25" s="19"/>
      <c r="F25" s="19"/>
      <c r="G25" s="19" t="s">
        <v>509</v>
      </c>
      <c r="H25" s="19" t="s">
        <v>508</v>
      </c>
      <c r="I25" s="19" t="s">
        <v>508</v>
      </c>
      <c r="J25" s="19" t="s">
        <v>508</v>
      </c>
      <c r="K25" s="19" t="s">
        <v>508</v>
      </c>
      <c r="L25" s="19"/>
      <c r="M25" s="28"/>
      <c r="N25" s="19"/>
      <c r="O25" s="19" t="s">
        <v>507</v>
      </c>
      <c r="P25" s="19" t="s">
        <v>508</v>
      </c>
      <c r="Q25" s="19" t="s">
        <v>508</v>
      </c>
      <c r="R25" s="19" t="s">
        <v>508</v>
      </c>
      <c r="T25" s="41"/>
      <c r="V25" s="40" t="s">
        <v>26</v>
      </c>
      <c r="W25" s="40">
        <v>2</v>
      </c>
      <c r="X25" s="40" t="s">
        <v>327</v>
      </c>
      <c r="Y25" s="40">
        <v>1</v>
      </c>
      <c r="Z25" s="40" t="s">
        <v>37</v>
      </c>
      <c r="AB25" s="40" t="s">
        <v>25</v>
      </c>
      <c r="AC25" s="40">
        <v>1</v>
      </c>
    </row>
    <row r="26" spans="1:29" ht="16.5" customHeight="1">
      <c r="A26" s="36" t="s">
        <v>366</v>
      </c>
      <c r="B26" s="19"/>
      <c r="C26" s="19"/>
      <c r="D26" s="19"/>
      <c r="E26" s="19"/>
      <c r="F26" s="19"/>
      <c r="G26" s="19"/>
      <c r="H26" s="19"/>
      <c r="I26" s="19"/>
      <c r="J26" s="19"/>
      <c r="K26" s="19"/>
      <c r="L26" s="19"/>
      <c r="M26" s="28"/>
      <c r="N26" s="19"/>
      <c r="O26" s="19"/>
      <c r="P26" s="19"/>
      <c r="Q26" s="19"/>
      <c r="R26" s="19"/>
      <c r="T26" s="41"/>
      <c r="V26" s="40" t="s">
        <v>27</v>
      </c>
      <c r="W26" s="40">
        <v>2</v>
      </c>
      <c r="X26" s="40" t="s">
        <v>28</v>
      </c>
      <c r="Y26" s="40">
        <v>2</v>
      </c>
      <c r="Z26" s="40" t="s">
        <v>249</v>
      </c>
      <c r="AB26" s="40" t="s">
        <v>327</v>
      </c>
      <c r="AC26" s="40">
        <v>1</v>
      </c>
    </row>
    <row r="27" spans="1:29" ht="16.5" customHeight="1">
      <c r="A27" s="26" t="s">
        <v>279</v>
      </c>
      <c r="B27" s="27">
        <v>43867</v>
      </c>
      <c r="C27" s="27">
        <v>43868</v>
      </c>
      <c r="D27" s="31">
        <v>43869</v>
      </c>
      <c r="E27" s="31">
        <v>43870</v>
      </c>
      <c r="F27" s="27">
        <v>43871</v>
      </c>
      <c r="G27" s="27">
        <v>43872</v>
      </c>
      <c r="H27" s="27">
        <v>43873</v>
      </c>
      <c r="I27" s="27">
        <v>43874</v>
      </c>
      <c r="J27" s="27">
        <v>43875</v>
      </c>
      <c r="K27" s="31">
        <v>43876</v>
      </c>
      <c r="L27" s="31">
        <v>43877</v>
      </c>
      <c r="M27" s="27">
        <v>43878</v>
      </c>
      <c r="N27" s="27">
        <v>43879</v>
      </c>
      <c r="O27" s="27">
        <v>43880</v>
      </c>
      <c r="P27" s="27">
        <v>43881</v>
      </c>
      <c r="Q27" s="27"/>
      <c r="R27" s="19"/>
      <c r="T27" s="41"/>
      <c r="V27" s="40" t="s">
        <v>28</v>
      </c>
      <c r="W27" s="40">
        <v>0</v>
      </c>
      <c r="X27" s="40" t="s">
        <v>152</v>
      </c>
      <c r="Y27" s="40">
        <v>1</v>
      </c>
      <c r="AB27" s="40" t="s">
        <v>249</v>
      </c>
    </row>
    <row r="28" spans="1:29" ht="16.5" customHeight="1">
      <c r="A28" s="28">
        <v>1</v>
      </c>
      <c r="B28" s="19"/>
      <c r="C28" s="19"/>
      <c r="D28" s="19" t="s">
        <v>531</v>
      </c>
      <c r="E28" s="19" t="s">
        <v>26</v>
      </c>
      <c r="F28" s="19"/>
      <c r="G28" s="19"/>
      <c r="H28" s="19"/>
      <c r="I28" s="19"/>
      <c r="J28" s="19"/>
      <c r="K28" s="19" t="s">
        <v>533</v>
      </c>
      <c r="L28" s="19" t="s">
        <v>25</v>
      </c>
      <c r="M28" s="19"/>
      <c r="N28" s="19"/>
      <c r="O28" s="19"/>
      <c r="P28" s="19"/>
      <c r="Q28" s="19"/>
      <c r="R28" s="19"/>
      <c r="T28" s="41"/>
      <c r="V28" s="40" t="s">
        <v>538</v>
      </c>
      <c r="W28" s="40">
        <v>1</v>
      </c>
      <c r="X28" s="40" t="s">
        <v>249</v>
      </c>
      <c r="Y28" s="40">
        <v>2</v>
      </c>
      <c r="AB28" s="40" t="s">
        <v>540</v>
      </c>
      <c r="AC28" s="40">
        <v>1</v>
      </c>
    </row>
    <row r="29" spans="1:29" ht="16.5" customHeight="1">
      <c r="A29" s="28">
        <v>2</v>
      </c>
      <c r="B29" s="19"/>
      <c r="C29" s="19"/>
      <c r="D29" s="19" t="s">
        <v>537</v>
      </c>
      <c r="E29" s="19" t="s">
        <v>536</v>
      </c>
      <c r="F29" s="19"/>
      <c r="G29" s="19"/>
      <c r="H29" s="19"/>
      <c r="I29" s="19"/>
      <c r="J29" s="19"/>
      <c r="K29" s="19" t="s">
        <v>93</v>
      </c>
      <c r="L29" s="19" t="s">
        <v>534</v>
      </c>
      <c r="M29" s="19"/>
      <c r="N29" s="19"/>
      <c r="O29" s="19"/>
      <c r="P29" s="19"/>
      <c r="Q29" s="19"/>
      <c r="R29" s="19"/>
      <c r="T29" s="41"/>
      <c r="V29" s="40" t="s">
        <v>539</v>
      </c>
      <c r="W29" s="40">
        <v>1</v>
      </c>
    </row>
    <row r="30" spans="1:29" ht="16.5" customHeight="1">
      <c r="A30" s="28">
        <v>3</v>
      </c>
      <c r="B30" s="19"/>
      <c r="C30" s="19"/>
      <c r="D30" s="19" t="s">
        <v>527</v>
      </c>
      <c r="E30" s="19" t="s">
        <v>527</v>
      </c>
      <c r="F30" s="19"/>
      <c r="G30" s="19"/>
      <c r="H30" s="19"/>
      <c r="I30" s="19"/>
      <c r="J30" s="19"/>
      <c r="K30" s="19" t="s">
        <v>527</v>
      </c>
      <c r="L30" s="19" t="s">
        <v>527</v>
      </c>
      <c r="M30" s="19"/>
      <c r="N30" s="19"/>
      <c r="O30" s="19"/>
      <c r="P30" s="19"/>
      <c r="Q30" s="19"/>
      <c r="R30" s="19"/>
      <c r="T30" s="41"/>
    </row>
    <row r="31" spans="1:29" ht="16.5" customHeight="1">
      <c r="A31" s="28" t="s">
        <v>20</v>
      </c>
      <c r="B31" s="19" t="s">
        <v>516</v>
      </c>
      <c r="C31" s="19" t="s">
        <v>508</v>
      </c>
      <c r="D31" s="19" t="s">
        <v>508</v>
      </c>
      <c r="E31" s="19" t="s">
        <v>508</v>
      </c>
      <c r="F31" s="19" t="s">
        <v>512</v>
      </c>
      <c r="G31" s="19" t="s">
        <v>508</v>
      </c>
      <c r="H31" s="19" t="s">
        <v>508</v>
      </c>
      <c r="I31" s="19" t="s">
        <v>508</v>
      </c>
      <c r="J31" s="19" t="s">
        <v>508</v>
      </c>
      <c r="K31" s="19" t="s">
        <v>508</v>
      </c>
      <c r="L31" s="19" t="s">
        <v>508</v>
      </c>
      <c r="M31" s="19" t="s">
        <v>517</v>
      </c>
      <c r="N31" s="19" t="s">
        <v>508</v>
      </c>
      <c r="O31" s="19" t="s">
        <v>508</v>
      </c>
      <c r="P31" s="19" t="s">
        <v>508</v>
      </c>
      <c r="Q31" s="19"/>
      <c r="R31" s="19"/>
      <c r="T31" s="41"/>
    </row>
    <row r="32" spans="1:29" ht="16.5" customHeight="1">
      <c r="A32" s="28" t="s">
        <v>0</v>
      </c>
      <c r="B32" s="19" t="s">
        <v>510</v>
      </c>
      <c r="C32" s="19" t="s">
        <v>508</v>
      </c>
      <c r="D32" s="19" t="s">
        <v>508</v>
      </c>
      <c r="E32" s="19"/>
      <c r="F32" s="19"/>
      <c r="G32" s="19"/>
      <c r="H32" s="19"/>
      <c r="I32" s="19" t="s">
        <v>510</v>
      </c>
      <c r="J32" s="19" t="s">
        <v>508</v>
      </c>
      <c r="K32" s="19" t="s">
        <v>508</v>
      </c>
      <c r="L32" s="19"/>
      <c r="M32" s="19"/>
      <c r="N32" s="19"/>
      <c r="O32" s="19"/>
      <c r="P32" s="19" t="s">
        <v>510</v>
      </c>
      <c r="Q32" s="19"/>
      <c r="R32" s="19"/>
      <c r="T32" s="41"/>
      <c r="V32" s="40" t="s">
        <v>108</v>
      </c>
      <c r="W32" s="40">
        <f>SUM(W19:W31)</f>
        <v>16</v>
      </c>
      <c r="Y32" s="40">
        <f>SUM(Y19:Y31)</f>
        <v>16</v>
      </c>
      <c r="AA32" s="40">
        <f>SUM(AA19:AA31)</f>
        <v>0</v>
      </c>
      <c r="AC32" s="40">
        <f>SUM(AC19:AC31)</f>
        <v>8</v>
      </c>
    </row>
    <row r="33" spans="1:20" ht="16.5" customHeight="1">
      <c r="A33" s="28" t="s">
        <v>1</v>
      </c>
      <c r="B33" s="19" t="s">
        <v>507</v>
      </c>
      <c r="C33" s="19"/>
      <c r="D33" s="19"/>
      <c r="E33" s="19" t="s">
        <v>509</v>
      </c>
      <c r="F33" s="19" t="s">
        <v>508</v>
      </c>
      <c r="G33" s="19" t="s">
        <v>508</v>
      </c>
      <c r="H33" s="19" t="s">
        <v>508</v>
      </c>
      <c r="I33" s="19" t="s">
        <v>508</v>
      </c>
      <c r="J33" s="19"/>
      <c r="K33" s="19"/>
      <c r="L33" s="19" t="s">
        <v>507</v>
      </c>
      <c r="M33" s="19" t="s">
        <v>508</v>
      </c>
      <c r="N33" s="19" t="s">
        <v>508</v>
      </c>
      <c r="O33" s="19" t="s">
        <v>508</v>
      </c>
      <c r="P33" s="19" t="s">
        <v>508</v>
      </c>
      <c r="Q33" s="19"/>
      <c r="R33" s="19"/>
    </row>
    <row r="34" spans="1:20" ht="16.5" customHeight="1">
      <c r="A34" s="28" t="s">
        <v>366</v>
      </c>
      <c r="B34" s="19"/>
      <c r="C34" s="19"/>
      <c r="D34" s="19"/>
      <c r="E34" s="19"/>
      <c r="F34" s="19"/>
      <c r="G34" s="19"/>
      <c r="H34" s="19"/>
      <c r="I34" s="19"/>
      <c r="J34" s="19"/>
      <c r="K34" s="19"/>
      <c r="L34" s="19"/>
      <c r="M34" s="19"/>
      <c r="N34" s="19"/>
      <c r="O34" s="19"/>
      <c r="P34" s="19"/>
      <c r="Q34" s="19"/>
      <c r="R34" s="19"/>
    </row>
    <row r="35" spans="1:20" ht="12.75" customHeight="1">
      <c r="Q35" s="145" t="s">
        <v>82</v>
      </c>
      <c r="R35" s="145"/>
      <c r="T35" s="41"/>
    </row>
    <row r="36" spans="1:20">
      <c r="A36" s="40" t="s">
        <v>322</v>
      </c>
      <c r="H36" s="43"/>
      <c r="T36" s="41"/>
    </row>
    <row r="37" spans="1:20">
      <c r="A37" s="43" t="s">
        <v>21</v>
      </c>
      <c r="B37" s="43">
        <v>43828</v>
      </c>
      <c r="C37" s="43">
        <v>43829</v>
      </c>
      <c r="D37" s="43">
        <v>43830</v>
      </c>
      <c r="E37" s="43">
        <v>43466</v>
      </c>
      <c r="F37" s="43">
        <v>43467</v>
      </c>
      <c r="G37" s="43">
        <v>43468</v>
      </c>
      <c r="H37" s="43"/>
      <c r="I37" s="43"/>
      <c r="J37" s="43"/>
      <c r="K37" s="43"/>
      <c r="L37" s="43"/>
      <c r="M37" s="43"/>
      <c r="N37" s="43"/>
      <c r="O37" s="43"/>
      <c r="P37" s="43"/>
      <c r="Q37" s="43"/>
      <c r="R37" s="43"/>
      <c r="T37" s="41"/>
    </row>
    <row r="38" spans="1:20">
      <c r="A38" s="43" t="s">
        <v>497</v>
      </c>
      <c r="B38" s="43">
        <v>43483</v>
      </c>
      <c r="C38" s="43">
        <v>43484</v>
      </c>
      <c r="D38" s="43">
        <v>43490</v>
      </c>
      <c r="E38" s="43">
        <v>43491</v>
      </c>
      <c r="F38" s="43">
        <v>43497</v>
      </c>
      <c r="G38" s="43">
        <v>43498</v>
      </c>
      <c r="H38" s="43"/>
      <c r="I38" s="43"/>
      <c r="J38" s="43"/>
      <c r="K38" s="43"/>
      <c r="L38" s="43"/>
      <c r="M38" s="43"/>
      <c r="N38" s="43"/>
      <c r="O38" s="43"/>
      <c r="P38" s="43"/>
      <c r="Q38" s="43"/>
      <c r="R38" s="43"/>
      <c r="T38" s="41"/>
    </row>
    <row r="39" spans="1:20">
      <c r="A39" s="43" t="s">
        <v>498</v>
      </c>
      <c r="B39" s="43">
        <v>43490</v>
      </c>
      <c r="C39" s="43">
        <v>43491</v>
      </c>
      <c r="D39" s="43" t="s">
        <v>499</v>
      </c>
      <c r="E39" s="43" t="s">
        <v>500</v>
      </c>
      <c r="F39" s="43"/>
      <c r="G39" s="43"/>
      <c r="H39" s="43"/>
      <c r="I39" s="43"/>
      <c r="J39" s="43"/>
      <c r="K39" s="43"/>
      <c r="L39" s="43"/>
      <c r="M39" s="43"/>
      <c r="N39" s="43"/>
      <c r="O39" s="43"/>
      <c r="P39" s="43"/>
      <c r="Q39" s="43"/>
      <c r="R39" s="43"/>
      <c r="T39" s="41"/>
    </row>
    <row r="40" spans="1:20">
      <c r="A40" s="43" t="s">
        <v>501</v>
      </c>
      <c r="B40" s="43">
        <v>43821</v>
      </c>
      <c r="C40" s="43">
        <v>43829</v>
      </c>
      <c r="D40" s="43">
        <v>43830</v>
      </c>
      <c r="E40" s="43">
        <v>43466</v>
      </c>
      <c r="F40" s="43">
        <v>43467</v>
      </c>
      <c r="G40" s="43">
        <v>43468</v>
      </c>
      <c r="H40" s="43">
        <v>43469</v>
      </c>
      <c r="I40" s="43">
        <v>43470</v>
      </c>
      <c r="J40" s="43">
        <v>43512</v>
      </c>
      <c r="K40" s="43"/>
      <c r="L40" s="43"/>
      <c r="M40" s="43"/>
      <c r="N40" s="43"/>
      <c r="O40" s="43"/>
      <c r="P40" s="43"/>
      <c r="Q40" s="43"/>
      <c r="R40" s="43"/>
    </row>
    <row r="41" spans="1:20">
      <c r="A41" s="43" t="s">
        <v>502</v>
      </c>
      <c r="B41" s="43">
        <v>43820</v>
      </c>
      <c r="C41" s="43">
        <v>43821</v>
      </c>
      <c r="D41" s="43"/>
      <c r="E41" s="43"/>
      <c r="F41" s="43"/>
      <c r="G41" s="43"/>
      <c r="H41" s="43"/>
      <c r="I41" s="43"/>
      <c r="J41" s="43"/>
      <c r="K41" s="43"/>
      <c r="L41" s="43"/>
      <c r="M41" s="43"/>
      <c r="N41" s="43"/>
      <c r="O41" s="43"/>
      <c r="P41" s="43"/>
      <c r="Q41" s="43"/>
      <c r="R41" s="43"/>
      <c r="T41" s="41"/>
    </row>
    <row r="42" spans="1:20">
      <c r="A42" s="43" t="s">
        <v>503</v>
      </c>
      <c r="B42" s="43">
        <v>43821</v>
      </c>
      <c r="C42" s="43">
        <v>43827</v>
      </c>
      <c r="D42" s="43">
        <v>43828</v>
      </c>
      <c r="E42" s="43">
        <v>43511</v>
      </c>
      <c r="F42" s="43"/>
      <c r="G42" s="43"/>
      <c r="H42" s="43"/>
      <c r="I42" s="43"/>
      <c r="J42" s="43"/>
      <c r="K42" s="43"/>
      <c r="L42" s="43"/>
      <c r="M42" s="43"/>
      <c r="N42" s="43"/>
      <c r="O42" s="43"/>
      <c r="P42" s="43"/>
      <c r="Q42" s="43"/>
      <c r="R42" s="43"/>
      <c r="T42" s="41"/>
    </row>
    <row r="43" spans="1:20">
      <c r="A43" s="43" t="s">
        <v>506</v>
      </c>
      <c r="B43" s="43">
        <v>43828</v>
      </c>
      <c r="C43" s="43">
        <v>43476</v>
      </c>
      <c r="D43" s="43">
        <v>43477</v>
      </c>
      <c r="E43" s="43"/>
      <c r="F43" s="43"/>
      <c r="G43" s="43"/>
      <c r="H43" s="43"/>
      <c r="I43" s="43"/>
      <c r="J43" s="43"/>
      <c r="K43" s="43"/>
      <c r="L43" s="43"/>
      <c r="M43" s="43"/>
      <c r="N43" s="43"/>
      <c r="O43" s="43"/>
      <c r="P43" s="43"/>
      <c r="Q43" s="43"/>
      <c r="R43" s="43"/>
      <c r="T43" s="41"/>
    </row>
    <row r="44" spans="1:20">
      <c r="A44" s="43" t="s">
        <v>511</v>
      </c>
      <c r="B44" s="43">
        <v>43820</v>
      </c>
      <c r="C44" s="43"/>
      <c r="D44" s="43"/>
      <c r="E44" s="43"/>
      <c r="F44" s="43"/>
      <c r="G44" s="43"/>
      <c r="H44" s="43"/>
      <c r="I44" s="43"/>
      <c r="J44" s="43"/>
      <c r="K44" s="43"/>
      <c r="L44" s="43"/>
      <c r="M44" s="43"/>
      <c r="N44" s="43"/>
      <c r="O44" s="43"/>
      <c r="P44" s="43"/>
      <c r="Q44" s="43"/>
      <c r="R44" s="43"/>
      <c r="T44" s="41"/>
    </row>
    <row r="45" spans="1:20">
      <c r="A45" s="43"/>
      <c r="B45" s="43"/>
      <c r="C45" s="43"/>
      <c r="D45" s="43"/>
      <c r="E45" s="43"/>
      <c r="F45" s="43"/>
      <c r="G45" s="43"/>
      <c r="H45" s="43"/>
      <c r="I45" s="43"/>
      <c r="J45" s="43"/>
      <c r="K45" s="43"/>
      <c r="L45" s="43"/>
      <c r="M45" s="43"/>
      <c r="N45" s="43"/>
      <c r="O45" s="43"/>
      <c r="P45" s="43"/>
      <c r="Q45" s="43"/>
      <c r="R45" s="43"/>
    </row>
    <row r="46" spans="1:20">
      <c r="A46" s="43"/>
      <c r="B46" s="43"/>
      <c r="C46" s="43"/>
      <c r="D46" s="43"/>
      <c r="E46" s="43"/>
      <c r="F46" s="43"/>
      <c r="G46" s="43"/>
      <c r="H46" s="43"/>
      <c r="I46" s="43"/>
      <c r="J46" s="43"/>
      <c r="K46" s="43"/>
      <c r="L46" s="43"/>
      <c r="M46" s="43"/>
      <c r="N46" s="43"/>
      <c r="O46" s="43"/>
      <c r="P46" s="43"/>
      <c r="Q46" s="43"/>
      <c r="R46" s="43"/>
      <c r="T46" s="41"/>
    </row>
    <row r="47" spans="1:20">
      <c r="A47" s="43"/>
      <c r="B47" s="43"/>
      <c r="C47" s="43"/>
      <c r="D47" s="43"/>
      <c r="E47" s="43"/>
      <c r="F47" s="43"/>
      <c r="G47" s="43"/>
      <c r="H47" s="43"/>
      <c r="I47" s="43"/>
      <c r="J47" s="43"/>
      <c r="K47" s="43"/>
      <c r="L47" s="43"/>
      <c r="M47" s="43"/>
      <c r="N47" s="43"/>
      <c r="O47" s="43"/>
      <c r="P47" s="43"/>
      <c r="Q47" s="43"/>
      <c r="R47" s="43"/>
      <c r="T47" s="41"/>
    </row>
    <row r="48" spans="1:20">
      <c r="A48" s="43"/>
      <c r="B48" s="43"/>
      <c r="C48" s="43"/>
      <c r="D48" s="43"/>
      <c r="E48" s="43"/>
      <c r="F48" s="43"/>
      <c r="G48" s="43"/>
      <c r="H48" s="43"/>
      <c r="I48" s="43"/>
      <c r="J48" s="43"/>
      <c r="K48" s="43"/>
      <c r="L48" s="43"/>
      <c r="M48" s="43"/>
      <c r="N48" s="43"/>
      <c r="O48" s="43"/>
      <c r="P48" s="43"/>
      <c r="Q48" s="43"/>
      <c r="R48" s="43"/>
      <c r="T48" s="41"/>
    </row>
    <row r="49" spans="1:18">
      <c r="A49" s="43"/>
      <c r="B49" s="43"/>
      <c r="C49" s="43"/>
      <c r="D49" s="43"/>
      <c r="E49" s="43"/>
      <c r="F49" s="43"/>
      <c r="G49" s="43"/>
      <c r="H49" s="43"/>
      <c r="I49" s="43"/>
      <c r="J49" s="43"/>
      <c r="K49" s="43"/>
      <c r="L49" s="43"/>
      <c r="M49" s="43"/>
      <c r="N49" s="43"/>
      <c r="O49" s="43"/>
      <c r="P49" s="43"/>
      <c r="Q49" s="43"/>
      <c r="R49" s="43"/>
    </row>
    <row r="50" spans="1:18">
      <c r="A50" s="43"/>
      <c r="B50" s="43"/>
      <c r="C50" s="43"/>
      <c r="D50" s="43"/>
      <c r="E50" s="43"/>
      <c r="F50" s="43"/>
      <c r="G50" s="43"/>
      <c r="H50" s="43"/>
      <c r="I50" s="43"/>
      <c r="J50" s="43"/>
      <c r="K50" s="43"/>
      <c r="L50" s="43"/>
      <c r="M50" s="43"/>
      <c r="N50" s="43"/>
      <c r="O50" s="43"/>
      <c r="P50" s="43"/>
      <c r="Q50" s="43"/>
      <c r="R50" s="43"/>
    </row>
    <row r="51" spans="1:18">
      <c r="A51" s="43"/>
      <c r="B51" s="43"/>
      <c r="C51" s="43"/>
      <c r="D51" s="43"/>
      <c r="E51" s="43"/>
      <c r="F51" s="43"/>
      <c r="G51" s="43"/>
      <c r="H51" s="43"/>
      <c r="I51" s="43"/>
      <c r="J51" s="43"/>
      <c r="K51" s="43"/>
      <c r="L51" s="43"/>
      <c r="M51" s="43"/>
      <c r="N51" s="43"/>
      <c r="O51" s="43"/>
      <c r="P51" s="43"/>
      <c r="Q51" s="43"/>
      <c r="R51" s="43"/>
    </row>
  </sheetData>
  <mergeCells count="2">
    <mergeCell ref="A1:R1"/>
    <mergeCell ref="Q35:R35"/>
  </mergeCells>
  <phoneticPr fontId="2"/>
  <pageMargins left="0.70866141732283472" right="0.70866141732283472" top="0" bottom="0" header="0.31496062992125984" footer="0.31496062992125984"/>
  <pageSetup paperSize="9" orientation="landscape" r:id="rId1"/>
  <drawing r:id="rId2"/>
  <legacyDrawing r:id="rId3"/>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C51"/>
  <sheetViews>
    <sheetView zoomScale="85" zoomScaleNormal="85" workbookViewId="0">
      <selection activeCell="F32" sqref="F32"/>
    </sheetView>
  </sheetViews>
  <sheetFormatPr defaultColWidth="9" defaultRowHeight="18.75"/>
  <cols>
    <col min="1" max="18" width="6.625" style="40" customWidth="1"/>
    <col min="19" max="19" width="3.625" style="40" customWidth="1"/>
    <col min="20" max="20" width="6.625" style="40" customWidth="1"/>
    <col min="21" max="21" width="3.625" style="40" customWidth="1"/>
    <col min="22" max="37" width="6.625" style="40" customWidth="1"/>
    <col min="38" max="38" width="3.625" style="40" customWidth="1"/>
    <col min="39" max="16384" width="9" style="40"/>
  </cols>
  <sheetData>
    <row r="1" spans="1:29">
      <c r="A1" s="147" t="s">
        <v>464</v>
      </c>
      <c r="B1" s="147"/>
      <c r="C1" s="147"/>
      <c r="D1" s="147"/>
      <c r="E1" s="147"/>
      <c r="F1" s="147"/>
      <c r="G1" s="147"/>
      <c r="H1" s="147"/>
      <c r="I1" s="147"/>
      <c r="J1" s="147"/>
      <c r="K1" s="147"/>
      <c r="L1" s="147"/>
      <c r="M1" s="147"/>
      <c r="N1" s="147"/>
      <c r="O1" s="147"/>
      <c r="P1" s="147"/>
      <c r="Q1" s="147"/>
      <c r="R1" s="147"/>
      <c r="X1" s="40" t="s">
        <v>426</v>
      </c>
    </row>
    <row r="2" spans="1:29" ht="16.5" customHeight="1">
      <c r="A2" s="26" t="s">
        <v>218</v>
      </c>
      <c r="B2" s="27">
        <v>43759</v>
      </c>
      <c r="C2" s="27">
        <v>43760</v>
      </c>
      <c r="D2" s="27">
        <v>43761</v>
      </c>
      <c r="E2" s="27">
        <v>43762</v>
      </c>
      <c r="F2" s="27">
        <v>43763</v>
      </c>
      <c r="G2" s="31">
        <v>43764</v>
      </c>
      <c r="H2" s="31">
        <v>43765</v>
      </c>
      <c r="I2" s="27">
        <v>43766</v>
      </c>
      <c r="J2" s="27">
        <v>43767</v>
      </c>
      <c r="K2" s="27">
        <v>43768</v>
      </c>
      <c r="L2" s="27">
        <v>43769</v>
      </c>
      <c r="M2" s="23" t="s">
        <v>243</v>
      </c>
      <c r="N2" s="25">
        <v>43770</v>
      </c>
      <c r="O2" s="30">
        <v>43771</v>
      </c>
      <c r="P2" s="30">
        <v>43772</v>
      </c>
      <c r="Q2" s="25">
        <v>43773</v>
      </c>
      <c r="R2" s="25">
        <v>43774</v>
      </c>
      <c r="V2" s="40" t="s">
        <v>63</v>
      </c>
      <c r="X2" s="40" t="s">
        <v>64</v>
      </c>
      <c r="Z2" s="40" t="s">
        <v>65</v>
      </c>
      <c r="AB2" s="40" t="s">
        <v>169</v>
      </c>
    </row>
    <row r="3" spans="1:29" ht="16.5" customHeight="1">
      <c r="A3" s="28">
        <v>1</v>
      </c>
      <c r="B3" s="19"/>
      <c r="C3" s="19"/>
      <c r="D3" s="19"/>
      <c r="E3" s="19"/>
      <c r="F3" s="19"/>
      <c r="G3" s="19" t="s">
        <v>479</v>
      </c>
      <c r="H3" s="19" t="s">
        <v>480</v>
      </c>
      <c r="I3" s="19"/>
      <c r="J3" s="19"/>
      <c r="K3" s="19"/>
      <c r="L3" s="19"/>
      <c r="M3" s="36"/>
      <c r="N3" s="19"/>
      <c r="O3" s="19" t="s">
        <v>481</v>
      </c>
      <c r="P3" s="19" t="s">
        <v>482</v>
      </c>
      <c r="Q3" s="19"/>
      <c r="R3" s="19"/>
      <c r="V3" s="40" t="s">
        <v>25</v>
      </c>
      <c r="W3" s="40">
        <v>2</v>
      </c>
      <c r="X3" s="40" t="s">
        <v>45</v>
      </c>
      <c r="Y3" s="40">
        <v>3</v>
      </c>
      <c r="Z3" s="40" t="s">
        <v>34</v>
      </c>
      <c r="AA3" s="40">
        <v>2</v>
      </c>
      <c r="AB3" s="40" t="s">
        <v>153</v>
      </c>
      <c r="AC3" s="40">
        <v>1</v>
      </c>
    </row>
    <row r="4" spans="1:29" ht="16.5" customHeight="1">
      <c r="A4" s="28">
        <v>2</v>
      </c>
      <c r="B4" s="19"/>
      <c r="C4" s="19"/>
      <c r="D4" s="19"/>
      <c r="E4" s="19"/>
      <c r="F4" s="19"/>
      <c r="G4" s="19" t="s">
        <v>485</v>
      </c>
      <c r="H4" s="19" t="s">
        <v>484</v>
      </c>
      <c r="I4" s="19"/>
      <c r="J4" s="19"/>
      <c r="K4" s="19"/>
      <c r="L4" s="19"/>
      <c r="M4" s="36"/>
      <c r="N4" s="19"/>
      <c r="O4" s="19" t="s">
        <v>486</v>
      </c>
      <c r="P4" s="19" t="s">
        <v>487</v>
      </c>
      <c r="Q4" s="19"/>
      <c r="R4" s="19"/>
      <c r="T4" s="41"/>
      <c r="U4" s="41"/>
      <c r="V4" s="40" t="s">
        <v>2</v>
      </c>
      <c r="W4" s="40">
        <v>3</v>
      </c>
      <c r="X4" s="40" t="s">
        <v>46</v>
      </c>
      <c r="Y4" s="40">
        <v>3</v>
      </c>
      <c r="Z4" s="40" t="s">
        <v>35</v>
      </c>
      <c r="AA4" s="40">
        <v>3</v>
      </c>
      <c r="AB4" s="40" t="s">
        <v>26</v>
      </c>
      <c r="AC4" s="40">
        <v>1</v>
      </c>
    </row>
    <row r="5" spans="1:29" ht="16.5" customHeight="1">
      <c r="A5" s="28">
        <v>3</v>
      </c>
      <c r="B5" s="19"/>
      <c r="C5" s="19"/>
      <c r="D5" s="19"/>
      <c r="E5" s="19"/>
      <c r="F5" s="19"/>
      <c r="G5" s="19" t="s">
        <v>470</v>
      </c>
      <c r="H5" s="19" t="s">
        <v>470</v>
      </c>
      <c r="I5" s="19"/>
      <c r="J5" s="19"/>
      <c r="K5" s="19"/>
      <c r="L5" s="19"/>
      <c r="M5" s="36"/>
      <c r="N5" s="19"/>
      <c r="O5" s="19" t="s">
        <v>470</v>
      </c>
      <c r="P5" s="19" t="s">
        <v>470</v>
      </c>
      <c r="Q5" s="19"/>
      <c r="R5" s="19"/>
      <c r="T5" s="41"/>
      <c r="U5" s="41"/>
      <c r="V5" s="40" t="s">
        <v>14</v>
      </c>
      <c r="W5" s="40">
        <v>2</v>
      </c>
      <c r="X5" s="40" t="s">
        <v>6</v>
      </c>
      <c r="Y5" s="40">
        <v>2</v>
      </c>
      <c r="Z5" s="40" t="s">
        <v>8</v>
      </c>
      <c r="AA5" s="40">
        <v>3</v>
      </c>
      <c r="AB5" s="40" t="s">
        <v>6</v>
      </c>
      <c r="AC5" s="40">
        <v>1</v>
      </c>
    </row>
    <row r="6" spans="1:29" ht="16.5" customHeight="1">
      <c r="A6" s="28" t="s">
        <v>20</v>
      </c>
      <c r="B6" s="19" t="s">
        <v>249</v>
      </c>
      <c r="C6" s="19" t="s">
        <v>467</v>
      </c>
      <c r="D6" s="19" t="s">
        <v>467</v>
      </c>
      <c r="E6" s="19" t="s">
        <v>467</v>
      </c>
      <c r="F6" s="19" t="s">
        <v>467</v>
      </c>
      <c r="G6" s="19" t="s">
        <v>467</v>
      </c>
      <c r="H6" s="19" t="s">
        <v>467</v>
      </c>
      <c r="I6" s="19" t="s">
        <v>471</v>
      </c>
      <c r="J6" s="19" t="s">
        <v>467</v>
      </c>
      <c r="K6" s="19" t="s">
        <v>467</v>
      </c>
      <c r="L6" s="19" t="s">
        <v>467</v>
      </c>
      <c r="M6" s="36"/>
      <c r="N6" s="19" t="s">
        <v>471</v>
      </c>
      <c r="O6" s="19" t="s">
        <v>467</v>
      </c>
      <c r="P6" s="19" t="s">
        <v>467</v>
      </c>
      <c r="Q6" s="19" t="s">
        <v>472</v>
      </c>
      <c r="R6" s="19" t="s">
        <v>467</v>
      </c>
      <c r="T6" s="41"/>
      <c r="U6" s="41"/>
      <c r="V6" s="40" t="s">
        <v>7</v>
      </c>
      <c r="W6" s="40">
        <v>3</v>
      </c>
      <c r="X6" s="40" t="s">
        <v>23</v>
      </c>
      <c r="Y6" s="40">
        <v>2</v>
      </c>
      <c r="Z6" s="40" t="s">
        <v>38</v>
      </c>
      <c r="AA6" s="40">
        <v>3</v>
      </c>
      <c r="AB6" s="40" t="s">
        <v>152</v>
      </c>
      <c r="AC6" s="40">
        <v>1</v>
      </c>
    </row>
    <row r="7" spans="1:29" ht="16.5" customHeight="1">
      <c r="A7" s="28" t="s">
        <v>0</v>
      </c>
      <c r="B7" s="19"/>
      <c r="C7" s="19"/>
      <c r="D7" s="19"/>
      <c r="E7" s="19" t="s">
        <v>469</v>
      </c>
      <c r="F7" s="19" t="s">
        <v>467</v>
      </c>
      <c r="G7" s="19" t="s">
        <v>467</v>
      </c>
      <c r="H7" s="19"/>
      <c r="I7" s="19"/>
      <c r="J7" s="19"/>
      <c r="K7" s="19"/>
      <c r="L7" s="19" t="s">
        <v>469</v>
      </c>
      <c r="M7" s="36"/>
      <c r="N7" s="19" t="s">
        <v>469</v>
      </c>
      <c r="O7" s="19" t="s">
        <v>467</v>
      </c>
      <c r="P7" s="19"/>
      <c r="Q7" s="19"/>
      <c r="R7" s="19"/>
      <c r="T7" s="41"/>
      <c r="U7" s="41"/>
      <c r="V7" s="40" t="s">
        <v>21</v>
      </c>
      <c r="W7" s="40">
        <v>3</v>
      </c>
      <c r="X7" s="40" t="s">
        <v>153</v>
      </c>
      <c r="Y7" s="40">
        <v>2</v>
      </c>
      <c r="Z7" s="40" t="s">
        <v>36</v>
      </c>
      <c r="AA7" s="40">
        <v>2</v>
      </c>
      <c r="AB7" s="40" t="s">
        <v>23</v>
      </c>
      <c r="AC7" s="40">
        <v>1</v>
      </c>
    </row>
    <row r="8" spans="1:29" ht="16.5" customHeight="1">
      <c r="A8" s="28" t="s">
        <v>1</v>
      </c>
      <c r="B8" s="19" t="s">
        <v>466</v>
      </c>
      <c r="C8" s="19" t="s">
        <v>467</v>
      </c>
      <c r="D8" s="19" t="s">
        <v>467</v>
      </c>
      <c r="E8" s="19" t="s">
        <v>467</v>
      </c>
      <c r="F8" s="19"/>
      <c r="G8" s="19"/>
      <c r="H8" s="19" t="s">
        <v>468</v>
      </c>
      <c r="I8" s="19" t="s">
        <v>467</v>
      </c>
      <c r="J8" s="19" t="s">
        <v>467</v>
      </c>
      <c r="K8" s="19" t="s">
        <v>467</v>
      </c>
      <c r="L8" s="19" t="s">
        <v>467</v>
      </c>
      <c r="M8" s="36"/>
      <c r="N8" s="19"/>
      <c r="O8" s="19"/>
      <c r="P8" s="19" t="s">
        <v>466</v>
      </c>
      <c r="Q8" s="19" t="s">
        <v>467</v>
      </c>
      <c r="R8" s="19" t="s">
        <v>467</v>
      </c>
      <c r="T8" s="41"/>
      <c r="V8" s="40" t="s">
        <v>26</v>
      </c>
      <c r="W8" s="40">
        <v>2</v>
      </c>
      <c r="X8" s="40" t="s">
        <v>327</v>
      </c>
      <c r="Y8" s="40">
        <v>2</v>
      </c>
      <c r="Z8" s="40" t="s">
        <v>37</v>
      </c>
      <c r="AA8" s="40">
        <v>3</v>
      </c>
      <c r="AB8" s="40" t="s">
        <v>25</v>
      </c>
      <c r="AC8" s="40">
        <v>1</v>
      </c>
    </row>
    <row r="9" spans="1:29" ht="16.5" customHeight="1">
      <c r="A9" s="28" t="s">
        <v>366</v>
      </c>
      <c r="B9" s="19"/>
      <c r="C9" s="19"/>
      <c r="D9" s="19"/>
      <c r="E9" s="19"/>
      <c r="F9" s="19"/>
      <c r="G9" s="19"/>
      <c r="H9" s="19"/>
      <c r="I9" s="19"/>
      <c r="J9" s="19"/>
      <c r="K9" s="19"/>
      <c r="L9" s="19"/>
      <c r="M9" s="36"/>
      <c r="N9" s="19"/>
      <c r="O9" s="19"/>
      <c r="P9" s="19"/>
      <c r="Q9" s="19"/>
      <c r="R9" s="19"/>
      <c r="T9" s="41"/>
      <c r="V9" s="40" t="s">
        <v>27</v>
      </c>
      <c r="W9" s="40">
        <v>2</v>
      </c>
      <c r="X9" s="40" t="s">
        <v>28</v>
      </c>
      <c r="Y9" s="40">
        <v>1</v>
      </c>
      <c r="Z9" s="40" t="s">
        <v>249</v>
      </c>
      <c r="AA9" s="40">
        <v>2</v>
      </c>
      <c r="AB9" s="40" t="s">
        <v>327</v>
      </c>
      <c r="AC9" s="40">
        <v>2</v>
      </c>
    </row>
    <row r="10" spans="1:29" ht="16.5" customHeight="1">
      <c r="A10" s="23" t="s">
        <v>243</v>
      </c>
      <c r="B10" s="25">
        <v>43775</v>
      </c>
      <c r="C10" s="25">
        <v>43776</v>
      </c>
      <c r="D10" s="25">
        <v>43777</v>
      </c>
      <c r="E10" s="30">
        <v>43778</v>
      </c>
      <c r="F10" s="30">
        <v>43779</v>
      </c>
      <c r="G10" s="25">
        <v>43780</v>
      </c>
      <c r="H10" s="25">
        <v>43781</v>
      </c>
      <c r="I10" s="25">
        <v>43782</v>
      </c>
      <c r="J10" s="25">
        <v>43783</v>
      </c>
      <c r="K10" s="25">
        <v>43784</v>
      </c>
      <c r="L10" s="30">
        <v>43785</v>
      </c>
      <c r="M10" s="30">
        <v>43786</v>
      </c>
      <c r="N10" s="25">
        <v>43787</v>
      </c>
      <c r="O10" s="25">
        <v>43788</v>
      </c>
      <c r="P10" s="25">
        <v>43789</v>
      </c>
      <c r="Q10" s="19"/>
      <c r="R10" s="19"/>
      <c r="T10" s="41"/>
      <c r="V10" s="40" t="s">
        <v>28</v>
      </c>
      <c r="W10" s="40">
        <v>1</v>
      </c>
      <c r="X10" s="40" t="s">
        <v>152</v>
      </c>
      <c r="Y10" s="40">
        <v>3</v>
      </c>
      <c r="AB10" s="40" t="s">
        <v>249</v>
      </c>
      <c r="AC10" s="40">
        <v>1</v>
      </c>
    </row>
    <row r="11" spans="1:29" ht="16.5" customHeight="1">
      <c r="A11" s="36">
        <v>1</v>
      </c>
      <c r="B11" s="19"/>
      <c r="C11" s="19"/>
      <c r="D11" s="19"/>
      <c r="E11" s="19" t="s">
        <v>483</v>
      </c>
      <c r="F11" s="19" t="s">
        <v>491</v>
      </c>
      <c r="G11" s="19"/>
      <c r="H11" s="19"/>
      <c r="I11" s="19"/>
      <c r="J11" s="19"/>
      <c r="K11" s="19"/>
      <c r="L11" s="19" t="s">
        <v>479</v>
      </c>
      <c r="M11" s="19" t="s">
        <v>490</v>
      </c>
      <c r="N11" s="19"/>
      <c r="O11" s="19"/>
      <c r="P11" s="19"/>
      <c r="Q11" s="19"/>
      <c r="R11" s="19"/>
      <c r="T11" s="41"/>
    </row>
    <row r="12" spans="1:29" ht="16.5" customHeight="1">
      <c r="A12" s="36">
        <v>2</v>
      </c>
      <c r="B12" s="19"/>
      <c r="C12" s="19"/>
      <c r="D12" s="19"/>
      <c r="E12" s="19" t="s">
        <v>488</v>
      </c>
      <c r="F12" s="19" t="s">
        <v>489</v>
      </c>
      <c r="G12" s="19"/>
      <c r="H12" s="19"/>
      <c r="I12" s="19"/>
      <c r="J12" s="19"/>
      <c r="K12" s="19"/>
      <c r="L12" s="19" t="s">
        <v>493</v>
      </c>
      <c r="M12" s="19" t="s">
        <v>485</v>
      </c>
      <c r="N12" s="19"/>
      <c r="O12" s="19"/>
      <c r="P12" s="19"/>
      <c r="Q12" s="19"/>
      <c r="R12" s="19"/>
      <c r="T12" s="41"/>
    </row>
    <row r="13" spans="1:29" ht="16.5" customHeight="1">
      <c r="A13" s="36">
        <v>3</v>
      </c>
      <c r="B13" s="19"/>
      <c r="C13" s="19"/>
      <c r="D13" s="19"/>
      <c r="E13" s="19" t="s">
        <v>470</v>
      </c>
      <c r="F13" s="19" t="s">
        <v>470</v>
      </c>
      <c r="G13" s="19"/>
      <c r="H13" s="19"/>
      <c r="I13" s="19"/>
      <c r="J13" s="19"/>
      <c r="K13" s="19"/>
      <c r="L13" s="19" t="s">
        <v>34</v>
      </c>
      <c r="M13" s="19" t="s">
        <v>38</v>
      </c>
      <c r="N13" s="19"/>
      <c r="O13" s="19"/>
      <c r="P13" s="19"/>
      <c r="Q13" s="19"/>
      <c r="R13" s="19"/>
      <c r="T13" s="41"/>
    </row>
    <row r="14" spans="1:29" ht="16.5" customHeight="1">
      <c r="A14" s="36" t="s">
        <v>20</v>
      </c>
      <c r="B14" s="19" t="s">
        <v>472</v>
      </c>
      <c r="C14" s="19" t="s">
        <v>467</v>
      </c>
      <c r="D14" s="19" t="s">
        <v>467</v>
      </c>
      <c r="E14" s="19" t="s">
        <v>467</v>
      </c>
      <c r="F14" s="19" t="s">
        <v>467</v>
      </c>
      <c r="G14" s="19" t="s">
        <v>473</v>
      </c>
      <c r="H14" s="19" t="s">
        <v>467</v>
      </c>
      <c r="I14" s="19" t="s">
        <v>467</v>
      </c>
      <c r="J14" s="19" t="s">
        <v>467</v>
      </c>
      <c r="K14" s="19" t="s">
        <v>467</v>
      </c>
      <c r="L14" s="19" t="s">
        <v>467</v>
      </c>
      <c r="M14" s="19" t="s">
        <v>467</v>
      </c>
      <c r="N14" s="19" t="s">
        <v>474</v>
      </c>
      <c r="O14" s="19" t="s">
        <v>467</v>
      </c>
      <c r="P14" s="19" t="s">
        <v>467</v>
      </c>
      <c r="Q14" s="19"/>
      <c r="R14" s="19"/>
      <c r="T14" s="41"/>
    </row>
    <row r="15" spans="1:29" ht="16.5" customHeight="1">
      <c r="A15" s="36" t="s">
        <v>0</v>
      </c>
      <c r="B15" s="19"/>
      <c r="C15" s="19" t="s">
        <v>469</v>
      </c>
      <c r="D15" s="19" t="s">
        <v>467</v>
      </c>
      <c r="E15" s="19" t="s">
        <v>467</v>
      </c>
      <c r="F15" s="19"/>
      <c r="G15" s="19"/>
      <c r="H15" s="19"/>
      <c r="I15" s="19"/>
      <c r="J15" s="19" t="s">
        <v>469</v>
      </c>
      <c r="K15" s="19" t="s">
        <v>467</v>
      </c>
      <c r="L15" s="19" t="s">
        <v>467</v>
      </c>
      <c r="M15" s="19"/>
      <c r="N15" s="19"/>
      <c r="O15" s="19"/>
      <c r="P15" s="19"/>
      <c r="Q15" s="19"/>
      <c r="R15" s="19"/>
      <c r="T15" s="41"/>
      <c r="V15" s="40" t="s">
        <v>248</v>
      </c>
      <c r="W15" s="40">
        <f>SUM(W2:W14)</f>
        <v>18</v>
      </c>
      <c r="Y15" s="40">
        <f>SUM(Y2:Y14)</f>
        <v>18</v>
      </c>
      <c r="AA15" s="40">
        <f>SUM(AA2:AA14)</f>
        <v>18</v>
      </c>
      <c r="AC15" s="40">
        <f>SUM(AC2:AC14)</f>
        <v>9</v>
      </c>
    </row>
    <row r="16" spans="1:29" ht="16.5" customHeight="1">
      <c r="A16" s="36" t="s">
        <v>1</v>
      </c>
      <c r="B16" s="19" t="s">
        <v>466</v>
      </c>
      <c r="C16" s="19" t="s">
        <v>467</v>
      </c>
      <c r="D16" s="19"/>
      <c r="E16" s="19"/>
      <c r="F16" s="19" t="s">
        <v>468</v>
      </c>
      <c r="G16" s="19" t="s">
        <v>467</v>
      </c>
      <c r="H16" s="19" t="s">
        <v>467</v>
      </c>
      <c r="I16" s="19" t="s">
        <v>467</v>
      </c>
      <c r="J16" s="19" t="s">
        <v>467</v>
      </c>
      <c r="K16" s="19"/>
      <c r="L16" s="19"/>
      <c r="M16" s="19" t="s">
        <v>466</v>
      </c>
      <c r="N16" s="19" t="s">
        <v>467</v>
      </c>
      <c r="O16" s="19" t="s">
        <v>467</v>
      </c>
      <c r="P16" s="19" t="s">
        <v>467</v>
      </c>
      <c r="Q16" s="19"/>
      <c r="R16" s="19"/>
      <c r="T16" s="41"/>
    </row>
    <row r="17" spans="1:29" ht="16.5" customHeight="1">
      <c r="A17" s="36" t="s">
        <v>366</v>
      </c>
      <c r="B17" s="19"/>
      <c r="C17" s="19"/>
      <c r="D17" s="19"/>
      <c r="E17" s="19"/>
      <c r="F17" s="19"/>
      <c r="G17" s="19"/>
      <c r="H17" s="19"/>
      <c r="I17" s="19"/>
      <c r="J17" s="19"/>
      <c r="K17" s="19"/>
      <c r="L17" s="19"/>
      <c r="M17" s="19"/>
      <c r="N17" s="19"/>
      <c r="O17" s="19"/>
      <c r="P17" s="19"/>
      <c r="Q17" s="19"/>
      <c r="R17" s="19"/>
      <c r="T17" s="41"/>
    </row>
    <row r="18" spans="1:29" ht="16.5" customHeight="1">
      <c r="A18" s="42"/>
      <c r="B18" s="37"/>
      <c r="C18" s="37"/>
      <c r="D18" s="37"/>
      <c r="E18" s="37"/>
      <c r="F18" s="37"/>
      <c r="G18" s="37"/>
      <c r="H18" s="38"/>
      <c r="I18" s="38"/>
      <c r="J18" s="38"/>
      <c r="K18" s="38"/>
      <c r="L18" s="38"/>
      <c r="M18" s="38"/>
      <c r="N18" s="38"/>
      <c r="O18" s="38"/>
      <c r="P18" s="37"/>
      <c r="Q18" s="37"/>
      <c r="R18" s="39"/>
      <c r="T18" s="41"/>
      <c r="X18" s="40" t="s">
        <v>465</v>
      </c>
    </row>
    <row r="19" spans="1:29" ht="16.5" customHeight="1">
      <c r="A19" s="23" t="s">
        <v>243</v>
      </c>
      <c r="B19" s="25">
        <v>43790</v>
      </c>
      <c r="C19" s="25">
        <v>43791</v>
      </c>
      <c r="D19" s="30">
        <v>43792</v>
      </c>
      <c r="E19" s="30">
        <v>43793</v>
      </c>
      <c r="F19" s="25">
        <v>43794</v>
      </c>
      <c r="G19" s="25">
        <v>43795</v>
      </c>
      <c r="H19" s="25">
        <v>43796</v>
      </c>
      <c r="I19" s="25">
        <v>43797</v>
      </c>
      <c r="J19" s="25">
        <v>43798</v>
      </c>
      <c r="K19" s="30">
        <v>43799</v>
      </c>
      <c r="L19" s="25"/>
      <c r="M19" s="26" t="s">
        <v>244</v>
      </c>
      <c r="N19" s="31">
        <v>43800</v>
      </c>
      <c r="O19" s="27">
        <v>43801</v>
      </c>
      <c r="P19" s="27">
        <v>43802</v>
      </c>
      <c r="Q19" s="27">
        <v>43803</v>
      </c>
      <c r="R19" s="27">
        <v>43804</v>
      </c>
      <c r="T19" s="41"/>
      <c r="V19" s="40" t="s">
        <v>63</v>
      </c>
      <c r="X19" s="40" t="s">
        <v>64</v>
      </c>
      <c r="Z19" s="40" t="s">
        <v>65</v>
      </c>
      <c r="AB19" s="40" t="s">
        <v>169</v>
      </c>
    </row>
    <row r="20" spans="1:29" ht="16.5" customHeight="1">
      <c r="A20" s="36">
        <v>1</v>
      </c>
      <c r="B20" s="19"/>
      <c r="C20" s="19"/>
      <c r="D20" s="19" t="s">
        <v>482</v>
      </c>
      <c r="E20" s="19" t="s">
        <v>481</v>
      </c>
      <c r="F20" s="19"/>
      <c r="G20" s="19"/>
      <c r="H20" s="19"/>
      <c r="I20" s="19"/>
      <c r="J20" s="19"/>
      <c r="K20" s="19" t="s">
        <v>480</v>
      </c>
      <c r="L20" s="19"/>
      <c r="M20" s="28"/>
      <c r="N20" s="19" t="s">
        <v>492</v>
      </c>
      <c r="O20" s="19"/>
      <c r="P20" s="19"/>
      <c r="Q20" s="19"/>
      <c r="R20" s="19"/>
      <c r="T20" s="41"/>
      <c r="V20" s="40" t="s">
        <v>25</v>
      </c>
      <c r="W20" s="40">
        <v>3</v>
      </c>
      <c r="X20" s="40" t="s">
        <v>45</v>
      </c>
      <c r="Y20" s="40">
        <v>2</v>
      </c>
      <c r="Z20" s="40" t="s">
        <v>34</v>
      </c>
      <c r="AA20" s="40">
        <v>1</v>
      </c>
      <c r="AB20" s="40" t="s">
        <v>153</v>
      </c>
      <c r="AC20" s="40">
        <v>1</v>
      </c>
    </row>
    <row r="21" spans="1:29" ht="16.5" customHeight="1">
      <c r="A21" s="36">
        <v>2</v>
      </c>
      <c r="B21" s="19"/>
      <c r="C21" s="19"/>
      <c r="D21" s="19" t="s">
        <v>494</v>
      </c>
      <c r="E21" s="19" t="s">
        <v>487</v>
      </c>
      <c r="F21" s="19"/>
      <c r="G21" s="19"/>
      <c r="H21" s="19"/>
      <c r="I21" s="19"/>
      <c r="J21" s="19"/>
      <c r="K21" s="19" t="s">
        <v>484</v>
      </c>
      <c r="L21" s="19"/>
      <c r="M21" s="28"/>
      <c r="N21" s="19" t="s">
        <v>486</v>
      </c>
      <c r="O21" s="19"/>
      <c r="P21" s="19"/>
      <c r="Q21" s="19"/>
      <c r="R21" s="19"/>
      <c r="T21" s="41"/>
      <c r="V21" s="40" t="s">
        <v>2</v>
      </c>
      <c r="W21" s="40">
        <v>3</v>
      </c>
      <c r="X21" s="40" t="s">
        <v>46</v>
      </c>
      <c r="Y21" s="40">
        <v>3</v>
      </c>
      <c r="Z21" s="40" t="s">
        <v>35</v>
      </c>
      <c r="AB21" s="40" t="s">
        <v>26</v>
      </c>
      <c r="AC21" s="40">
        <v>1</v>
      </c>
    </row>
    <row r="22" spans="1:29" ht="16.5" customHeight="1">
      <c r="A22" s="36">
        <v>3</v>
      </c>
      <c r="B22" s="19"/>
      <c r="C22" s="19"/>
      <c r="D22" s="19" t="s">
        <v>470</v>
      </c>
      <c r="E22" s="19" t="s">
        <v>470</v>
      </c>
      <c r="F22" s="19"/>
      <c r="G22" s="19"/>
      <c r="H22" s="19"/>
      <c r="I22" s="19"/>
      <c r="J22" s="19"/>
      <c r="K22" s="19" t="s">
        <v>470</v>
      </c>
      <c r="L22" s="19"/>
      <c r="M22" s="28"/>
      <c r="N22" s="19" t="s">
        <v>470</v>
      </c>
      <c r="O22" s="19"/>
      <c r="P22" s="19"/>
      <c r="Q22" s="19"/>
      <c r="R22" s="19"/>
      <c r="T22" s="41"/>
      <c r="V22" s="40" t="s">
        <v>14</v>
      </c>
      <c r="W22" s="40">
        <v>2</v>
      </c>
      <c r="X22" s="40" t="s">
        <v>6</v>
      </c>
      <c r="Y22" s="40">
        <v>2</v>
      </c>
      <c r="Z22" s="40" t="s">
        <v>8</v>
      </c>
      <c r="AB22" s="40" t="s">
        <v>6</v>
      </c>
      <c r="AC22" s="40">
        <v>1</v>
      </c>
    </row>
    <row r="23" spans="1:29" ht="16.5" customHeight="1">
      <c r="A23" s="36" t="s">
        <v>20</v>
      </c>
      <c r="B23" s="19" t="s">
        <v>474</v>
      </c>
      <c r="C23" s="19" t="s">
        <v>467</v>
      </c>
      <c r="D23" s="19" t="s">
        <v>467</v>
      </c>
      <c r="E23" s="19" t="s">
        <v>467</v>
      </c>
      <c r="F23" s="19" t="s">
        <v>475</v>
      </c>
      <c r="G23" s="19" t="s">
        <v>467</v>
      </c>
      <c r="H23" s="19" t="s">
        <v>467</v>
      </c>
      <c r="I23" s="19" t="s">
        <v>467</v>
      </c>
      <c r="J23" s="19" t="s">
        <v>467</v>
      </c>
      <c r="K23" s="19" t="s">
        <v>467</v>
      </c>
      <c r="L23" s="19"/>
      <c r="M23" s="28"/>
      <c r="N23" s="19" t="s">
        <v>475</v>
      </c>
      <c r="O23" s="19" t="s">
        <v>476</v>
      </c>
      <c r="P23" s="19" t="s">
        <v>467</v>
      </c>
      <c r="Q23" s="19" t="s">
        <v>467</v>
      </c>
      <c r="R23" s="19" t="s">
        <v>467</v>
      </c>
      <c r="T23" s="41"/>
      <c r="V23" s="40" t="s">
        <v>7</v>
      </c>
      <c r="W23" s="40">
        <v>2</v>
      </c>
      <c r="X23" s="40" t="s">
        <v>23</v>
      </c>
      <c r="Y23" s="40">
        <v>2</v>
      </c>
      <c r="Z23" s="40" t="s">
        <v>38</v>
      </c>
      <c r="AA23" s="40">
        <v>1</v>
      </c>
      <c r="AB23" s="40" t="s">
        <v>152</v>
      </c>
      <c r="AC23" s="40">
        <v>1</v>
      </c>
    </row>
    <row r="24" spans="1:29" ht="16.5" customHeight="1">
      <c r="A24" s="36" t="s">
        <v>0</v>
      </c>
      <c r="B24" s="19" t="s">
        <v>469</v>
      </c>
      <c r="C24" s="19" t="s">
        <v>467</v>
      </c>
      <c r="D24" s="19" t="s">
        <v>467</v>
      </c>
      <c r="E24" s="19"/>
      <c r="F24" s="19"/>
      <c r="G24" s="19"/>
      <c r="H24" s="19"/>
      <c r="I24" s="19" t="s">
        <v>469</v>
      </c>
      <c r="J24" s="19" t="s">
        <v>467</v>
      </c>
      <c r="K24" s="19" t="s">
        <v>467</v>
      </c>
      <c r="L24" s="19"/>
      <c r="M24" s="28"/>
      <c r="N24" s="19"/>
      <c r="O24" s="19"/>
      <c r="P24" s="19"/>
      <c r="Q24" s="19"/>
      <c r="R24" s="19" t="s">
        <v>469</v>
      </c>
      <c r="T24" s="41"/>
      <c r="V24" s="40" t="s">
        <v>21</v>
      </c>
      <c r="W24" s="40">
        <v>2</v>
      </c>
      <c r="X24" s="40" t="s">
        <v>153</v>
      </c>
      <c r="Y24" s="40">
        <v>2</v>
      </c>
      <c r="Z24" s="40" t="s">
        <v>36</v>
      </c>
      <c r="AB24" s="40" t="s">
        <v>23</v>
      </c>
      <c r="AC24" s="40">
        <v>1</v>
      </c>
    </row>
    <row r="25" spans="1:29" ht="16.5" customHeight="1">
      <c r="A25" s="36" t="s">
        <v>1</v>
      </c>
      <c r="B25" s="19" t="s">
        <v>466</v>
      </c>
      <c r="C25" s="19"/>
      <c r="D25" s="19"/>
      <c r="E25" s="19" t="s">
        <v>468</v>
      </c>
      <c r="F25" s="19" t="s">
        <v>467</v>
      </c>
      <c r="G25" s="19" t="s">
        <v>467</v>
      </c>
      <c r="H25" s="19" t="s">
        <v>467</v>
      </c>
      <c r="I25" s="19" t="s">
        <v>467</v>
      </c>
      <c r="J25" s="19"/>
      <c r="K25" s="19"/>
      <c r="L25" s="19"/>
      <c r="M25" s="28"/>
      <c r="N25" s="19" t="s">
        <v>466</v>
      </c>
      <c r="O25" s="19" t="s">
        <v>467</v>
      </c>
      <c r="P25" s="19" t="s">
        <v>467</v>
      </c>
      <c r="Q25" s="19" t="s">
        <v>467</v>
      </c>
      <c r="R25" s="19" t="s">
        <v>467</v>
      </c>
      <c r="T25" s="41"/>
      <c r="V25" s="40" t="s">
        <v>26</v>
      </c>
      <c r="W25" s="40">
        <v>1</v>
      </c>
      <c r="X25" s="40" t="s">
        <v>327</v>
      </c>
      <c r="Y25" s="40">
        <v>2</v>
      </c>
      <c r="Z25" s="40" t="s">
        <v>37</v>
      </c>
      <c r="AB25" s="40" t="s">
        <v>25</v>
      </c>
      <c r="AC25" s="40">
        <v>1</v>
      </c>
    </row>
    <row r="26" spans="1:29" ht="16.5" customHeight="1">
      <c r="A26" s="36" t="s">
        <v>366</v>
      </c>
      <c r="B26" s="19"/>
      <c r="C26" s="19"/>
      <c r="D26" s="19"/>
      <c r="E26" s="19"/>
      <c r="F26" s="19"/>
      <c r="G26" s="19"/>
      <c r="H26" s="19"/>
      <c r="I26" s="19"/>
      <c r="J26" s="19"/>
      <c r="K26" s="19"/>
      <c r="L26" s="19"/>
      <c r="M26" s="28"/>
      <c r="N26" s="19"/>
      <c r="O26" s="19"/>
      <c r="P26" s="19"/>
      <c r="Q26" s="19"/>
      <c r="R26" s="19"/>
      <c r="T26" s="41"/>
      <c r="V26" s="40" t="s">
        <v>27</v>
      </c>
      <c r="W26" s="40">
        <v>2</v>
      </c>
      <c r="X26" s="40" t="s">
        <v>28</v>
      </c>
      <c r="Y26" s="40">
        <v>0</v>
      </c>
      <c r="Z26" s="40" t="s">
        <v>249</v>
      </c>
      <c r="AB26" s="40" t="s">
        <v>327</v>
      </c>
      <c r="AC26" s="40">
        <v>1</v>
      </c>
    </row>
    <row r="27" spans="1:29" ht="16.5" customHeight="1">
      <c r="A27" s="26" t="s">
        <v>244</v>
      </c>
      <c r="B27" s="27">
        <v>43805</v>
      </c>
      <c r="C27" s="31">
        <v>43806</v>
      </c>
      <c r="D27" s="31">
        <v>43807</v>
      </c>
      <c r="E27" s="27">
        <v>43808</v>
      </c>
      <c r="F27" s="27">
        <v>43809</v>
      </c>
      <c r="G27" s="27">
        <v>43810</v>
      </c>
      <c r="H27" s="27">
        <v>43811</v>
      </c>
      <c r="I27" s="27">
        <v>43812</v>
      </c>
      <c r="J27" s="31">
        <v>43813</v>
      </c>
      <c r="K27" s="31">
        <v>43814</v>
      </c>
      <c r="L27" s="27">
        <v>43815</v>
      </c>
      <c r="M27" s="27">
        <v>43816</v>
      </c>
      <c r="N27" s="27">
        <v>43817</v>
      </c>
      <c r="O27" s="27">
        <v>43818</v>
      </c>
      <c r="P27" s="27">
        <v>43819</v>
      </c>
      <c r="Q27" s="27"/>
      <c r="R27" s="19"/>
      <c r="T27" s="41"/>
      <c r="V27" s="40" t="s">
        <v>28</v>
      </c>
      <c r="W27" s="40">
        <v>1</v>
      </c>
      <c r="X27" s="40" t="s">
        <v>152</v>
      </c>
      <c r="Y27" s="40">
        <v>2</v>
      </c>
      <c r="AB27" s="40" t="s">
        <v>249</v>
      </c>
      <c r="AC27" s="40">
        <v>1</v>
      </c>
    </row>
    <row r="28" spans="1:29" ht="16.5" customHeight="1">
      <c r="A28" s="28">
        <v>1</v>
      </c>
      <c r="B28" s="19"/>
      <c r="C28" s="19" t="s">
        <v>490</v>
      </c>
      <c r="D28" s="19" t="s">
        <v>491</v>
      </c>
      <c r="E28" s="19"/>
      <c r="F28" s="19"/>
      <c r="G28" s="19"/>
      <c r="H28" s="19"/>
      <c r="I28" s="19"/>
      <c r="J28" s="19" t="s">
        <v>2</v>
      </c>
      <c r="K28" s="19" t="s">
        <v>25</v>
      </c>
      <c r="L28" s="19"/>
      <c r="M28" s="19"/>
      <c r="N28" s="19"/>
      <c r="O28" s="19"/>
      <c r="P28" s="19"/>
      <c r="Q28" s="19"/>
      <c r="R28" s="19"/>
      <c r="T28" s="41"/>
      <c r="X28" s="40" t="s">
        <v>249</v>
      </c>
      <c r="Y28" s="40">
        <v>1</v>
      </c>
    </row>
    <row r="29" spans="1:29" ht="16.5" customHeight="1">
      <c r="A29" s="28">
        <v>2</v>
      </c>
      <c r="B29" s="19"/>
      <c r="C29" s="19" t="s">
        <v>488</v>
      </c>
      <c r="D29" s="19" t="s">
        <v>153</v>
      </c>
      <c r="E29" s="19"/>
      <c r="F29" s="19"/>
      <c r="G29" s="19"/>
      <c r="H29" s="19"/>
      <c r="I29" s="19"/>
      <c r="J29" s="19" t="s">
        <v>152</v>
      </c>
      <c r="K29" s="19" t="s">
        <v>46</v>
      </c>
      <c r="L29" s="19"/>
      <c r="M29" s="19"/>
      <c r="N29" s="19"/>
      <c r="O29" s="19"/>
      <c r="P29" s="19"/>
      <c r="Q29" s="19"/>
      <c r="R29" s="19"/>
      <c r="T29" s="41"/>
    </row>
    <row r="30" spans="1:29" ht="16.5" customHeight="1">
      <c r="A30" s="28">
        <v>3</v>
      </c>
      <c r="B30" s="19"/>
      <c r="C30" s="19" t="s">
        <v>470</v>
      </c>
      <c r="D30" s="19" t="s">
        <v>470</v>
      </c>
      <c r="E30" s="19"/>
      <c r="F30" s="19"/>
      <c r="G30" s="19"/>
      <c r="H30" s="19"/>
      <c r="I30" s="19"/>
      <c r="J30" s="19" t="s">
        <v>470</v>
      </c>
      <c r="K30" s="19" t="s">
        <v>470</v>
      </c>
      <c r="L30" s="19"/>
      <c r="M30" s="19"/>
      <c r="N30" s="19"/>
      <c r="O30" s="19"/>
      <c r="P30" s="19"/>
      <c r="Q30" s="19"/>
      <c r="R30" s="19"/>
      <c r="T30" s="41"/>
    </row>
    <row r="31" spans="1:29" ht="16.5" customHeight="1">
      <c r="A31" s="28" t="s">
        <v>20</v>
      </c>
      <c r="B31" s="19" t="s">
        <v>476</v>
      </c>
      <c r="C31" s="19" t="s">
        <v>467</v>
      </c>
      <c r="D31" s="19" t="s">
        <v>467</v>
      </c>
      <c r="E31" s="19" t="s">
        <v>26</v>
      </c>
      <c r="F31" s="19" t="s">
        <v>467</v>
      </c>
      <c r="G31" s="19" t="s">
        <v>467</v>
      </c>
      <c r="H31" s="19" t="s">
        <v>467</v>
      </c>
      <c r="I31" s="19" t="s">
        <v>467</v>
      </c>
      <c r="J31" s="19" t="s">
        <v>467</v>
      </c>
      <c r="K31" s="19" t="s">
        <v>467</v>
      </c>
      <c r="L31" s="19" t="s">
        <v>327</v>
      </c>
      <c r="M31" s="19" t="s">
        <v>467</v>
      </c>
      <c r="N31" s="19" t="s">
        <v>467</v>
      </c>
      <c r="O31" s="19" t="s">
        <v>467</v>
      </c>
      <c r="P31" s="19" t="s">
        <v>467</v>
      </c>
      <c r="Q31" s="19"/>
      <c r="R31" s="19"/>
      <c r="T31" s="41"/>
    </row>
    <row r="32" spans="1:29" ht="16.5" customHeight="1">
      <c r="A32" s="28" t="s">
        <v>0</v>
      </c>
      <c r="B32" s="19" t="s">
        <v>469</v>
      </c>
      <c r="C32" s="19" t="s">
        <v>467</v>
      </c>
      <c r="D32" s="19"/>
      <c r="E32" s="19"/>
      <c r="F32" s="19"/>
      <c r="G32" s="19"/>
      <c r="H32" s="19" t="s">
        <v>469</v>
      </c>
      <c r="I32" s="19" t="s">
        <v>467</v>
      </c>
      <c r="J32" s="19" t="s">
        <v>467</v>
      </c>
      <c r="K32" s="19"/>
      <c r="L32" s="19"/>
      <c r="M32" s="19"/>
      <c r="N32" s="19"/>
      <c r="O32" s="19" t="s">
        <v>469</v>
      </c>
      <c r="P32" s="19" t="s">
        <v>467</v>
      </c>
      <c r="Q32" s="19"/>
      <c r="R32" s="19"/>
      <c r="T32" s="41"/>
      <c r="V32" s="40" t="s">
        <v>108</v>
      </c>
      <c r="W32" s="40">
        <f>SUM(W19:W31)</f>
        <v>16</v>
      </c>
      <c r="Y32" s="40">
        <f>SUM(Y19:Y31)</f>
        <v>16</v>
      </c>
      <c r="AA32" s="40">
        <f>SUM(AA19:AA31)</f>
        <v>2</v>
      </c>
      <c r="AC32" s="40">
        <f>SUM(AC19:AC31)</f>
        <v>8</v>
      </c>
    </row>
    <row r="33" spans="1:20" ht="16.5" customHeight="1">
      <c r="A33" s="28" t="s">
        <v>1</v>
      </c>
      <c r="B33" s="19"/>
      <c r="C33" s="19"/>
      <c r="D33" s="19" t="s">
        <v>468</v>
      </c>
      <c r="E33" s="19" t="s">
        <v>467</v>
      </c>
      <c r="F33" s="19" t="s">
        <v>467</v>
      </c>
      <c r="G33" s="19" t="s">
        <v>467</v>
      </c>
      <c r="H33" s="19" t="s">
        <v>467</v>
      </c>
      <c r="I33" s="19"/>
      <c r="J33" s="19"/>
      <c r="K33" s="19" t="s">
        <v>466</v>
      </c>
      <c r="L33" s="19" t="s">
        <v>467</v>
      </c>
      <c r="M33" s="19" t="s">
        <v>467</v>
      </c>
      <c r="N33" s="19" t="s">
        <v>467</v>
      </c>
      <c r="O33" s="19" t="s">
        <v>467</v>
      </c>
      <c r="P33" s="19"/>
      <c r="Q33" s="19"/>
      <c r="R33" s="19"/>
    </row>
    <row r="34" spans="1:20" ht="16.5" customHeight="1">
      <c r="A34" s="28" t="s">
        <v>366</v>
      </c>
      <c r="B34" s="19"/>
      <c r="C34" s="19"/>
      <c r="D34" s="19"/>
      <c r="E34" s="19"/>
      <c r="F34" s="19"/>
      <c r="G34" s="19"/>
      <c r="H34" s="19"/>
      <c r="I34" s="19"/>
      <c r="J34" s="19"/>
      <c r="K34" s="19"/>
      <c r="L34" s="19"/>
      <c r="M34" s="19"/>
      <c r="N34" s="19"/>
      <c r="O34" s="19"/>
      <c r="P34" s="19"/>
      <c r="Q34" s="19"/>
      <c r="R34" s="19"/>
    </row>
    <row r="35" spans="1:20" ht="12.75" customHeight="1">
      <c r="Q35" s="145" t="s">
        <v>82</v>
      </c>
      <c r="R35" s="145"/>
      <c r="T35" s="41"/>
    </row>
    <row r="36" spans="1:20">
      <c r="A36" s="40" t="s">
        <v>322</v>
      </c>
      <c r="H36" s="43"/>
      <c r="T36" s="41"/>
    </row>
    <row r="37" spans="1:20">
      <c r="A37" s="43" t="s">
        <v>7</v>
      </c>
      <c r="B37" s="43">
        <v>43778</v>
      </c>
      <c r="C37" s="43">
        <v>43785</v>
      </c>
      <c r="D37" s="43">
        <v>43806</v>
      </c>
      <c r="E37" s="43"/>
      <c r="F37" s="43"/>
      <c r="G37" s="43"/>
      <c r="H37" s="43"/>
      <c r="I37" s="43"/>
      <c r="J37" s="43"/>
      <c r="K37" s="43"/>
      <c r="L37" s="43"/>
      <c r="M37" s="43"/>
      <c r="N37" s="43"/>
      <c r="O37" s="43"/>
      <c r="P37" s="43"/>
      <c r="Q37" s="43"/>
      <c r="R37" s="43"/>
      <c r="T37" s="41"/>
    </row>
    <row r="38" spans="1:20">
      <c r="A38" s="43" t="s">
        <v>21</v>
      </c>
      <c r="B38" s="43"/>
      <c r="C38" s="43"/>
      <c r="D38" s="43"/>
      <c r="E38" s="43"/>
      <c r="F38" s="43"/>
      <c r="G38" s="43"/>
      <c r="H38" s="43"/>
      <c r="I38" s="43"/>
      <c r="J38" s="43"/>
      <c r="K38" s="43"/>
      <c r="L38" s="43"/>
      <c r="M38" s="43"/>
      <c r="N38" s="43"/>
      <c r="O38" s="43"/>
      <c r="P38" s="43"/>
      <c r="Q38" s="43"/>
      <c r="R38" s="43"/>
      <c r="T38" s="41"/>
    </row>
    <row r="39" spans="1:20">
      <c r="A39" s="43" t="s">
        <v>27</v>
      </c>
      <c r="B39" s="43">
        <v>43792</v>
      </c>
      <c r="C39" s="43">
        <v>43793</v>
      </c>
      <c r="D39" s="43"/>
      <c r="E39" s="43"/>
      <c r="F39" s="43"/>
      <c r="G39" s="43"/>
      <c r="H39" s="43"/>
      <c r="I39" s="43"/>
      <c r="J39" s="43"/>
      <c r="K39" s="43"/>
      <c r="L39" s="43"/>
      <c r="M39" s="43"/>
      <c r="N39" s="43"/>
      <c r="O39" s="43"/>
      <c r="P39" s="43"/>
      <c r="Q39" s="43"/>
      <c r="R39" s="43"/>
      <c r="T39" s="41"/>
    </row>
    <row r="40" spans="1:20">
      <c r="A40" s="43" t="s">
        <v>249</v>
      </c>
      <c r="B40" s="43"/>
      <c r="C40" s="43"/>
      <c r="D40" s="43"/>
      <c r="E40" s="43"/>
      <c r="F40" s="43"/>
      <c r="G40" s="43"/>
      <c r="H40" s="43"/>
      <c r="I40" s="43"/>
      <c r="J40" s="43"/>
      <c r="K40" s="43"/>
      <c r="L40" s="43"/>
      <c r="M40" s="43"/>
      <c r="N40" s="43"/>
      <c r="O40" s="43"/>
      <c r="P40" s="43"/>
      <c r="Q40" s="43"/>
      <c r="R40" s="43"/>
    </row>
    <row r="41" spans="1:20">
      <c r="A41" s="43" t="s">
        <v>28</v>
      </c>
      <c r="B41" s="43">
        <v>43772</v>
      </c>
      <c r="C41" s="43">
        <v>43778</v>
      </c>
      <c r="D41" s="43">
        <v>43779</v>
      </c>
      <c r="E41" s="43">
        <v>43792</v>
      </c>
      <c r="F41" s="43">
        <v>43793</v>
      </c>
      <c r="G41" s="43"/>
      <c r="H41" s="43"/>
      <c r="I41" s="43"/>
      <c r="J41" s="43"/>
      <c r="K41" s="43"/>
      <c r="L41" s="43"/>
      <c r="M41" s="43"/>
      <c r="N41" s="43"/>
      <c r="O41" s="43"/>
      <c r="P41" s="43"/>
      <c r="Q41" s="43"/>
      <c r="R41" s="43"/>
      <c r="T41" s="41"/>
    </row>
    <row r="42" spans="1:20">
      <c r="A42" s="43" t="s">
        <v>153</v>
      </c>
      <c r="B42" s="43"/>
      <c r="C42" s="43"/>
      <c r="D42" s="43"/>
      <c r="E42" s="43"/>
      <c r="F42" s="43"/>
      <c r="G42" s="43"/>
      <c r="H42" s="43"/>
      <c r="I42" s="43"/>
      <c r="J42" s="43"/>
      <c r="K42" s="43"/>
      <c r="L42" s="43"/>
      <c r="M42" s="43"/>
      <c r="N42" s="43"/>
      <c r="O42" s="43"/>
      <c r="P42" s="43"/>
      <c r="Q42" s="43"/>
      <c r="R42" s="43"/>
      <c r="T42" s="41"/>
    </row>
    <row r="43" spans="1:20">
      <c r="A43" s="43" t="s">
        <v>26</v>
      </c>
      <c r="B43" s="43">
        <v>43799</v>
      </c>
      <c r="C43" s="43">
        <v>43800</v>
      </c>
      <c r="D43" s="43">
        <v>43764</v>
      </c>
      <c r="E43" s="43" t="s">
        <v>478</v>
      </c>
      <c r="F43" s="43"/>
      <c r="G43" s="43"/>
      <c r="H43" s="43"/>
      <c r="I43" s="43"/>
      <c r="J43" s="43"/>
      <c r="K43" s="43"/>
      <c r="L43" s="43"/>
      <c r="M43" s="43"/>
      <c r="N43" s="43"/>
      <c r="O43" s="43"/>
      <c r="P43" s="43"/>
      <c r="Q43" s="43"/>
      <c r="R43" s="43"/>
      <c r="T43" s="41"/>
    </row>
    <row r="44" spans="1:20">
      <c r="A44" s="43" t="s">
        <v>14</v>
      </c>
      <c r="B44" s="43">
        <v>43764</v>
      </c>
      <c r="C44" s="43">
        <v>43765</v>
      </c>
      <c r="D44" s="43">
        <v>43778</v>
      </c>
      <c r="E44" s="43">
        <v>43779</v>
      </c>
      <c r="F44" s="43">
        <v>43799</v>
      </c>
      <c r="G44" s="43">
        <v>43813</v>
      </c>
      <c r="H44" s="43"/>
      <c r="I44" s="43"/>
      <c r="J44" s="43"/>
      <c r="K44" s="43"/>
      <c r="L44" s="43"/>
      <c r="M44" s="43"/>
      <c r="N44" s="43"/>
      <c r="O44" s="43"/>
      <c r="P44" s="43"/>
      <c r="Q44" s="43"/>
      <c r="R44" s="43"/>
      <c r="T44" s="41"/>
    </row>
    <row r="45" spans="1:20">
      <c r="A45" s="43" t="s">
        <v>327</v>
      </c>
      <c r="B45" s="43" t="s">
        <v>477</v>
      </c>
      <c r="C45" s="43"/>
      <c r="D45" s="43"/>
      <c r="E45" s="43"/>
      <c r="F45" s="43"/>
      <c r="G45" s="43"/>
      <c r="H45" s="43"/>
      <c r="I45" s="43"/>
      <c r="J45" s="43"/>
      <c r="K45" s="43"/>
      <c r="L45" s="43"/>
      <c r="M45" s="43"/>
      <c r="N45" s="43"/>
      <c r="O45" s="43"/>
      <c r="P45" s="43"/>
      <c r="Q45" s="43"/>
      <c r="R45" s="43"/>
    </row>
    <row r="46" spans="1:20">
      <c r="A46" s="43" t="s">
        <v>152</v>
      </c>
      <c r="B46" s="43">
        <v>43772</v>
      </c>
      <c r="C46" s="43"/>
      <c r="D46" s="43"/>
      <c r="E46" s="43"/>
      <c r="F46" s="43"/>
      <c r="G46" s="43"/>
      <c r="H46" s="43"/>
      <c r="I46" s="43"/>
      <c r="J46" s="43"/>
      <c r="K46" s="43"/>
      <c r="L46" s="43"/>
      <c r="M46" s="43"/>
      <c r="N46" s="43"/>
      <c r="O46" s="43"/>
      <c r="P46" s="43"/>
      <c r="Q46" s="43"/>
      <c r="R46" s="43"/>
      <c r="T46" s="41"/>
    </row>
    <row r="47" spans="1:20">
      <c r="A47" s="43" t="s">
        <v>25</v>
      </c>
      <c r="B47" s="43"/>
      <c r="C47" s="43"/>
      <c r="D47" s="43"/>
      <c r="E47" s="43"/>
      <c r="F47" s="43"/>
      <c r="G47" s="43"/>
      <c r="H47" s="43"/>
      <c r="I47" s="43"/>
      <c r="J47" s="43"/>
      <c r="K47" s="43"/>
      <c r="L47" s="43"/>
      <c r="M47" s="43"/>
      <c r="N47" s="43"/>
      <c r="O47" s="43"/>
      <c r="P47" s="43"/>
      <c r="Q47" s="43"/>
      <c r="R47" s="43"/>
      <c r="T47" s="41"/>
    </row>
    <row r="48" spans="1:20">
      <c r="A48" s="43" t="s">
        <v>8</v>
      </c>
      <c r="B48" s="43"/>
      <c r="C48" s="43"/>
      <c r="D48" s="43"/>
      <c r="E48" s="43"/>
      <c r="F48" s="43"/>
      <c r="G48" s="43"/>
      <c r="H48" s="43"/>
      <c r="I48" s="43"/>
      <c r="J48" s="43"/>
      <c r="K48" s="43"/>
      <c r="L48" s="43"/>
      <c r="M48" s="43"/>
      <c r="N48" s="43"/>
      <c r="O48" s="43"/>
      <c r="P48" s="43"/>
      <c r="Q48" s="43"/>
      <c r="R48" s="43"/>
      <c r="T48" s="41"/>
    </row>
    <row r="49" spans="1:18">
      <c r="A49" s="43" t="s">
        <v>36</v>
      </c>
      <c r="B49" s="43"/>
      <c r="C49" s="43"/>
      <c r="D49" s="43"/>
      <c r="E49" s="43"/>
      <c r="F49" s="43"/>
      <c r="G49" s="43"/>
      <c r="H49" s="43"/>
      <c r="I49" s="43"/>
      <c r="J49" s="43"/>
      <c r="K49" s="43"/>
      <c r="L49" s="43"/>
      <c r="M49" s="43"/>
      <c r="N49" s="43"/>
      <c r="O49" s="43"/>
      <c r="P49" s="43"/>
      <c r="Q49" s="43"/>
      <c r="R49" s="43"/>
    </row>
    <row r="50" spans="1:18">
      <c r="A50" s="43" t="s">
        <v>2</v>
      </c>
      <c r="B50" s="43">
        <v>43778</v>
      </c>
      <c r="C50" s="43">
        <v>43779</v>
      </c>
      <c r="D50" s="43">
        <v>43806</v>
      </c>
      <c r="E50" s="43">
        <v>43807</v>
      </c>
      <c r="F50" s="43">
        <v>43820</v>
      </c>
      <c r="G50" s="43"/>
      <c r="H50" s="43"/>
      <c r="I50" s="43"/>
      <c r="J50" s="43"/>
      <c r="K50" s="43"/>
      <c r="L50" s="43"/>
      <c r="M50" s="43"/>
      <c r="N50" s="43"/>
      <c r="O50" s="43"/>
      <c r="P50" s="43"/>
      <c r="Q50" s="43"/>
      <c r="R50" s="43"/>
    </row>
    <row r="51" spans="1:18">
      <c r="A51" s="43"/>
      <c r="B51" s="43"/>
      <c r="C51" s="43"/>
      <c r="D51" s="43"/>
      <c r="E51" s="43"/>
      <c r="F51" s="43"/>
      <c r="G51" s="43"/>
      <c r="H51" s="43"/>
      <c r="I51" s="43"/>
      <c r="J51" s="43"/>
      <c r="K51" s="43"/>
      <c r="L51" s="43"/>
      <c r="M51" s="43"/>
      <c r="N51" s="43"/>
      <c r="O51" s="43"/>
      <c r="P51" s="43"/>
      <c r="Q51" s="43"/>
      <c r="R51" s="43"/>
    </row>
  </sheetData>
  <mergeCells count="2">
    <mergeCell ref="A1:R1"/>
    <mergeCell ref="Q35:R35"/>
  </mergeCells>
  <phoneticPr fontId="2"/>
  <pageMargins left="0.70866141732283472" right="0.70866141732283472" top="0" bottom="0" header="0.31496062992125984" footer="0.31496062992125984"/>
  <pageSetup paperSize="9" orientation="landscape" r:id="rId1"/>
  <drawing r:id="rId2"/>
  <legacyDrawing r:id="rId3"/>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C51"/>
  <sheetViews>
    <sheetView topLeftCell="A4" zoomScale="85" zoomScaleNormal="85" workbookViewId="0">
      <selection activeCell="J15" sqref="J15"/>
    </sheetView>
  </sheetViews>
  <sheetFormatPr defaultColWidth="9" defaultRowHeight="18.75"/>
  <cols>
    <col min="1" max="18" width="6.625" style="40" customWidth="1"/>
    <col min="19" max="19" width="3.625" style="40" customWidth="1"/>
    <col min="20" max="20" width="6.625" style="40" customWidth="1"/>
    <col min="21" max="21" width="3.625" style="40" customWidth="1"/>
    <col min="22" max="37" width="6.625" style="40" customWidth="1"/>
    <col min="38" max="38" width="3.625" style="40" customWidth="1"/>
    <col min="39" max="16384" width="9" style="40"/>
  </cols>
  <sheetData>
    <row r="1" spans="1:29">
      <c r="A1" s="147" t="s">
        <v>425</v>
      </c>
      <c r="B1" s="147"/>
      <c r="C1" s="147"/>
      <c r="D1" s="147"/>
      <c r="E1" s="147"/>
      <c r="F1" s="147"/>
      <c r="G1" s="147"/>
      <c r="H1" s="147"/>
      <c r="I1" s="147"/>
      <c r="J1" s="147"/>
      <c r="K1" s="147"/>
      <c r="L1" s="147"/>
      <c r="M1" s="147"/>
      <c r="N1" s="147"/>
      <c r="O1" s="147"/>
      <c r="P1" s="147"/>
      <c r="Q1" s="147"/>
      <c r="R1" s="147"/>
      <c r="X1" s="40" t="s">
        <v>373</v>
      </c>
    </row>
    <row r="2" spans="1:29" ht="16.5" customHeight="1">
      <c r="A2" s="26" t="s">
        <v>216</v>
      </c>
      <c r="B2" s="27">
        <v>43698</v>
      </c>
      <c r="C2" s="27">
        <v>43699</v>
      </c>
      <c r="D2" s="27">
        <v>43700</v>
      </c>
      <c r="E2" s="31">
        <v>43701</v>
      </c>
      <c r="F2" s="31">
        <v>43702</v>
      </c>
      <c r="G2" s="27">
        <v>43703</v>
      </c>
      <c r="H2" s="27">
        <v>43704</v>
      </c>
      <c r="I2" s="27">
        <v>43705</v>
      </c>
      <c r="J2" s="27">
        <v>43706</v>
      </c>
      <c r="K2" s="27">
        <v>43707</v>
      </c>
      <c r="L2" s="31">
        <v>43708</v>
      </c>
      <c r="M2" s="23" t="s">
        <v>217</v>
      </c>
      <c r="N2" s="30">
        <v>43709</v>
      </c>
      <c r="O2" s="25">
        <v>43710</v>
      </c>
      <c r="P2" s="25">
        <v>43711</v>
      </c>
      <c r="Q2" s="25">
        <v>43712</v>
      </c>
      <c r="R2" s="25">
        <v>43713</v>
      </c>
      <c r="V2" s="40" t="s">
        <v>63</v>
      </c>
      <c r="X2" s="40" t="s">
        <v>64</v>
      </c>
      <c r="Z2" s="40" t="s">
        <v>65</v>
      </c>
      <c r="AB2" s="40" t="s">
        <v>169</v>
      </c>
    </row>
    <row r="3" spans="1:29" ht="16.5" customHeight="1">
      <c r="A3" s="28">
        <v>1</v>
      </c>
      <c r="B3" s="19"/>
      <c r="C3" s="19"/>
      <c r="D3" s="19"/>
      <c r="E3" s="19" t="s">
        <v>450</v>
      </c>
      <c r="F3" s="19" t="s">
        <v>449</v>
      </c>
      <c r="G3" s="19"/>
      <c r="H3" s="19"/>
      <c r="I3" s="19"/>
      <c r="J3" s="19"/>
      <c r="K3" s="19"/>
      <c r="L3" s="19" t="s">
        <v>451</v>
      </c>
      <c r="M3" s="36"/>
      <c r="N3" s="19" t="s">
        <v>454</v>
      </c>
      <c r="O3" s="19"/>
      <c r="P3" s="19"/>
      <c r="Q3" s="19"/>
      <c r="R3" s="19"/>
      <c r="V3" s="40" t="s">
        <v>25</v>
      </c>
      <c r="W3" s="40">
        <v>2</v>
      </c>
      <c r="X3" s="40" t="s">
        <v>45</v>
      </c>
      <c r="Y3" s="40">
        <v>3</v>
      </c>
      <c r="Z3" s="40" t="s">
        <v>34</v>
      </c>
      <c r="AA3" s="40">
        <v>3</v>
      </c>
      <c r="AB3" s="40" t="s">
        <v>16</v>
      </c>
      <c r="AC3" s="40">
        <v>1</v>
      </c>
    </row>
    <row r="4" spans="1:29" ht="16.5" customHeight="1">
      <c r="A4" s="28">
        <v>2</v>
      </c>
      <c r="B4" s="19"/>
      <c r="C4" s="19"/>
      <c r="D4" s="19"/>
      <c r="E4" s="19" t="s">
        <v>457</v>
      </c>
      <c r="F4" s="19" t="s">
        <v>447</v>
      </c>
      <c r="G4" s="19"/>
      <c r="H4" s="19"/>
      <c r="I4" s="19"/>
      <c r="J4" s="19"/>
      <c r="K4" s="19"/>
      <c r="L4" s="19" t="s">
        <v>458</v>
      </c>
      <c r="M4" s="36"/>
      <c r="N4" s="19" t="s">
        <v>455</v>
      </c>
      <c r="O4" s="19"/>
      <c r="P4" s="19"/>
      <c r="Q4" s="19"/>
      <c r="R4" s="19"/>
      <c r="T4" s="41"/>
      <c r="U4" s="41"/>
      <c r="V4" s="40" t="s">
        <v>2</v>
      </c>
      <c r="W4" s="40">
        <v>2</v>
      </c>
      <c r="X4" s="40" t="s">
        <v>46</v>
      </c>
      <c r="Y4" s="40">
        <v>2</v>
      </c>
      <c r="Z4" s="40" t="s">
        <v>35</v>
      </c>
      <c r="AA4" s="40">
        <v>2</v>
      </c>
      <c r="AB4" s="40" t="s">
        <v>153</v>
      </c>
      <c r="AC4" s="40">
        <v>1</v>
      </c>
    </row>
    <row r="5" spans="1:29" ht="16.5" customHeight="1">
      <c r="A5" s="28">
        <v>3</v>
      </c>
      <c r="B5" s="19"/>
      <c r="C5" s="19"/>
      <c r="D5" s="19"/>
      <c r="E5" s="19" t="s">
        <v>431</v>
      </c>
      <c r="F5" s="19" t="s">
        <v>38</v>
      </c>
      <c r="G5" s="19"/>
      <c r="H5" s="19"/>
      <c r="I5" s="19"/>
      <c r="J5" s="19"/>
      <c r="K5" s="19"/>
      <c r="L5" s="19" t="s">
        <v>37</v>
      </c>
      <c r="M5" s="36"/>
      <c r="N5" s="19" t="s">
        <v>8</v>
      </c>
      <c r="O5" s="19"/>
      <c r="P5" s="19"/>
      <c r="Q5" s="19"/>
      <c r="R5" s="19"/>
      <c r="T5" s="41"/>
      <c r="U5" s="41"/>
      <c r="V5" s="40" t="s">
        <v>14</v>
      </c>
      <c r="W5" s="40">
        <v>2</v>
      </c>
      <c r="X5" s="40" t="s">
        <v>6</v>
      </c>
      <c r="Y5" s="40">
        <v>2</v>
      </c>
      <c r="Z5" s="40" t="s">
        <v>8</v>
      </c>
      <c r="AA5" s="40">
        <v>2</v>
      </c>
      <c r="AB5" s="40" t="s">
        <v>26</v>
      </c>
      <c r="AC5" s="40">
        <v>1</v>
      </c>
    </row>
    <row r="6" spans="1:29" ht="16.5" customHeight="1">
      <c r="A6" s="28" t="s">
        <v>20</v>
      </c>
      <c r="B6" s="19" t="s">
        <v>327</v>
      </c>
      <c r="C6" s="19" t="s">
        <v>13</v>
      </c>
      <c r="D6" s="19" t="s">
        <v>13</v>
      </c>
      <c r="E6" s="19" t="s">
        <v>13</v>
      </c>
      <c r="F6" s="19" t="s">
        <v>13</v>
      </c>
      <c r="G6" s="19" t="s">
        <v>26</v>
      </c>
      <c r="H6" s="19" t="s">
        <v>13</v>
      </c>
      <c r="I6" s="19" t="s">
        <v>13</v>
      </c>
      <c r="J6" s="19" t="s">
        <v>13</v>
      </c>
      <c r="K6" s="19" t="s">
        <v>13</v>
      </c>
      <c r="L6" s="19" t="s">
        <v>13</v>
      </c>
      <c r="M6" s="36"/>
      <c r="N6" s="19" t="s">
        <v>26</v>
      </c>
      <c r="O6" s="19" t="s">
        <v>153</v>
      </c>
      <c r="P6" s="19" t="s">
        <v>13</v>
      </c>
      <c r="Q6" s="19" t="s">
        <v>13</v>
      </c>
      <c r="R6" s="19" t="s">
        <v>13</v>
      </c>
      <c r="T6" s="41"/>
      <c r="U6" s="41"/>
      <c r="V6" s="40" t="s">
        <v>7</v>
      </c>
      <c r="W6" s="40">
        <v>3</v>
      </c>
      <c r="X6" s="40" t="s">
        <v>23</v>
      </c>
      <c r="Y6" s="40">
        <v>2</v>
      </c>
      <c r="Z6" s="40" t="s">
        <v>38</v>
      </c>
      <c r="AA6" s="40">
        <v>2</v>
      </c>
      <c r="AB6" s="40" t="s">
        <v>6</v>
      </c>
      <c r="AC6" s="40">
        <v>1</v>
      </c>
    </row>
    <row r="7" spans="1:29" ht="16.5" customHeight="1">
      <c r="A7" s="28" t="s">
        <v>0</v>
      </c>
      <c r="B7" s="19"/>
      <c r="C7" s="19" t="s">
        <v>9</v>
      </c>
      <c r="D7" s="19" t="s">
        <v>13</v>
      </c>
      <c r="E7" s="19" t="s">
        <v>13</v>
      </c>
      <c r="F7" s="19"/>
      <c r="G7" s="19"/>
      <c r="H7" s="19"/>
      <c r="I7" s="19"/>
      <c r="J7" s="19" t="s">
        <v>9</v>
      </c>
      <c r="K7" s="19" t="s">
        <v>13</v>
      </c>
      <c r="L7" s="19" t="s">
        <v>13</v>
      </c>
      <c r="M7" s="36"/>
      <c r="N7" s="19"/>
      <c r="O7" s="19"/>
      <c r="P7" s="19"/>
      <c r="Q7" s="19"/>
      <c r="R7" s="19" t="s">
        <v>9</v>
      </c>
      <c r="T7" s="41"/>
      <c r="U7" s="41"/>
      <c r="V7" s="40" t="s">
        <v>21</v>
      </c>
      <c r="W7" s="40">
        <v>2</v>
      </c>
      <c r="X7" s="40" t="s">
        <v>16</v>
      </c>
      <c r="Y7" s="40">
        <v>2</v>
      </c>
      <c r="Z7" s="40" t="s">
        <v>36</v>
      </c>
      <c r="AA7" s="40">
        <v>2</v>
      </c>
      <c r="AB7" s="40" t="s">
        <v>152</v>
      </c>
      <c r="AC7" s="40">
        <v>1</v>
      </c>
    </row>
    <row r="8" spans="1:29" ht="16.5" customHeight="1">
      <c r="A8" s="28" t="s">
        <v>1</v>
      </c>
      <c r="B8" s="19" t="s">
        <v>166</v>
      </c>
      <c r="C8" s="19" t="s">
        <v>13</v>
      </c>
      <c r="D8" s="19"/>
      <c r="E8" s="19"/>
      <c r="F8" s="19" t="s">
        <v>213</v>
      </c>
      <c r="G8" s="19" t="s">
        <v>13</v>
      </c>
      <c r="H8" s="19" t="s">
        <v>13</v>
      </c>
      <c r="I8" s="19" t="s">
        <v>13</v>
      </c>
      <c r="J8" s="19" t="s">
        <v>13</v>
      </c>
      <c r="K8" s="19"/>
      <c r="L8" s="19"/>
      <c r="M8" s="36"/>
      <c r="N8" s="19" t="s">
        <v>166</v>
      </c>
      <c r="O8" s="19" t="s">
        <v>13</v>
      </c>
      <c r="P8" s="19" t="s">
        <v>13</v>
      </c>
      <c r="Q8" s="19" t="s">
        <v>13</v>
      </c>
      <c r="R8" s="19" t="s">
        <v>13</v>
      </c>
      <c r="T8" s="41"/>
      <c r="V8" s="40" t="s">
        <v>26</v>
      </c>
      <c r="W8" s="40">
        <v>1</v>
      </c>
      <c r="X8" s="40" t="s">
        <v>153</v>
      </c>
      <c r="Y8" s="40">
        <v>1</v>
      </c>
      <c r="Z8" s="40" t="s">
        <v>37</v>
      </c>
      <c r="AA8" s="40">
        <v>2</v>
      </c>
      <c r="AB8" s="40" t="s">
        <v>23</v>
      </c>
      <c r="AC8" s="40">
        <v>1</v>
      </c>
    </row>
    <row r="9" spans="1:29" ht="16.5" customHeight="1">
      <c r="A9" s="28" t="s">
        <v>366</v>
      </c>
      <c r="B9" s="19"/>
      <c r="C9" s="19"/>
      <c r="D9" s="19"/>
      <c r="E9" s="19"/>
      <c r="F9" s="19"/>
      <c r="G9" s="19"/>
      <c r="H9" s="19"/>
      <c r="I9" s="19"/>
      <c r="J9" s="19"/>
      <c r="K9" s="19"/>
      <c r="L9" s="19"/>
      <c r="M9" s="36"/>
      <c r="N9" s="19"/>
      <c r="O9" s="19"/>
      <c r="P9" s="19"/>
      <c r="Q9" s="19"/>
      <c r="R9" s="19"/>
      <c r="T9" s="41"/>
      <c r="V9" s="40" t="s">
        <v>27</v>
      </c>
      <c r="W9" s="40">
        <v>2</v>
      </c>
      <c r="X9" s="40" t="s">
        <v>327</v>
      </c>
      <c r="Y9" s="40">
        <v>2</v>
      </c>
      <c r="Z9" s="40" t="s">
        <v>249</v>
      </c>
      <c r="AA9" s="40">
        <v>2</v>
      </c>
      <c r="AB9" s="40" t="s">
        <v>112</v>
      </c>
      <c r="AC9" s="40">
        <v>1</v>
      </c>
    </row>
    <row r="10" spans="1:29" ht="16.5" customHeight="1">
      <c r="A10" s="23" t="s">
        <v>217</v>
      </c>
      <c r="B10" s="25">
        <v>43714</v>
      </c>
      <c r="C10" s="30">
        <v>43715</v>
      </c>
      <c r="D10" s="30">
        <v>43716</v>
      </c>
      <c r="E10" s="25">
        <v>43717</v>
      </c>
      <c r="F10" s="25">
        <v>43718</v>
      </c>
      <c r="G10" s="25">
        <v>43719</v>
      </c>
      <c r="H10" s="25">
        <v>43720</v>
      </c>
      <c r="I10" s="25">
        <v>43721</v>
      </c>
      <c r="J10" s="30">
        <v>43722</v>
      </c>
      <c r="K10" s="30">
        <v>43723</v>
      </c>
      <c r="L10" s="25">
        <v>43724</v>
      </c>
      <c r="M10" s="25">
        <v>43725</v>
      </c>
      <c r="N10" s="25">
        <v>43726</v>
      </c>
      <c r="O10" s="25">
        <v>43727</v>
      </c>
      <c r="P10" s="25">
        <v>43728</v>
      </c>
      <c r="Q10" s="19"/>
      <c r="R10" s="19"/>
      <c r="T10" s="41"/>
      <c r="V10" s="40" t="s">
        <v>152</v>
      </c>
      <c r="W10" s="40">
        <v>2</v>
      </c>
      <c r="X10" s="40" t="s">
        <v>28</v>
      </c>
      <c r="Y10" s="40">
        <v>1</v>
      </c>
      <c r="Z10" s="40" t="s">
        <v>112</v>
      </c>
      <c r="AA10" s="40">
        <v>1</v>
      </c>
      <c r="AB10" s="40" t="s">
        <v>25</v>
      </c>
      <c r="AC10" s="40">
        <v>1</v>
      </c>
    </row>
    <row r="11" spans="1:29" ht="16.5" customHeight="1">
      <c r="A11" s="36">
        <v>1</v>
      </c>
      <c r="B11" s="19"/>
      <c r="C11" s="19" t="s">
        <v>452</v>
      </c>
      <c r="D11" s="19" t="s">
        <v>453</v>
      </c>
      <c r="E11" s="19"/>
      <c r="F11" s="19"/>
      <c r="G11" s="19"/>
      <c r="H11" s="19"/>
      <c r="I11" s="19"/>
      <c r="J11" s="19" t="s">
        <v>456</v>
      </c>
      <c r="K11" s="19" t="s">
        <v>448</v>
      </c>
      <c r="L11" s="19"/>
      <c r="M11" s="19"/>
      <c r="N11" s="19"/>
      <c r="O11" s="19"/>
      <c r="P11" s="19"/>
      <c r="Q11" s="19"/>
      <c r="R11" s="19"/>
      <c r="T11" s="41"/>
      <c r="W11" s="40">
        <v>0</v>
      </c>
      <c r="X11" s="40" t="s">
        <v>112</v>
      </c>
      <c r="Y11" s="40">
        <v>1</v>
      </c>
      <c r="AA11" s="40">
        <v>0</v>
      </c>
      <c r="AB11" s="40" t="s">
        <v>327</v>
      </c>
      <c r="AC11" s="40">
        <v>1</v>
      </c>
    </row>
    <row r="12" spans="1:29" ht="16.5" customHeight="1">
      <c r="A12" s="36">
        <v>2</v>
      </c>
      <c r="B12" s="19"/>
      <c r="C12" s="19" t="s">
        <v>461</v>
      </c>
      <c r="D12" s="19" t="s">
        <v>460</v>
      </c>
      <c r="E12" s="19"/>
      <c r="F12" s="19"/>
      <c r="G12" s="19"/>
      <c r="H12" s="19"/>
      <c r="I12" s="19"/>
      <c r="J12" s="19" t="s">
        <v>458</v>
      </c>
      <c r="K12" s="19" t="s">
        <v>459</v>
      </c>
      <c r="L12" s="19"/>
      <c r="M12" s="19"/>
      <c r="N12" s="19"/>
      <c r="O12" s="19"/>
      <c r="P12" s="19"/>
      <c r="Q12" s="19"/>
      <c r="R12" s="19"/>
      <c r="T12" s="41"/>
      <c r="W12" s="40">
        <v>0</v>
      </c>
      <c r="Y12" s="40">
        <v>0</v>
      </c>
      <c r="AA12" s="40">
        <v>0</v>
      </c>
    </row>
    <row r="13" spans="1:29" ht="16.5" customHeight="1">
      <c r="A13" s="36">
        <v>3</v>
      </c>
      <c r="B13" s="19"/>
      <c r="C13" s="19" t="s">
        <v>429</v>
      </c>
      <c r="D13" s="19" t="s">
        <v>428</v>
      </c>
      <c r="E13" s="19"/>
      <c r="F13" s="19"/>
      <c r="G13" s="19"/>
      <c r="H13" s="19"/>
      <c r="I13" s="19"/>
      <c r="J13" s="19" t="s">
        <v>435</v>
      </c>
      <c r="K13" s="19" t="s">
        <v>431</v>
      </c>
      <c r="L13" s="19"/>
      <c r="M13" s="19"/>
      <c r="N13" s="19"/>
      <c r="O13" s="19"/>
      <c r="P13" s="19"/>
      <c r="Q13" s="19"/>
      <c r="R13" s="19"/>
      <c r="T13" s="41"/>
      <c r="AA13" s="40">
        <v>0</v>
      </c>
    </row>
    <row r="14" spans="1:29" ht="16.5" customHeight="1">
      <c r="A14" s="36" t="s">
        <v>20</v>
      </c>
      <c r="B14" s="19" t="s">
        <v>153</v>
      </c>
      <c r="C14" s="19" t="s">
        <v>13</v>
      </c>
      <c r="D14" s="19" t="s">
        <v>13</v>
      </c>
      <c r="E14" s="19" t="s">
        <v>152</v>
      </c>
      <c r="F14" s="19" t="s">
        <v>13</v>
      </c>
      <c r="G14" s="19" t="s">
        <v>13</v>
      </c>
      <c r="H14" s="19" t="s">
        <v>13</v>
      </c>
      <c r="I14" s="19" t="s">
        <v>13</v>
      </c>
      <c r="J14" s="19" t="s">
        <v>13</v>
      </c>
      <c r="K14" s="19" t="s">
        <v>13</v>
      </c>
      <c r="L14" s="19" t="s">
        <v>6</v>
      </c>
      <c r="M14" s="19" t="s">
        <v>13</v>
      </c>
      <c r="N14" s="19" t="s">
        <v>13</v>
      </c>
      <c r="O14" s="19" t="s">
        <v>13</v>
      </c>
      <c r="P14" s="19" t="s">
        <v>13</v>
      </c>
      <c r="Q14" s="19"/>
      <c r="R14" s="19"/>
      <c r="T14" s="41"/>
    </row>
    <row r="15" spans="1:29" ht="16.5" customHeight="1">
      <c r="A15" s="36" t="s">
        <v>0</v>
      </c>
      <c r="B15" s="19" t="s">
        <v>9</v>
      </c>
      <c r="C15" s="19" t="s">
        <v>13</v>
      </c>
      <c r="D15" s="19"/>
      <c r="E15" s="19"/>
      <c r="F15" s="19"/>
      <c r="G15" s="19"/>
      <c r="H15" s="19" t="s">
        <v>9</v>
      </c>
      <c r="I15" s="19" t="s">
        <v>13</v>
      </c>
      <c r="J15" s="19" t="s">
        <v>13</v>
      </c>
      <c r="K15" s="19"/>
      <c r="L15" s="19"/>
      <c r="M15" s="19"/>
      <c r="N15" s="19"/>
      <c r="O15" s="19" t="s">
        <v>9</v>
      </c>
      <c r="P15" s="19" t="s">
        <v>13</v>
      </c>
      <c r="Q15" s="19"/>
      <c r="R15" s="19"/>
      <c r="T15" s="41"/>
      <c r="V15" s="40" t="s">
        <v>108</v>
      </c>
      <c r="W15" s="40">
        <f>SUM(W2:W14)</f>
        <v>16</v>
      </c>
      <c r="Y15" s="40">
        <f>SUM(Y2:Y14)</f>
        <v>16</v>
      </c>
      <c r="AA15" s="40">
        <f>SUM(AA2:AA14)</f>
        <v>16</v>
      </c>
      <c r="AC15" s="40">
        <f>SUM(AC2:AC14)</f>
        <v>9</v>
      </c>
    </row>
    <row r="16" spans="1:29" ht="16.5" customHeight="1">
      <c r="A16" s="36" t="s">
        <v>1</v>
      </c>
      <c r="B16" s="19"/>
      <c r="C16" s="19"/>
      <c r="D16" s="19" t="s">
        <v>213</v>
      </c>
      <c r="E16" s="19" t="s">
        <v>13</v>
      </c>
      <c r="F16" s="19" t="s">
        <v>13</v>
      </c>
      <c r="G16" s="19" t="s">
        <v>13</v>
      </c>
      <c r="H16" s="19" t="s">
        <v>13</v>
      </c>
      <c r="I16" s="19"/>
      <c r="J16" s="19"/>
      <c r="K16" s="19" t="s">
        <v>166</v>
      </c>
      <c r="L16" s="19" t="s">
        <v>13</v>
      </c>
      <c r="M16" s="19" t="s">
        <v>13</v>
      </c>
      <c r="N16" s="19" t="s">
        <v>13</v>
      </c>
      <c r="O16" s="19" t="s">
        <v>13</v>
      </c>
      <c r="P16" s="19"/>
      <c r="Q16" s="19"/>
      <c r="R16" s="19"/>
      <c r="T16" s="41"/>
    </row>
    <row r="17" spans="1:29" ht="16.5" customHeight="1">
      <c r="A17" s="36" t="s">
        <v>366</v>
      </c>
      <c r="B17" s="19"/>
      <c r="C17" s="19"/>
      <c r="D17" s="19"/>
      <c r="E17" s="19"/>
      <c r="F17" s="19"/>
      <c r="G17" s="19"/>
      <c r="H17" s="19"/>
      <c r="I17" s="19"/>
      <c r="J17" s="19"/>
      <c r="K17" s="19"/>
      <c r="L17" s="19"/>
      <c r="M17" s="19"/>
      <c r="N17" s="19"/>
      <c r="O17" s="19"/>
      <c r="P17" s="19"/>
      <c r="Q17" s="19"/>
      <c r="R17" s="19"/>
      <c r="T17" s="41"/>
    </row>
    <row r="18" spans="1:29" ht="16.5" customHeight="1">
      <c r="A18" s="42"/>
      <c r="B18" s="37"/>
      <c r="C18" s="37"/>
      <c r="D18" s="37"/>
      <c r="E18" s="37"/>
      <c r="F18" s="37"/>
      <c r="G18" s="37"/>
      <c r="H18" s="38"/>
      <c r="I18" s="38"/>
      <c r="J18" s="38"/>
      <c r="K18" s="38"/>
      <c r="L18" s="38"/>
      <c r="M18" s="38"/>
      <c r="N18" s="38"/>
      <c r="O18" s="38"/>
      <c r="P18" s="37"/>
      <c r="Q18" s="37"/>
      <c r="R18" s="39"/>
      <c r="T18" s="41"/>
      <c r="X18" s="40" t="s">
        <v>426</v>
      </c>
    </row>
    <row r="19" spans="1:29" ht="16.5" customHeight="1">
      <c r="A19" s="23" t="s">
        <v>217</v>
      </c>
      <c r="B19" s="30">
        <v>43729</v>
      </c>
      <c r="C19" s="30">
        <v>43730</v>
      </c>
      <c r="D19" s="25">
        <v>43731</v>
      </c>
      <c r="E19" s="25">
        <v>43732</v>
      </c>
      <c r="F19" s="25">
        <v>43733</v>
      </c>
      <c r="G19" s="25">
        <v>43734</v>
      </c>
      <c r="H19" s="25">
        <v>43735</v>
      </c>
      <c r="I19" s="30">
        <v>43736</v>
      </c>
      <c r="J19" s="30">
        <v>43737</v>
      </c>
      <c r="K19" s="25">
        <v>43738</v>
      </c>
      <c r="L19" s="25"/>
      <c r="M19" s="26" t="s">
        <v>218</v>
      </c>
      <c r="N19" s="27">
        <v>43739</v>
      </c>
      <c r="O19" s="27">
        <v>43740</v>
      </c>
      <c r="P19" s="27">
        <v>43741</v>
      </c>
      <c r="Q19" s="27">
        <v>43742</v>
      </c>
      <c r="R19" s="31">
        <v>43743</v>
      </c>
      <c r="T19" s="41"/>
      <c r="V19" s="40" t="s">
        <v>63</v>
      </c>
      <c r="X19" s="40" t="s">
        <v>64</v>
      </c>
      <c r="Z19" s="40" t="s">
        <v>65</v>
      </c>
      <c r="AB19" s="40" t="s">
        <v>169</v>
      </c>
    </row>
    <row r="20" spans="1:29" ht="16.5" customHeight="1">
      <c r="A20" s="36">
        <v>1</v>
      </c>
      <c r="B20" s="19" t="s">
        <v>449</v>
      </c>
      <c r="C20" s="19" t="s">
        <v>451</v>
      </c>
      <c r="D20" s="19"/>
      <c r="E20" s="19"/>
      <c r="F20" s="19"/>
      <c r="G20" s="19"/>
      <c r="H20" s="19"/>
      <c r="I20" s="19" t="s">
        <v>454</v>
      </c>
      <c r="J20" s="19" t="s">
        <v>450</v>
      </c>
      <c r="K20" s="19"/>
      <c r="L20" s="19"/>
      <c r="M20" s="28"/>
      <c r="N20" s="19"/>
      <c r="O20" s="19"/>
      <c r="P20" s="19"/>
      <c r="Q20" s="19"/>
      <c r="R20" s="19" t="s">
        <v>453</v>
      </c>
      <c r="T20" s="41"/>
      <c r="V20" s="40" t="s">
        <v>25</v>
      </c>
      <c r="W20" s="40">
        <v>2</v>
      </c>
      <c r="X20" s="40" t="s">
        <v>45</v>
      </c>
      <c r="Y20" s="40">
        <v>3</v>
      </c>
      <c r="Z20" s="40" t="s">
        <v>34</v>
      </c>
      <c r="AA20" s="40">
        <v>2</v>
      </c>
      <c r="AB20" s="40" t="s">
        <v>153</v>
      </c>
      <c r="AC20" s="40">
        <v>1</v>
      </c>
    </row>
    <row r="21" spans="1:29" ht="16.5" customHeight="1">
      <c r="A21" s="36">
        <v>2</v>
      </c>
      <c r="B21" s="19" t="s">
        <v>460</v>
      </c>
      <c r="C21" s="19" t="s">
        <v>461</v>
      </c>
      <c r="D21" s="19"/>
      <c r="E21" s="19"/>
      <c r="F21" s="19"/>
      <c r="G21" s="19"/>
      <c r="H21" s="19"/>
      <c r="I21" s="19" t="s">
        <v>447</v>
      </c>
      <c r="J21" s="19" t="s">
        <v>457</v>
      </c>
      <c r="K21" s="19"/>
      <c r="L21" s="19"/>
      <c r="M21" s="28"/>
      <c r="N21" s="19"/>
      <c r="O21" s="19"/>
      <c r="P21" s="19"/>
      <c r="Q21" s="19"/>
      <c r="R21" s="19" t="s">
        <v>455</v>
      </c>
      <c r="T21" s="41"/>
      <c r="V21" s="40" t="s">
        <v>2</v>
      </c>
      <c r="W21" s="40">
        <v>3</v>
      </c>
      <c r="X21" s="40" t="s">
        <v>46</v>
      </c>
      <c r="Y21" s="40">
        <v>3</v>
      </c>
      <c r="Z21" s="40" t="s">
        <v>35</v>
      </c>
      <c r="AA21" s="40">
        <v>3</v>
      </c>
      <c r="AB21" s="40" t="s">
        <v>26</v>
      </c>
      <c r="AC21" s="40">
        <v>1</v>
      </c>
    </row>
    <row r="22" spans="1:29" ht="16.5" customHeight="1">
      <c r="A22" s="36">
        <v>3</v>
      </c>
      <c r="B22" s="19" t="s">
        <v>433</v>
      </c>
      <c r="C22" s="19" t="s">
        <v>432</v>
      </c>
      <c r="D22" s="19"/>
      <c r="E22" s="19"/>
      <c r="F22" s="19"/>
      <c r="G22" s="19"/>
      <c r="H22" s="19"/>
      <c r="I22" s="19" t="s">
        <v>434</v>
      </c>
      <c r="J22" s="19" t="s">
        <v>428</v>
      </c>
      <c r="K22" s="19"/>
      <c r="L22" s="19"/>
      <c r="M22" s="28"/>
      <c r="N22" s="19"/>
      <c r="O22" s="19"/>
      <c r="P22" s="19"/>
      <c r="Q22" s="19"/>
      <c r="R22" s="19" t="s">
        <v>429</v>
      </c>
      <c r="T22" s="41"/>
      <c r="V22" s="40" t="s">
        <v>14</v>
      </c>
      <c r="W22" s="40">
        <v>2</v>
      </c>
      <c r="X22" s="40" t="s">
        <v>6</v>
      </c>
      <c r="Y22" s="40">
        <v>2</v>
      </c>
      <c r="Z22" s="40" t="s">
        <v>8</v>
      </c>
      <c r="AA22" s="40">
        <v>3</v>
      </c>
      <c r="AB22" s="40" t="s">
        <v>6</v>
      </c>
      <c r="AC22" s="40">
        <v>1</v>
      </c>
    </row>
    <row r="23" spans="1:29" ht="16.5" customHeight="1">
      <c r="A23" s="36" t="s">
        <v>20</v>
      </c>
      <c r="B23" s="19" t="s">
        <v>6</v>
      </c>
      <c r="C23" s="19" t="s">
        <v>13</v>
      </c>
      <c r="D23" s="19" t="s">
        <v>23</v>
      </c>
      <c r="E23" s="19" t="s">
        <v>13</v>
      </c>
      <c r="F23" s="19" t="s">
        <v>13</v>
      </c>
      <c r="G23" s="19" t="s">
        <v>13</v>
      </c>
      <c r="H23" s="19" t="s">
        <v>13</v>
      </c>
      <c r="I23" s="19" t="s">
        <v>13</v>
      </c>
      <c r="J23" s="19" t="s">
        <v>13</v>
      </c>
      <c r="K23" s="19" t="s">
        <v>25</v>
      </c>
      <c r="L23" s="19" t="s">
        <v>13</v>
      </c>
      <c r="M23" s="28"/>
      <c r="N23" s="19" t="s">
        <v>25</v>
      </c>
      <c r="O23" s="19" t="s">
        <v>13</v>
      </c>
      <c r="P23" s="19" t="s">
        <v>13</v>
      </c>
      <c r="Q23" s="19" t="s">
        <v>13</v>
      </c>
      <c r="R23" s="19" t="s">
        <v>13</v>
      </c>
      <c r="T23" s="41"/>
      <c r="V23" s="40" t="s">
        <v>7</v>
      </c>
      <c r="W23" s="40">
        <v>3</v>
      </c>
      <c r="X23" s="40" t="s">
        <v>23</v>
      </c>
      <c r="Y23" s="40">
        <v>2</v>
      </c>
      <c r="Z23" s="40" t="s">
        <v>38</v>
      </c>
      <c r="AA23" s="40">
        <v>3</v>
      </c>
      <c r="AB23" s="40" t="s">
        <v>152</v>
      </c>
      <c r="AC23" s="40">
        <v>1</v>
      </c>
    </row>
    <row r="24" spans="1:29" ht="16.5" customHeight="1">
      <c r="A24" s="36" t="s">
        <v>0</v>
      </c>
      <c r="B24" s="19" t="s">
        <v>9</v>
      </c>
      <c r="C24" s="19"/>
      <c r="D24" s="19"/>
      <c r="E24" s="19"/>
      <c r="F24" s="19"/>
      <c r="G24" s="19" t="s">
        <v>9</v>
      </c>
      <c r="H24" s="19" t="s">
        <v>13</v>
      </c>
      <c r="I24" s="19" t="s">
        <v>13</v>
      </c>
      <c r="J24" s="19"/>
      <c r="K24" s="19"/>
      <c r="L24" s="19"/>
      <c r="M24" s="28"/>
      <c r="N24" s="19"/>
      <c r="O24" s="19"/>
      <c r="P24" s="19" t="s">
        <v>9</v>
      </c>
      <c r="Q24" s="19" t="s">
        <v>13</v>
      </c>
      <c r="R24" s="19" t="s">
        <v>13</v>
      </c>
      <c r="T24" s="41"/>
      <c r="V24" s="40" t="s">
        <v>21</v>
      </c>
      <c r="W24" s="40">
        <v>3</v>
      </c>
      <c r="X24" s="40" t="s">
        <v>153</v>
      </c>
      <c r="Y24" s="40">
        <v>2</v>
      </c>
      <c r="Z24" s="40" t="s">
        <v>36</v>
      </c>
      <c r="AA24" s="40">
        <v>2</v>
      </c>
      <c r="AB24" s="40" t="s">
        <v>23</v>
      </c>
      <c r="AC24" s="40">
        <v>1</v>
      </c>
    </row>
    <row r="25" spans="1:29" ht="16.5" customHeight="1">
      <c r="A25" s="36" t="s">
        <v>1</v>
      </c>
      <c r="B25" s="19"/>
      <c r="C25" s="19" t="s">
        <v>213</v>
      </c>
      <c r="D25" s="19" t="s">
        <v>13</v>
      </c>
      <c r="E25" s="19" t="s">
        <v>13</v>
      </c>
      <c r="F25" s="19" t="s">
        <v>13</v>
      </c>
      <c r="G25" s="19" t="s">
        <v>13</v>
      </c>
      <c r="H25" s="19"/>
      <c r="I25" s="19"/>
      <c r="J25" s="19" t="s">
        <v>166</v>
      </c>
      <c r="K25" s="19" t="s">
        <v>13</v>
      </c>
      <c r="L25" s="19"/>
      <c r="M25" s="28"/>
      <c r="N25" s="19" t="s">
        <v>166</v>
      </c>
      <c r="O25" s="19" t="s">
        <v>13</v>
      </c>
      <c r="P25" s="19" t="s">
        <v>13</v>
      </c>
      <c r="Q25" s="19"/>
      <c r="R25" s="19"/>
      <c r="T25" s="41"/>
      <c r="V25" s="40" t="s">
        <v>26</v>
      </c>
      <c r="W25" s="40">
        <v>2</v>
      </c>
      <c r="X25" s="40" t="s">
        <v>327</v>
      </c>
      <c r="Y25" s="40">
        <v>2</v>
      </c>
      <c r="Z25" s="40" t="s">
        <v>37</v>
      </c>
      <c r="AA25" s="40">
        <v>3</v>
      </c>
      <c r="AB25" s="40" t="s">
        <v>25</v>
      </c>
      <c r="AC25" s="40">
        <v>1</v>
      </c>
    </row>
    <row r="26" spans="1:29" ht="16.5" customHeight="1">
      <c r="A26" s="36" t="s">
        <v>366</v>
      </c>
      <c r="B26" s="19"/>
      <c r="C26" s="19"/>
      <c r="D26" s="19"/>
      <c r="E26" s="19"/>
      <c r="F26" s="19"/>
      <c r="G26" s="19"/>
      <c r="H26" s="19"/>
      <c r="I26" s="19"/>
      <c r="J26" s="19"/>
      <c r="K26" s="19"/>
      <c r="L26" s="19"/>
      <c r="M26" s="28"/>
      <c r="N26" s="19"/>
      <c r="O26" s="19"/>
      <c r="P26" s="19"/>
      <c r="Q26" s="19"/>
      <c r="R26" s="19"/>
      <c r="T26" s="41"/>
      <c r="V26" s="40" t="s">
        <v>27</v>
      </c>
      <c r="W26" s="40">
        <v>2</v>
      </c>
      <c r="X26" s="40" t="s">
        <v>28</v>
      </c>
      <c r="Y26" s="40">
        <v>1</v>
      </c>
      <c r="Z26" s="40" t="s">
        <v>249</v>
      </c>
      <c r="AA26" s="40">
        <v>2</v>
      </c>
      <c r="AB26" s="40" t="s">
        <v>327</v>
      </c>
      <c r="AC26" s="40">
        <v>2</v>
      </c>
    </row>
    <row r="27" spans="1:29" ht="16.5" customHeight="1">
      <c r="A27" s="26" t="s">
        <v>218</v>
      </c>
      <c r="B27" s="31">
        <v>43744</v>
      </c>
      <c r="C27" s="27">
        <v>43745</v>
      </c>
      <c r="D27" s="27">
        <v>43746</v>
      </c>
      <c r="E27" s="27">
        <v>43747</v>
      </c>
      <c r="F27" s="27">
        <v>43748</v>
      </c>
      <c r="G27" s="27">
        <v>43749</v>
      </c>
      <c r="H27" s="31">
        <v>43750</v>
      </c>
      <c r="I27" s="31">
        <v>43751</v>
      </c>
      <c r="J27" s="27">
        <v>43752</v>
      </c>
      <c r="K27" s="27">
        <v>43753</v>
      </c>
      <c r="L27" s="27">
        <v>43754</v>
      </c>
      <c r="M27" s="27">
        <v>43755</v>
      </c>
      <c r="N27" s="27">
        <v>43756</v>
      </c>
      <c r="O27" s="31">
        <v>43757</v>
      </c>
      <c r="P27" s="31">
        <v>43758</v>
      </c>
      <c r="Q27" s="27"/>
      <c r="R27" s="19"/>
      <c r="T27" s="41"/>
      <c r="V27" s="40" t="s">
        <v>456</v>
      </c>
      <c r="W27" s="40">
        <v>1</v>
      </c>
      <c r="X27" s="40" t="s">
        <v>447</v>
      </c>
      <c r="Y27" s="40">
        <v>3</v>
      </c>
      <c r="AB27" s="40" t="s">
        <v>249</v>
      </c>
      <c r="AC27" s="40">
        <v>1</v>
      </c>
    </row>
    <row r="28" spans="1:29" ht="16.5" customHeight="1">
      <c r="A28" s="28">
        <v>1</v>
      </c>
      <c r="B28" s="19" t="s">
        <v>452</v>
      </c>
      <c r="C28" s="19"/>
      <c r="D28" s="19"/>
      <c r="E28" s="19"/>
      <c r="F28" s="19"/>
      <c r="G28" s="19"/>
      <c r="H28" s="19" t="s">
        <v>451</v>
      </c>
      <c r="I28" s="19" t="s">
        <v>448</v>
      </c>
      <c r="J28" s="19"/>
      <c r="K28" s="19"/>
      <c r="L28" s="19"/>
      <c r="M28" s="19"/>
      <c r="N28" s="19"/>
      <c r="O28" s="19" t="s">
        <v>452</v>
      </c>
      <c r="P28" s="19" t="s">
        <v>453</v>
      </c>
      <c r="Q28" s="19"/>
      <c r="R28" s="19"/>
      <c r="T28" s="41"/>
    </row>
    <row r="29" spans="1:29" ht="16.5" customHeight="1">
      <c r="A29" s="28">
        <v>2</v>
      </c>
      <c r="B29" s="19" t="s">
        <v>458</v>
      </c>
      <c r="C29" s="19"/>
      <c r="D29" s="19"/>
      <c r="E29" s="19"/>
      <c r="F29" s="19"/>
      <c r="G29" s="19"/>
      <c r="H29" s="19" t="s">
        <v>459</v>
      </c>
      <c r="I29" s="19" t="s">
        <v>460</v>
      </c>
      <c r="J29" s="19"/>
      <c r="K29" s="19"/>
      <c r="L29" s="19"/>
      <c r="M29" s="19"/>
      <c r="N29" s="19"/>
      <c r="O29" s="19" t="s">
        <v>447</v>
      </c>
      <c r="P29" s="19" t="s">
        <v>456</v>
      </c>
      <c r="Q29" s="19"/>
      <c r="R29" s="19"/>
      <c r="T29" s="41"/>
    </row>
    <row r="30" spans="1:29" ht="16.5" customHeight="1">
      <c r="A30" s="28">
        <v>3</v>
      </c>
      <c r="B30" s="19" t="s">
        <v>435</v>
      </c>
      <c r="C30" s="19"/>
      <c r="D30" s="19"/>
      <c r="E30" s="19"/>
      <c r="F30" s="19"/>
      <c r="G30" s="19"/>
      <c r="H30" s="19" t="s">
        <v>431</v>
      </c>
      <c r="I30" s="19" t="s">
        <v>437</v>
      </c>
      <c r="J30" s="19"/>
      <c r="K30" s="19"/>
      <c r="L30" s="19"/>
      <c r="M30" s="19"/>
      <c r="N30" s="19"/>
      <c r="O30" s="19" t="s">
        <v>463</v>
      </c>
      <c r="P30" s="19" t="s">
        <v>462</v>
      </c>
      <c r="Q30" s="19"/>
      <c r="R30" s="19"/>
      <c r="T30" s="41"/>
    </row>
    <row r="31" spans="1:29" ht="16.5" customHeight="1">
      <c r="A31" s="28" t="s">
        <v>20</v>
      </c>
      <c r="B31" s="19" t="s">
        <v>25</v>
      </c>
      <c r="C31" s="19" t="s">
        <v>249</v>
      </c>
      <c r="D31" s="19" t="s">
        <v>13</v>
      </c>
      <c r="E31" s="19" t="s">
        <v>13</v>
      </c>
      <c r="F31" s="19" t="s">
        <v>13</v>
      </c>
      <c r="G31" s="19" t="s">
        <v>13</v>
      </c>
      <c r="H31" s="19" t="s">
        <v>13</v>
      </c>
      <c r="I31" s="19" t="s">
        <v>13</v>
      </c>
      <c r="J31" s="19" t="s">
        <v>327</v>
      </c>
      <c r="K31" s="19" t="s">
        <v>13</v>
      </c>
      <c r="L31" s="19" t="s">
        <v>13</v>
      </c>
      <c r="M31" s="19" t="s">
        <v>13</v>
      </c>
      <c r="N31" s="19" t="s">
        <v>13</v>
      </c>
      <c r="O31" s="19" t="s">
        <v>13</v>
      </c>
      <c r="P31" s="19" t="s">
        <v>13</v>
      </c>
      <c r="Q31" s="19"/>
      <c r="R31" s="19"/>
      <c r="T31" s="41"/>
    </row>
    <row r="32" spans="1:29" ht="16.5" customHeight="1">
      <c r="A32" s="28" t="s">
        <v>0</v>
      </c>
      <c r="B32" s="19"/>
      <c r="C32" s="19"/>
      <c r="D32" s="19"/>
      <c r="E32" s="19"/>
      <c r="F32" s="19" t="s">
        <v>9</v>
      </c>
      <c r="G32" s="19" t="s">
        <v>13</v>
      </c>
      <c r="H32" s="19" t="s">
        <v>13</v>
      </c>
      <c r="I32" s="19"/>
      <c r="J32" s="19"/>
      <c r="K32" s="19"/>
      <c r="L32" s="19"/>
      <c r="M32" s="19" t="s">
        <v>9</v>
      </c>
      <c r="N32" s="19" t="s">
        <v>13</v>
      </c>
      <c r="O32" s="19" t="s">
        <v>13</v>
      </c>
      <c r="P32" s="19"/>
      <c r="Q32" s="19"/>
      <c r="R32" s="19"/>
      <c r="T32" s="41"/>
      <c r="V32" s="40" t="s">
        <v>248</v>
      </c>
      <c r="W32" s="40">
        <f>SUM(W19:W31)</f>
        <v>18</v>
      </c>
      <c r="Y32" s="40">
        <f>SUM(Y19:Y31)</f>
        <v>18</v>
      </c>
      <c r="AA32" s="40">
        <f>SUM(AA19:AA31)</f>
        <v>18</v>
      </c>
      <c r="AC32" s="40">
        <f>SUM(AC19:AC31)</f>
        <v>9</v>
      </c>
    </row>
    <row r="33" spans="1:20" ht="16.5" customHeight="1">
      <c r="A33" s="28" t="s">
        <v>1</v>
      </c>
      <c r="B33" s="19" t="s">
        <v>213</v>
      </c>
      <c r="C33" s="19" t="s">
        <v>13</v>
      </c>
      <c r="D33" s="19" t="s">
        <v>13</v>
      </c>
      <c r="E33" s="19" t="s">
        <v>13</v>
      </c>
      <c r="F33" s="19" t="s">
        <v>13</v>
      </c>
      <c r="G33" s="19"/>
      <c r="H33" s="19"/>
      <c r="I33" s="19" t="s">
        <v>166</v>
      </c>
      <c r="J33" s="19" t="s">
        <v>13</v>
      </c>
      <c r="K33" s="19" t="s">
        <v>13</v>
      </c>
      <c r="L33" s="19" t="s">
        <v>13</v>
      </c>
      <c r="M33" s="19" t="s">
        <v>13</v>
      </c>
      <c r="N33" s="19"/>
      <c r="O33" s="19"/>
      <c r="P33" s="19" t="s">
        <v>466</v>
      </c>
      <c r="Q33" s="19"/>
      <c r="R33" s="19"/>
    </row>
    <row r="34" spans="1:20" ht="16.5" customHeight="1">
      <c r="A34" s="28" t="s">
        <v>366</v>
      </c>
      <c r="B34" s="19"/>
      <c r="C34" s="19"/>
      <c r="D34" s="19"/>
      <c r="E34" s="19"/>
      <c r="F34" s="19"/>
      <c r="G34" s="19"/>
      <c r="H34" s="19"/>
      <c r="I34" s="19"/>
      <c r="J34" s="19"/>
      <c r="K34" s="19"/>
      <c r="L34" s="19"/>
      <c r="M34" s="19"/>
      <c r="N34" s="19"/>
      <c r="O34" s="19"/>
      <c r="P34" s="19"/>
      <c r="Q34" s="19"/>
      <c r="R34" s="19"/>
    </row>
    <row r="35" spans="1:20" ht="12.75" customHeight="1">
      <c r="Q35" s="145" t="s">
        <v>82</v>
      </c>
      <c r="R35" s="145"/>
      <c r="T35" s="41"/>
    </row>
    <row r="36" spans="1:20">
      <c r="A36" s="40" t="s">
        <v>322</v>
      </c>
      <c r="H36" s="43"/>
      <c r="T36" s="41"/>
    </row>
    <row r="37" spans="1:20">
      <c r="A37" s="43" t="s">
        <v>7</v>
      </c>
      <c r="B37" s="43">
        <v>43722</v>
      </c>
      <c r="C37" s="43">
        <v>43729</v>
      </c>
      <c r="D37" s="43">
        <v>43730</v>
      </c>
      <c r="E37" s="43">
        <v>43736</v>
      </c>
      <c r="F37" s="43">
        <v>43737</v>
      </c>
      <c r="G37" s="43">
        <v>43750</v>
      </c>
      <c r="H37" s="43">
        <v>43751</v>
      </c>
      <c r="I37" s="43"/>
      <c r="J37" s="43"/>
      <c r="K37" s="43"/>
      <c r="L37" s="43"/>
      <c r="M37" s="43"/>
      <c r="N37" s="43"/>
      <c r="O37" s="43"/>
      <c r="P37" s="43"/>
      <c r="Q37" s="43"/>
      <c r="R37" s="43"/>
      <c r="T37" s="41"/>
    </row>
    <row r="38" spans="1:20">
      <c r="A38" s="43" t="s">
        <v>21</v>
      </c>
      <c r="B38" s="43">
        <v>43708</v>
      </c>
      <c r="C38" s="43">
        <v>43709</v>
      </c>
      <c r="D38" s="43">
        <v>43750</v>
      </c>
      <c r="E38" s="43">
        <v>43751</v>
      </c>
      <c r="F38" s="43"/>
      <c r="G38" s="43"/>
      <c r="H38" s="43"/>
      <c r="I38" s="43"/>
      <c r="J38" s="43"/>
      <c r="K38" s="43"/>
      <c r="L38" s="43"/>
      <c r="M38" s="43"/>
      <c r="N38" s="43"/>
      <c r="O38" s="43"/>
      <c r="P38" s="43"/>
      <c r="Q38" s="43"/>
      <c r="R38" s="43"/>
      <c r="T38" s="41"/>
    </row>
    <row r="39" spans="1:20">
      <c r="A39" s="43" t="s">
        <v>427</v>
      </c>
      <c r="B39" s="43">
        <v>43716</v>
      </c>
      <c r="C39" s="43">
        <v>43757</v>
      </c>
      <c r="D39" s="43">
        <v>43758</v>
      </c>
      <c r="E39" s="43"/>
      <c r="F39" s="43"/>
      <c r="G39" s="43"/>
      <c r="H39" s="43"/>
      <c r="I39" s="43"/>
      <c r="J39" s="43"/>
      <c r="K39" s="43"/>
      <c r="L39" s="43"/>
      <c r="M39" s="43"/>
      <c r="N39" s="43"/>
      <c r="O39" s="43"/>
      <c r="P39" s="43"/>
      <c r="Q39" s="43"/>
      <c r="R39" s="43"/>
      <c r="T39" s="41"/>
    </row>
    <row r="40" spans="1:20">
      <c r="A40" s="43" t="s">
        <v>428</v>
      </c>
      <c r="B40" s="43">
        <v>43743</v>
      </c>
      <c r="C40" s="43"/>
      <c r="D40" s="43"/>
      <c r="E40" s="43"/>
      <c r="F40" s="43"/>
      <c r="G40" s="43"/>
      <c r="H40" s="43"/>
      <c r="I40" s="43"/>
      <c r="J40" s="43"/>
      <c r="K40" s="43"/>
      <c r="L40" s="43"/>
      <c r="M40" s="43"/>
      <c r="N40" s="43"/>
      <c r="O40" s="43"/>
      <c r="P40" s="43"/>
      <c r="Q40" s="43"/>
      <c r="R40" s="43"/>
    </row>
    <row r="41" spans="1:20">
      <c r="A41" s="43" t="s">
        <v>429</v>
      </c>
      <c r="B41" s="43" t="s">
        <v>430</v>
      </c>
      <c r="C41" s="43">
        <v>43715</v>
      </c>
      <c r="D41" s="43">
        <v>43743</v>
      </c>
      <c r="E41" s="43"/>
      <c r="F41" s="43"/>
      <c r="G41" s="43"/>
      <c r="H41" s="43"/>
      <c r="I41" s="43"/>
      <c r="J41" s="43"/>
      <c r="K41" s="43"/>
      <c r="L41" s="43"/>
      <c r="M41" s="43"/>
      <c r="N41" s="43"/>
      <c r="O41" s="43"/>
      <c r="P41" s="43"/>
      <c r="Q41" s="43"/>
      <c r="R41" s="43"/>
      <c r="T41" s="41"/>
    </row>
    <row r="42" spans="1:20">
      <c r="A42" s="43" t="s">
        <v>436</v>
      </c>
      <c r="B42" s="43">
        <v>43708</v>
      </c>
      <c r="C42" s="43">
        <v>43709</v>
      </c>
      <c r="D42" s="43">
        <v>43722</v>
      </c>
      <c r="E42" s="43">
        <v>43723</v>
      </c>
      <c r="F42" s="43">
        <v>43729</v>
      </c>
      <c r="G42" s="43">
        <v>43730</v>
      </c>
      <c r="H42" s="43"/>
      <c r="I42" s="43"/>
      <c r="J42" s="43"/>
      <c r="K42" s="43"/>
      <c r="L42" s="43"/>
      <c r="M42" s="43"/>
      <c r="N42" s="43"/>
      <c r="O42" s="43"/>
      <c r="P42" s="43"/>
      <c r="Q42" s="43"/>
      <c r="R42" s="43"/>
      <c r="T42" s="41"/>
    </row>
    <row r="43" spans="1:20">
      <c r="A43" s="43" t="s">
        <v>438</v>
      </c>
      <c r="B43" s="43">
        <v>43701</v>
      </c>
      <c r="C43" s="43">
        <v>43736</v>
      </c>
      <c r="D43" s="43">
        <v>43743</v>
      </c>
      <c r="E43" s="43">
        <v>43744</v>
      </c>
      <c r="F43" s="43"/>
      <c r="G43" s="43"/>
      <c r="H43" s="43"/>
      <c r="I43" s="43"/>
      <c r="J43" s="43"/>
      <c r="K43" s="43"/>
      <c r="L43" s="43"/>
      <c r="M43" s="43"/>
      <c r="N43" s="43"/>
      <c r="O43" s="43"/>
      <c r="P43" s="43"/>
      <c r="Q43" s="43"/>
      <c r="R43" s="43"/>
      <c r="T43" s="41"/>
    </row>
    <row r="44" spans="1:20">
      <c r="A44" s="43" t="s">
        <v>439</v>
      </c>
      <c r="B44" s="43">
        <v>43729</v>
      </c>
      <c r="C44" s="43">
        <v>43730</v>
      </c>
      <c r="D44" s="43">
        <v>43743</v>
      </c>
      <c r="E44" s="43">
        <v>43744</v>
      </c>
      <c r="F44" s="43"/>
      <c r="G44" s="43"/>
      <c r="H44" s="43"/>
      <c r="I44" s="43"/>
      <c r="J44" s="43"/>
      <c r="K44" s="43"/>
      <c r="L44" s="43"/>
      <c r="M44" s="43"/>
      <c r="N44" s="43"/>
      <c r="O44" s="43"/>
      <c r="P44" s="43"/>
      <c r="Q44" s="43"/>
      <c r="R44" s="43"/>
      <c r="T44" s="41"/>
    </row>
    <row r="45" spans="1:20">
      <c r="A45" s="43" t="s">
        <v>440</v>
      </c>
      <c r="B45" s="43">
        <v>43708</v>
      </c>
      <c r="C45" s="43">
        <v>43709</v>
      </c>
      <c r="D45" s="43"/>
      <c r="E45" s="43"/>
      <c r="F45" s="43"/>
      <c r="G45" s="43"/>
      <c r="H45" s="43"/>
      <c r="I45" s="43"/>
      <c r="J45" s="43"/>
      <c r="K45" s="43"/>
      <c r="L45" s="43"/>
      <c r="M45" s="43"/>
      <c r="N45" s="43"/>
      <c r="O45" s="43"/>
      <c r="P45" s="43"/>
      <c r="Q45" s="43"/>
      <c r="R45" s="43"/>
    </row>
    <row r="46" spans="1:20">
      <c r="A46" s="43" t="s">
        <v>441</v>
      </c>
      <c r="B46" s="43">
        <v>43715</v>
      </c>
      <c r="C46" s="43">
        <v>43716</v>
      </c>
      <c r="D46" s="43">
        <v>43729</v>
      </c>
      <c r="E46" s="43">
        <v>43730</v>
      </c>
      <c r="F46" s="43">
        <v>43743</v>
      </c>
      <c r="G46" s="43" t="s">
        <v>442</v>
      </c>
      <c r="H46" s="43"/>
      <c r="I46" s="43"/>
      <c r="J46" s="43"/>
      <c r="K46" s="43"/>
      <c r="L46" s="43"/>
      <c r="M46" s="43"/>
      <c r="N46" s="43"/>
      <c r="O46" s="43"/>
      <c r="P46" s="43"/>
      <c r="Q46" s="43"/>
      <c r="R46" s="43"/>
      <c r="T46" s="41"/>
    </row>
    <row r="47" spans="1:20">
      <c r="A47" s="43" t="s">
        <v>443</v>
      </c>
      <c r="B47" s="43">
        <v>43708</v>
      </c>
      <c r="C47" s="43">
        <v>43709</v>
      </c>
      <c r="D47" s="43"/>
      <c r="E47" s="43"/>
      <c r="F47" s="43"/>
      <c r="G47" s="43"/>
      <c r="H47" s="43"/>
      <c r="I47" s="43"/>
      <c r="J47" s="43"/>
      <c r="K47" s="43"/>
      <c r="L47" s="43"/>
      <c r="M47" s="43"/>
      <c r="N47" s="43"/>
      <c r="O47" s="43"/>
      <c r="P47" s="43"/>
      <c r="Q47" s="43"/>
      <c r="R47" s="43"/>
      <c r="T47" s="41"/>
    </row>
    <row r="48" spans="1:20">
      <c r="A48" s="43" t="s">
        <v>444</v>
      </c>
      <c r="B48" s="43">
        <v>43701</v>
      </c>
      <c r="C48" s="43">
        <v>43702</v>
      </c>
      <c r="D48" s="43">
        <v>43722</v>
      </c>
      <c r="E48" s="43">
        <v>43723</v>
      </c>
      <c r="F48" s="43">
        <v>43736</v>
      </c>
      <c r="G48" s="43">
        <v>43737</v>
      </c>
      <c r="H48" s="43">
        <v>43757</v>
      </c>
      <c r="I48" s="43">
        <v>43758</v>
      </c>
      <c r="J48" s="43"/>
      <c r="K48" s="43"/>
      <c r="L48" s="43"/>
      <c r="M48" s="43"/>
      <c r="N48" s="43"/>
      <c r="O48" s="43"/>
      <c r="P48" s="43"/>
      <c r="Q48" s="43"/>
      <c r="R48" s="43"/>
      <c r="T48" s="41"/>
    </row>
    <row r="49" spans="1:18">
      <c r="A49" s="43" t="s">
        <v>445</v>
      </c>
      <c r="B49" s="43">
        <v>43736</v>
      </c>
      <c r="C49" s="43">
        <v>43737</v>
      </c>
      <c r="D49" s="43">
        <v>43751</v>
      </c>
      <c r="E49" s="43"/>
      <c r="F49" s="43"/>
      <c r="G49" s="43"/>
      <c r="H49" s="43"/>
      <c r="I49" s="43"/>
      <c r="J49" s="43"/>
      <c r="K49" s="43"/>
      <c r="L49" s="43"/>
      <c r="M49" s="43"/>
      <c r="N49" s="43"/>
      <c r="O49" s="43"/>
      <c r="P49" s="43"/>
      <c r="Q49" s="43"/>
      <c r="R49" s="43"/>
    </row>
    <row r="50" spans="1:18">
      <c r="A50" s="43" t="s">
        <v>446</v>
      </c>
      <c r="B50" s="43">
        <v>43736</v>
      </c>
      <c r="C50" s="43">
        <v>43743</v>
      </c>
      <c r="D50" s="43"/>
      <c r="E50" s="43"/>
      <c r="F50" s="43"/>
      <c r="G50" s="43"/>
      <c r="H50" s="43"/>
      <c r="I50" s="43"/>
      <c r="J50" s="43"/>
      <c r="K50" s="43"/>
      <c r="L50" s="43"/>
      <c r="M50" s="43"/>
      <c r="N50" s="43"/>
      <c r="O50" s="43"/>
      <c r="P50" s="43"/>
      <c r="Q50" s="43"/>
      <c r="R50" s="43"/>
    </row>
    <row r="51" spans="1:18">
      <c r="A51" s="43"/>
      <c r="B51" s="43"/>
      <c r="C51" s="43"/>
      <c r="D51" s="43"/>
      <c r="E51" s="43"/>
      <c r="F51" s="43"/>
      <c r="G51" s="43"/>
      <c r="H51" s="43"/>
      <c r="I51" s="43"/>
      <c r="J51" s="43"/>
      <c r="K51" s="43"/>
      <c r="L51" s="43"/>
      <c r="M51" s="43"/>
      <c r="N51" s="43"/>
      <c r="O51" s="43"/>
      <c r="P51" s="43"/>
      <c r="Q51" s="43"/>
      <c r="R51" s="43"/>
    </row>
  </sheetData>
  <mergeCells count="2">
    <mergeCell ref="A1:R1"/>
    <mergeCell ref="Q35:R35"/>
  </mergeCells>
  <phoneticPr fontId="2"/>
  <pageMargins left="0.70866141732283472" right="0.70866141732283472" top="0" bottom="0" header="0.31496062992125984" footer="0.31496062992125984"/>
  <pageSetup paperSize="9" orientation="landscape" r:id="rId1"/>
  <drawing r:id="rId2"/>
  <legacyDrawing r:id="rId3"/>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C51"/>
  <sheetViews>
    <sheetView zoomScale="85" zoomScaleNormal="85" workbookViewId="0">
      <selection activeCell="G7" sqref="G7"/>
    </sheetView>
  </sheetViews>
  <sheetFormatPr defaultColWidth="9" defaultRowHeight="18.75"/>
  <cols>
    <col min="1" max="18" width="6.625" style="1" customWidth="1"/>
    <col min="19" max="19" width="3.625" style="1" customWidth="1"/>
    <col min="20" max="20" width="6.625" style="1" customWidth="1"/>
    <col min="21" max="21" width="3.625" style="1" customWidth="1"/>
    <col min="22" max="37" width="6.625" style="1" customWidth="1"/>
    <col min="38" max="38" width="3.625" style="1" customWidth="1"/>
    <col min="39" max="16384" width="9" style="1"/>
  </cols>
  <sheetData>
    <row r="1" spans="1:29">
      <c r="A1" s="156" t="s">
        <v>369</v>
      </c>
      <c r="B1" s="156"/>
      <c r="C1" s="156"/>
      <c r="D1" s="156"/>
      <c r="E1" s="156"/>
      <c r="F1" s="156"/>
      <c r="G1" s="156"/>
      <c r="H1" s="156"/>
      <c r="I1" s="156"/>
      <c r="J1" s="156"/>
      <c r="K1" s="156"/>
      <c r="L1" s="156"/>
      <c r="M1" s="156"/>
      <c r="N1" s="156"/>
      <c r="O1" s="156"/>
      <c r="P1" s="156"/>
      <c r="Q1" s="156"/>
      <c r="R1" s="156"/>
      <c r="X1" s="1" t="s">
        <v>358</v>
      </c>
    </row>
    <row r="2" spans="1:29" ht="16.5" customHeight="1">
      <c r="A2" s="22" t="s">
        <v>355</v>
      </c>
      <c r="B2" s="27">
        <v>43637</v>
      </c>
      <c r="C2" s="31">
        <v>43638</v>
      </c>
      <c r="D2" s="31">
        <v>43639</v>
      </c>
      <c r="E2" s="27">
        <v>43640</v>
      </c>
      <c r="F2" s="27">
        <v>43641</v>
      </c>
      <c r="G2" s="27">
        <v>43642</v>
      </c>
      <c r="H2" s="27">
        <v>43643</v>
      </c>
      <c r="I2" s="27">
        <v>43644</v>
      </c>
      <c r="J2" s="31">
        <v>43645</v>
      </c>
      <c r="K2" s="31">
        <v>43646</v>
      </c>
      <c r="L2" s="27"/>
      <c r="M2" s="23" t="s">
        <v>368</v>
      </c>
      <c r="N2" s="25">
        <v>43647</v>
      </c>
      <c r="O2" s="25">
        <v>43648</v>
      </c>
      <c r="P2" s="25">
        <v>43649</v>
      </c>
      <c r="Q2" s="25">
        <v>43650</v>
      </c>
      <c r="R2" s="25">
        <v>43651</v>
      </c>
      <c r="V2" s="1" t="s">
        <v>63</v>
      </c>
      <c r="X2" s="1" t="s">
        <v>64</v>
      </c>
      <c r="Z2" s="1" t="s">
        <v>65</v>
      </c>
      <c r="AB2" s="1" t="s">
        <v>169</v>
      </c>
    </row>
    <row r="3" spans="1:29" ht="16.5" customHeight="1">
      <c r="A3" s="15">
        <v>1</v>
      </c>
      <c r="B3" s="19"/>
      <c r="C3" s="19" t="s">
        <v>405</v>
      </c>
      <c r="D3" s="19" t="s">
        <v>406</v>
      </c>
      <c r="E3" s="19"/>
      <c r="F3" s="19"/>
      <c r="G3" s="19"/>
      <c r="H3" s="19"/>
      <c r="I3" s="19"/>
      <c r="J3" s="19" t="s">
        <v>14</v>
      </c>
      <c r="K3" s="19" t="s">
        <v>152</v>
      </c>
      <c r="L3" s="19"/>
      <c r="M3" s="36"/>
      <c r="N3" s="19"/>
      <c r="O3" s="19"/>
      <c r="P3" s="19"/>
      <c r="Q3" s="19"/>
      <c r="R3" s="19"/>
      <c r="V3" s="1" t="s">
        <v>47</v>
      </c>
      <c r="W3" s="1">
        <v>0</v>
      </c>
      <c r="X3" s="1" t="s">
        <v>45</v>
      </c>
      <c r="Y3" s="1">
        <v>2</v>
      </c>
      <c r="Z3" s="1" t="s">
        <v>34</v>
      </c>
      <c r="AA3" s="1">
        <v>2</v>
      </c>
      <c r="AB3" s="1" t="s">
        <v>16</v>
      </c>
      <c r="AC3" s="1">
        <v>1</v>
      </c>
    </row>
    <row r="4" spans="1:29" ht="16.5" customHeight="1">
      <c r="A4" s="15">
        <v>2</v>
      </c>
      <c r="B4" s="19"/>
      <c r="C4" s="19" t="s">
        <v>408</v>
      </c>
      <c r="D4" s="19" t="s">
        <v>409</v>
      </c>
      <c r="E4" s="19"/>
      <c r="F4" s="19"/>
      <c r="G4" s="19"/>
      <c r="H4" s="19"/>
      <c r="I4" s="19"/>
      <c r="J4" s="19" t="s">
        <v>413</v>
      </c>
      <c r="K4" s="19" t="s">
        <v>16</v>
      </c>
      <c r="L4" s="19"/>
      <c r="M4" s="36"/>
      <c r="N4" s="19"/>
      <c r="O4" s="19"/>
      <c r="P4" s="19"/>
      <c r="Q4" s="19"/>
      <c r="R4" s="19"/>
      <c r="T4" s="17"/>
      <c r="U4" s="17"/>
      <c r="V4" s="1" t="s">
        <v>2</v>
      </c>
      <c r="W4" s="1">
        <v>2</v>
      </c>
      <c r="X4" s="1" t="s">
        <v>46</v>
      </c>
      <c r="Y4" s="1">
        <v>1</v>
      </c>
      <c r="Z4" s="1" t="s">
        <v>35</v>
      </c>
      <c r="AA4" s="1">
        <v>2</v>
      </c>
      <c r="AB4" s="1" t="s">
        <v>153</v>
      </c>
      <c r="AC4" s="1">
        <v>1</v>
      </c>
    </row>
    <row r="5" spans="1:29" ht="16.5" customHeight="1">
      <c r="A5" s="15">
        <v>3</v>
      </c>
      <c r="B5" s="19"/>
      <c r="C5" s="19" t="s">
        <v>401</v>
      </c>
      <c r="D5" s="19" t="s">
        <v>402</v>
      </c>
      <c r="E5" s="19"/>
      <c r="F5" s="19"/>
      <c r="G5" s="19"/>
      <c r="H5" s="19"/>
      <c r="I5" s="19"/>
      <c r="J5" s="19" t="s">
        <v>412</v>
      </c>
      <c r="K5" s="19" t="s">
        <v>403</v>
      </c>
      <c r="L5" s="19"/>
      <c r="M5" s="36"/>
      <c r="N5" s="19"/>
      <c r="O5" s="19"/>
      <c r="P5" s="19"/>
      <c r="Q5" s="19"/>
      <c r="R5" s="19"/>
      <c r="T5" s="17"/>
      <c r="U5" s="17"/>
      <c r="V5" s="1" t="s">
        <v>14</v>
      </c>
      <c r="W5" s="1">
        <v>2</v>
      </c>
      <c r="X5" s="1" t="s">
        <v>6</v>
      </c>
      <c r="Y5" s="1">
        <v>1</v>
      </c>
      <c r="Z5" s="1" t="s">
        <v>8</v>
      </c>
      <c r="AA5" s="1">
        <v>2</v>
      </c>
      <c r="AB5" s="1" t="s">
        <v>26</v>
      </c>
      <c r="AC5" s="1">
        <v>1</v>
      </c>
    </row>
    <row r="6" spans="1:29" ht="16.5" customHeight="1">
      <c r="A6" s="15" t="s">
        <v>20</v>
      </c>
      <c r="B6" s="19" t="s">
        <v>312</v>
      </c>
      <c r="C6" s="19" t="s">
        <v>13</v>
      </c>
      <c r="D6" s="19" t="s">
        <v>13</v>
      </c>
      <c r="E6" s="19" t="s">
        <v>327</v>
      </c>
      <c r="F6" s="19" t="s">
        <v>13</v>
      </c>
      <c r="G6" s="19" t="s">
        <v>13</v>
      </c>
      <c r="H6" s="19" t="s">
        <v>13</v>
      </c>
      <c r="I6" s="19" t="s">
        <v>13</v>
      </c>
      <c r="J6" s="19" t="s">
        <v>13</v>
      </c>
      <c r="K6" s="19" t="s">
        <v>13</v>
      </c>
      <c r="L6" s="19"/>
      <c r="M6" s="36"/>
      <c r="N6" s="19" t="s">
        <v>393</v>
      </c>
      <c r="O6" s="19" t="s">
        <v>13</v>
      </c>
      <c r="P6" s="19" t="s">
        <v>13</v>
      </c>
      <c r="Q6" s="19" t="s">
        <v>13</v>
      </c>
      <c r="R6" s="19" t="s">
        <v>13</v>
      </c>
      <c r="T6" s="17"/>
      <c r="U6" s="17"/>
      <c r="V6" s="1" t="s">
        <v>7</v>
      </c>
      <c r="W6" s="1">
        <v>1</v>
      </c>
      <c r="X6" s="1" t="s">
        <v>25</v>
      </c>
      <c r="Y6" s="1">
        <v>0</v>
      </c>
      <c r="AB6" s="1" t="s">
        <v>6</v>
      </c>
      <c r="AC6" s="1">
        <v>1</v>
      </c>
    </row>
    <row r="7" spans="1:29" ht="16.5" customHeight="1">
      <c r="A7" s="15" t="s">
        <v>0</v>
      </c>
      <c r="B7" s="19" t="s">
        <v>377</v>
      </c>
      <c r="C7" s="19" t="s">
        <v>13</v>
      </c>
      <c r="D7" s="19" t="s">
        <v>378</v>
      </c>
      <c r="E7" s="19" t="s">
        <v>374</v>
      </c>
      <c r="F7" s="19" t="s">
        <v>374</v>
      </c>
      <c r="G7" s="19" t="s">
        <v>374</v>
      </c>
      <c r="H7" s="19" t="s">
        <v>377</v>
      </c>
      <c r="I7" s="19" t="s">
        <v>374</v>
      </c>
      <c r="J7" s="19" t="s">
        <v>374</v>
      </c>
      <c r="K7" s="19" t="s">
        <v>378</v>
      </c>
      <c r="L7" s="19"/>
      <c r="M7" s="36"/>
      <c r="N7" s="19" t="s">
        <v>378</v>
      </c>
      <c r="O7" s="19" t="s">
        <v>374</v>
      </c>
      <c r="P7" s="19" t="s">
        <v>374</v>
      </c>
      <c r="Q7" s="19" t="s">
        <v>377</v>
      </c>
      <c r="R7" s="19" t="s">
        <v>374</v>
      </c>
      <c r="T7" s="17"/>
      <c r="U7" s="17"/>
      <c r="V7" s="1" t="s">
        <v>21</v>
      </c>
      <c r="W7" s="1">
        <v>2</v>
      </c>
      <c r="X7" s="1" t="s">
        <v>23</v>
      </c>
      <c r="Y7" s="1">
        <v>2</v>
      </c>
      <c r="Z7" s="1" t="s">
        <v>38</v>
      </c>
      <c r="AA7" s="1">
        <v>2</v>
      </c>
      <c r="AB7" s="1" t="s">
        <v>152</v>
      </c>
      <c r="AC7" s="1">
        <v>1</v>
      </c>
    </row>
    <row r="8" spans="1:29" ht="16.5" customHeight="1">
      <c r="A8" s="15" t="s">
        <v>1</v>
      </c>
      <c r="B8" s="19"/>
      <c r="C8" s="19"/>
      <c r="D8" s="19" t="s">
        <v>375</v>
      </c>
      <c r="E8" s="19" t="s">
        <v>374</v>
      </c>
      <c r="F8" s="19" t="s">
        <v>374</v>
      </c>
      <c r="G8" s="19" t="s">
        <v>374</v>
      </c>
      <c r="H8" s="19" t="s">
        <v>374</v>
      </c>
      <c r="I8" s="19"/>
      <c r="J8" s="19"/>
      <c r="K8" s="19" t="s">
        <v>376</v>
      </c>
      <c r="L8" s="19"/>
      <c r="M8" s="36"/>
      <c r="N8" s="19" t="s">
        <v>376</v>
      </c>
      <c r="O8" s="19" t="s">
        <v>374</v>
      </c>
      <c r="P8" s="19" t="s">
        <v>374</v>
      </c>
      <c r="Q8" s="19" t="s">
        <v>374</v>
      </c>
      <c r="R8" s="19"/>
      <c r="T8" s="17"/>
      <c r="V8" s="1" t="s">
        <v>26</v>
      </c>
      <c r="W8" s="1">
        <v>1</v>
      </c>
      <c r="X8" s="1" t="s">
        <v>16</v>
      </c>
      <c r="Y8" s="1">
        <v>1</v>
      </c>
      <c r="Z8" s="1" t="s">
        <v>36</v>
      </c>
      <c r="AA8" s="1">
        <v>2</v>
      </c>
      <c r="AB8" s="1" t="s">
        <v>23</v>
      </c>
      <c r="AC8" s="1">
        <v>1</v>
      </c>
    </row>
    <row r="9" spans="1:29" ht="16.5" customHeight="1">
      <c r="A9" s="15" t="s">
        <v>366</v>
      </c>
      <c r="B9" s="19"/>
      <c r="C9" s="19"/>
      <c r="D9" s="19"/>
      <c r="E9" s="19"/>
      <c r="F9" s="19"/>
      <c r="G9" s="19"/>
      <c r="H9" s="19"/>
      <c r="I9" s="19"/>
      <c r="J9" s="19"/>
      <c r="K9" s="19"/>
      <c r="L9" s="19"/>
      <c r="M9" s="36"/>
      <c r="N9" s="19"/>
      <c r="O9" s="19"/>
      <c r="P9" s="19"/>
      <c r="Q9" s="19"/>
      <c r="R9" s="19"/>
      <c r="T9" s="17"/>
    </row>
    <row r="10" spans="1:29" ht="16.5" customHeight="1">
      <c r="A10" s="24" t="s">
        <v>368</v>
      </c>
      <c r="B10" s="30">
        <v>43652</v>
      </c>
      <c r="C10" s="30">
        <v>43653</v>
      </c>
      <c r="D10" s="25">
        <v>43654</v>
      </c>
      <c r="E10" s="25">
        <v>43655</v>
      </c>
      <c r="F10" s="25">
        <v>43656</v>
      </c>
      <c r="G10" s="25">
        <v>43657</v>
      </c>
      <c r="H10" s="25">
        <v>43658</v>
      </c>
      <c r="I10" s="30">
        <v>43659</v>
      </c>
      <c r="J10" s="30">
        <v>43660</v>
      </c>
      <c r="K10" s="25">
        <v>43661</v>
      </c>
      <c r="L10" s="25">
        <v>43662</v>
      </c>
      <c r="M10" s="25">
        <v>43663</v>
      </c>
      <c r="N10" s="25">
        <v>43664</v>
      </c>
      <c r="O10" s="25">
        <v>43665</v>
      </c>
      <c r="P10" s="30">
        <v>43666</v>
      </c>
      <c r="Q10" s="19"/>
      <c r="R10" s="19"/>
      <c r="T10" s="17"/>
      <c r="V10" s="1" t="s">
        <v>28</v>
      </c>
      <c r="W10" s="1">
        <v>2</v>
      </c>
      <c r="X10" s="1" t="s">
        <v>152</v>
      </c>
      <c r="Y10" s="1">
        <v>2</v>
      </c>
      <c r="Z10" s="1" t="s">
        <v>37</v>
      </c>
      <c r="AA10" s="1">
        <v>2</v>
      </c>
      <c r="AB10" s="1" t="s">
        <v>112</v>
      </c>
      <c r="AC10" s="1">
        <v>1</v>
      </c>
    </row>
    <row r="11" spans="1:29" ht="16.5" customHeight="1">
      <c r="A11" s="13">
        <v>1</v>
      </c>
      <c r="B11" s="19" t="s">
        <v>21</v>
      </c>
      <c r="C11" s="19" t="s">
        <v>2</v>
      </c>
      <c r="D11" s="19"/>
      <c r="E11" s="19"/>
      <c r="F11" s="19"/>
      <c r="G11" s="19"/>
      <c r="H11" s="19"/>
      <c r="I11" s="19" t="s">
        <v>152</v>
      </c>
      <c r="J11" s="19" t="s">
        <v>27</v>
      </c>
      <c r="K11" s="19"/>
      <c r="L11" s="19"/>
      <c r="M11" s="19"/>
      <c r="N11" s="19"/>
      <c r="O11" s="19"/>
      <c r="P11" s="19" t="s">
        <v>7</v>
      </c>
      <c r="Q11" s="19"/>
      <c r="R11" s="19"/>
      <c r="T11" s="17"/>
      <c r="V11" s="1" t="s">
        <v>27</v>
      </c>
      <c r="W11" s="1">
        <v>2</v>
      </c>
      <c r="X11" s="1" t="s">
        <v>153</v>
      </c>
      <c r="Y11" s="1">
        <v>2</v>
      </c>
      <c r="Z11" s="1" t="s">
        <v>249</v>
      </c>
      <c r="AA11" s="1">
        <v>3</v>
      </c>
      <c r="AB11" s="1" t="s">
        <v>25</v>
      </c>
      <c r="AC11" s="1">
        <v>1</v>
      </c>
    </row>
    <row r="12" spans="1:29" ht="16.5" customHeight="1">
      <c r="A12" s="13">
        <v>2</v>
      </c>
      <c r="B12" s="19" t="s">
        <v>327</v>
      </c>
      <c r="C12" s="19" t="s">
        <v>23</v>
      </c>
      <c r="D12" s="19"/>
      <c r="E12" s="19"/>
      <c r="F12" s="19"/>
      <c r="G12" s="19"/>
      <c r="H12" s="19"/>
      <c r="I12" s="19" t="s">
        <v>411</v>
      </c>
      <c r="J12" s="19" t="s">
        <v>408</v>
      </c>
      <c r="K12" s="19"/>
      <c r="L12" s="19"/>
      <c r="M12" s="19"/>
      <c r="N12" s="19"/>
      <c r="O12" s="19"/>
      <c r="P12" s="19" t="s">
        <v>16</v>
      </c>
      <c r="Q12" s="19"/>
      <c r="R12" s="19"/>
      <c r="T12" s="17"/>
      <c r="V12" s="1" t="s">
        <v>25</v>
      </c>
      <c r="W12" s="1">
        <v>2</v>
      </c>
      <c r="X12" s="1" t="s">
        <v>112</v>
      </c>
      <c r="Y12" s="1">
        <v>2</v>
      </c>
      <c r="Z12" s="1" t="s">
        <v>213</v>
      </c>
      <c r="AA12" s="1">
        <v>0</v>
      </c>
      <c r="AB12" s="1" t="s">
        <v>327</v>
      </c>
      <c r="AC12" s="1">
        <v>1</v>
      </c>
    </row>
    <row r="13" spans="1:29" ht="16.5" customHeight="1">
      <c r="A13" s="13">
        <v>3</v>
      </c>
      <c r="B13" s="19" t="s">
        <v>404</v>
      </c>
      <c r="C13" s="19" t="s">
        <v>249</v>
      </c>
      <c r="D13" s="19"/>
      <c r="E13" s="19"/>
      <c r="F13" s="19"/>
      <c r="G13" s="19"/>
      <c r="H13" s="19"/>
      <c r="I13" s="19" t="s">
        <v>37</v>
      </c>
      <c r="J13" s="19" t="s">
        <v>414</v>
      </c>
      <c r="K13" s="19"/>
      <c r="L13" s="19"/>
      <c r="M13" s="19"/>
      <c r="N13" s="19"/>
      <c r="O13" s="19"/>
      <c r="P13" s="19" t="s">
        <v>402</v>
      </c>
      <c r="Q13" s="19"/>
      <c r="R13" s="19"/>
      <c r="T13" s="17"/>
      <c r="V13" s="1" t="s">
        <v>6</v>
      </c>
      <c r="W13" s="1">
        <v>1</v>
      </c>
      <c r="X13" s="1" t="s">
        <v>327</v>
      </c>
      <c r="Y13" s="1">
        <v>2</v>
      </c>
      <c r="Z13" s="1" t="s">
        <v>356</v>
      </c>
      <c r="AA13" s="1">
        <v>0</v>
      </c>
    </row>
    <row r="14" spans="1:29" ht="16.5" customHeight="1">
      <c r="A14" s="13" t="s">
        <v>20</v>
      </c>
      <c r="B14" s="19" t="s">
        <v>415</v>
      </c>
      <c r="C14" s="19" t="s">
        <v>13</v>
      </c>
      <c r="D14" s="19" t="s">
        <v>395</v>
      </c>
      <c r="E14" s="19" t="s">
        <v>13</v>
      </c>
      <c r="F14" s="19" t="s">
        <v>13</v>
      </c>
      <c r="G14" s="19" t="s">
        <v>13</v>
      </c>
      <c r="H14" s="19" t="s">
        <v>13</v>
      </c>
      <c r="I14" s="19" t="s">
        <v>13</v>
      </c>
      <c r="J14" s="19" t="s">
        <v>13</v>
      </c>
      <c r="K14" s="19" t="s">
        <v>394</v>
      </c>
      <c r="L14" s="19" t="s">
        <v>13</v>
      </c>
      <c r="M14" s="19" t="s">
        <v>13</v>
      </c>
      <c r="N14" s="19" t="s">
        <v>13</v>
      </c>
      <c r="O14" s="19" t="s">
        <v>13</v>
      </c>
      <c r="P14" s="19" t="s">
        <v>13</v>
      </c>
      <c r="Q14" s="19"/>
      <c r="R14" s="19"/>
      <c r="T14" s="17"/>
      <c r="V14" s="1" t="s">
        <v>361</v>
      </c>
      <c r="Z14" s="1" t="s">
        <v>166</v>
      </c>
      <c r="AA14" s="1">
        <v>1</v>
      </c>
    </row>
    <row r="15" spans="1:29" ht="16.5" customHeight="1">
      <c r="A15" s="13" t="s">
        <v>0</v>
      </c>
      <c r="B15" s="19" t="s">
        <v>377</v>
      </c>
      <c r="C15" s="19" t="s">
        <v>378</v>
      </c>
      <c r="D15" s="19" t="s">
        <v>13</v>
      </c>
      <c r="E15" s="19" t="s">
        <v>13</v>
      </c>
      <c r="F15" s="19" t="s">
        <v>13</v>
      </c>
      <c r="G15" s="19" t="s">
        <v>377</v>
      </c>
      <c r="H15" s="19" t="s">
        <v>374</v>
      </c>
      <c r="I15" s="19" t="s">
        <v>374</v>
      </c>
      <c r="J15" s="19" t="s">
        <v>378</v>
      </c>
      <c r="K15" s="19" t="s">
        <v>374</v>
      </c>
      <c r="L15" s="19" t="s">
        <v>374</v>
      </c>
      <c r="M15" s="19" t="s">
        <v>374</v>
      </c>
      <c r="N15" s="19" t="s">
        <v>377</v>
      </c>
      <c r="O15" s="19" t="s">
        <v>374</v>
      </c>
      <c r="P15" s="19" t="s">
        <v>374</v>
      </c>
      <c r="Q15" s="19"/>
      <c r="R15" s="19"/>
      <c r="T15" s="17"/>
    </row>
    <row r="16" spans="1:29" ht="16.5" customHeight="1">
      <c r="A16" s="13" t="s">
        <v>1</v>
      </c>
      <c r="B16" s="19"/>
      <c r="C16" s="19" t="s">
        <v>375</v>
      </c>
      <c r="D16" s="19" t="s">
        <v>13</v>
      </c>
      <c r="E16" s="19" t="s">
        <v>13</v>
      </c>
      <c r="F16" s="19" t="s">
        <v>13</v>
      </c>
      <c r="G16" s="19" t="s">
        <v>13</v>
      </c>
      <c r="H16" s="19"/>
      <c r="I16" s="19"/>
      <c r="J16" s="19" t="s">
        <v>376</v>
      </c>
      <c r="K16" s="19" t="s">
        <v>374</v>
      </c>
      <c r="L16" s="19" t="s">
        <v>374</v>
      </c>
      <c r="M16" s="19" t="s">
        <v>374</v>
      </c>
      <c r="N16" s="19" t="s">
        <v>374</v>
      </c>
      <c r="O16" s="19"/>
      <c r="P16" s="19"/>
      <c r="Q16" s="19"/>
      <c r="R16" s="19"/>
      <c r="T16" s="17"/>
      <c r="W16" s="1">
        <f>SUM(W3:W15)</f>
        <v>15</v>
      </c>
      <c r="Y16" s="1">
        <f>SUM(Y3:Y15)</f>
        <v>15</v>
      </c>
      <c r="AA16" s="1">
        <f>SUM(AA3:AA15)</f>
        <v>16</v>
      </c>
      <c r="AC16" s="1">
        <f>SUM(AC3:AC15)</f>
        <v>9</v>
      </c>
    </row>
    <row r="17" spans="1:29" ht="16.5" customHeight="1">
      <c r="A17" s="13" t="s">
        <v>366</v>
      </c>
      <c r="B17" s="19"/>
      <c r="C17" s="19"/>
      <c r="D17" s="19"/>
      <c r="E17" s="19"/>
      <c r="F17" s="19"/>
      <c r="G17" s="19"/>
      <c r="H17" s="19"/>
      <c r="I17" s="19"/>
      <c r="J17" s="19"/>
      <c r="K17" s="19"/>
      <c r="L17" s="19"/>
      <c r="M17" s="19"/>
      <c r="N17" s="19"/>
      <c r="O17" s="19"/>
      <c r="P17" s="19"/>
      <c r="Q17" s="19"/>
      <c r="R17" s="19"/>
      <c r="T17" s="17"/>
    </row>
    <row r="18" spans="1:29" ht="16.5" customHeight="1">
      <c r="A18" s="20" t="s">
        <v>320</v>
      </c>
      <c r="B18" s="37"/>
      <c r="C18" s="37"/>
      <c r="D18" s="37"/>
      <c r="E18" s="37"/>
      <c r="F18" s="37"/>
      <c r="G18" s="37"/>
      <c r="H18" s="38"/>
      <c r="I18" s="38"/>
      <c r="J18" s="38"/>
      <c r="K18" s="38"/>
      <c r="L18" s="38"/>
      <c r="M18" s="38"/>
      <c r="N18" s="38"/>
      <c r="O18" s="38"/>
      <c r="P18" s="37"/>
      <c r="Q18" s="37"/>
      <c r="R18" s="39"/>
      <c r="T18" s="17"/>
      <c r="X18" s="1" t="s">
        <v>373</v>
      </c>
    </row>
    <row r="19" spans="1:29" ht="16.5" customHeight="1">
      <c r="A19" s="24" t="s">
        <v>368</v>
      </c>
      <c r="B19" s="30">
        <v>43667</v>
      </c>
      <c r="C19" s="25">
        <v>43668</v>
      </c>
      <c r="D19" s="25">
        <v>43669</v>
      </c>
      <c r="E19" s="25">
        <v>43670</v>
      </c>
      <c r="F19" s="25">
        <v>43671</v>
      </c>
      <c r="G19" s="25">
        <v>43672</v>
      </c>
      <c r="H19" s="30">
        <v>43673</v>
      </c>
      <c r="I19" s="30">
        <v>43674</v>
      </c>
      <c r="J19" s="25">
        <v>43675</v>
      </c>
      <c r="K19" s="25">
        <v>43676</v>
      </c>
      <c r="L19" s="25">
        <v>43677</v>
      </c>
      <c r="M19" s="26" t="s">
        <v>216</v>
      </c>
      <c r="N19" s="27">
        <v>43678</v>
      </c>
      <c r="O19" s="27">
        <v>43679</v>
      </c>
      <c r="P19" s="31">
        <v>43680</v>
      </c>
      <c r="Q19" s="31">
        <v>43681</v>
      </c>
      <c r="R19" s="27">
        <v>43682</v>
      </c>
      <c r="T19" s="17"/>
      <c r="V19" s="1" t="s">
        <v>63</v>
      </c>
      <c r="X19" s="1" t="s">
        <v>64</v>
      </c>
      <c r="Z19" s="1" t="s">
        <v>65</v>
      </c>
      <c r="AB19" s="1" t="s">
        <v>169</v>
      </c>
    </row>
    <row r="20" spans="1:29" ht="16.5" customHeight="1">
      <c r="A20" s="13">
        <v>1</v>
      </c>
      <c r="B20" s="19" t="s">
        <v>14</v>
      </c>
      <c r="C20" s="19"/>
      <c r="D20" s="19"/>
      <c r="E20" s="19"/>
      <c r="F20" s="19"/>
      <c r="G20" s="19"/>
      <c r="H20" s="19" t="s">
        <v>406</v>
      </c>
      <c r="I20" s="19" t="s">
        <v>407</v>
      </c>
      <c r="J20" s="19"/>
      <c r="K20" s="19"/>
      <c r="L20" s="19"/>
      <c r="M20" s="28"/>
      <c r="N20" s="19"/>
      <c r="O20" s="19"/>
      <c r="P20" s="19" t="s">
        <v>2</v>
      </c>
      <c r="Q20" s="19" t="s">
        <v>21</v>
      </c>
      <c r="R20" s="19"/>
      <c r="T20" s="17"/>
      <c r="V20" s="1" t="s">
        <v>410</v>
      </c>
      <c r="W20" s="1">
        <v>2</v>
      </c>
      <c r="X20" s="1" t="s">
        <v>45</v>
      </c>
      <c r="Y20" s="1">
        <v>3</v>
      </c>
      <c r="Z20" s="1" t="s">
        <v>34</v>
      </c>
      <c r="AA20" s="1">
        <v>3</v>
      </c>
      <c r="AB20" s="1" t="s">
        <v>16</v>
      </c>
      <c r="AC20" s="1">
        <v>1</v>
      </c>
    </row>
    <row r="21" spans="1:29" ht="16.5" customHeight="1">
      <c r="A21" s="13">
        <v>2</v>
      </c>
      <c r="B21" s="19" t="s">
        <v>415</v>
      </c>
      <c r="C21" s="19"/>
      <c r="D21" s="19"/>
      <c r="E21" s="19"/>
      <c r="F21" s="19"/>
      <c r="G21" s="19"/>
      <c r="H21" s="19" t="s">
        <v>416</v>
      </c>
      <c r="I21" s="19" t="s">
        <v>417</v>
      </c>
      <c r="J21" s="19"/>
      <c r="K21" s="19"/>
      <c r="L21" s="19"/>
      <c r="M21" s="28"/>
      <c r="N21" s="19"/>
      <c r="O21" s="19"/>
      <c r="P21" s="19" t="s">
        <v>413</v>
      </c>
      <c r="Q21" s="19" t="s">
        <v>412</v>
      </c>
      <c r="R21" s="19"/>
      <c r="T21" s="17"/>
      <c r="V21" s="1" t="s">
        <v>2</v>
      </c>
      <c r="W21" s="1">
        <v>2</v>
      </c>
      <c r="X21" s="1" t="s">
        <v>46</v>
      </c>
      <c r="Y21" s="1">
        <v>2</v>
      </c>
      <c r="Z21" s="1" t="s">
        <v>35</v>
      </c>
      <c r="AA21" s="1">
        <v>2</v>
      </c>
      <c r="AB21" s="1" t="s">
        <v>153</v>
      </c>
      <c r="AC21" s="1">
        <v>1</v>
      </c>
    </row>
    <row r="22" spans="1:29" ht="16.5" customHeight="1">
      <c r="A22" s="13">
        <v>3</v>
      </c>
      <c r="B22" s="19" t="s">
        <v>418</v>
      </c>
      <c r="C22" s="19"/>
      <c r="D22" s="19"/>
      <c r="E22" s="19"/>
      <c r="F22" s="19"/>
      <c r="G22" s="19"/>
      <c r="H22" s="19" t="s">
        <v>401</v>
      </c>
      <c r="I22" s="19" t="s">
        <v>419</v>
      </c>
      <c r="J22" s="19"/>
      <c r="K22" s="19"/>
      <c r="L22" s="19"/>
      <c r="M22" s="28"/>
      <c r="N22" s="19"/>
      <c r="O22" s="19"/>
      <c r="P22" s="19" t="s">
        <v>37</v>
      </c>
      <c r="Q22" s="19" t="s">
        <v>420</v>
      </c>
      <c r="R22" s="19"/>
      <c r="T22" s="17"/>
      <c r="V22" s="1" t="s">
        <v>14</v>
      </c>
      <c r="W22" s="1">
        <v>2</v>
      </c>
      <c r="X22" s="1" t="s">
        <v>6</v>
      </c>
      <c r="Y22" s="1">
        <v>2</v>
      </c>
      <c r="Z22" s="1" t="s">
        <v>8</v>
      </c>
      <c r="AA22" s="1">
        <v>2</v>
      </c>
      <c r="AB22" s="1" t="s">
        <v>26</v>
      </c>
      <c r="AC22" s="1">
        <v>1</v>
      </c>
    </row>
    <row r="23" spans="1:29" ht="16.5" customHeight="1">
      <c r="A23" s="13" t="s">
        <v>20</v>
      </c>
      <c r="B23" s="19" t="s">
        <v>413</v>
      </c>
      <c r="C23" s="19" t="s">
        <v>396</v>
      </c>
      <c r="D23" s="19" t="s">
        <v>13</v>
      </c>
      <c r="E23" s="19" t="s">
        <v>13</v>
      </c>
      <c r="F23" s="19" t="s">
        <v>13</v>
      </c>
      <c r="G23" s="19" t="s">
        <v>13</v>
      </c>
      <c r="H23" s="19" t="s">
        <v>13</v>
      </c>
      <c r="I23" s="19" t="s">
        <v>13</v>
      </c>
      <c r="J23" s="19" t="s">
        <v>397</v>
      </c>
      <c r="K23" s="19" t="s">
        <v>13</v>
      </c>
      <c r="L23" s="19" t="s">
        <v>13</v>
      </c>
      <c r="M23" s="28"/>
      <c r="N23" s="19" t="s">
        <v>152</v>
      </c>
      <c r="O23" s="19" t="s">
        <v>13</v>
      </c>
      <c r="P23" s="19" t="s">
        <v>13</v>
      </c>
      <c r="Q23" s="19" t="s">
        <v>13</v>
      </c>
      <c r="R23" s="19" t="s">
        <v>398</v>
      </c>
      <c r="T23" s="17"/>
      <c r="V23" s="1" t="s">
        <v>7</v>
      </c>
      <c r="W23" s="1">
        <v>3</v>
      </c>
      <c r="X23" s="1" t="s">
        <v>23</v>
      </c>
      <c r="Y23" s="1">
        <v>2</v>
      </c>
      <c r="Z23" s="1" t="s">
        <v>38</v>
      </c>
      <c r="AA23" s="1">
        <v>2</v>
      </c>
      <c r="AB23" s="1" t="s">
        <v>6</v>
      </c>
      <c r="AC23" s="1">
        <v>1</v>
      </c>
    </row>
    <row r="24" spans="1:29" ht="16.5" customHeight="1">
      <c r="A24" s="13" t="s">
        <v>0</v>
      </c>
      <c r="B24" s="19" t="s">
        <v>378</v>
      </c>
      <c r="C24" s="19" t="s">
        <v>13</v>
      </c>
      <c r="D24" s="19" t="s">
        <v>13</v>
      </c>
      <c r="E24" s="19" t="s">
        <v>13</v>
      </c>
      <c r="F24" s="19" t="s">
        <v>377</v>
      </c>
      <c r="G24" s="19" t="s">
        <v>374</v>
      </c>
      <c r="H24" s="19" t="s">
        <v>374</v>
      </c>
      <c r="I24" s="19" t="s">
        <v>378</v>
      </c>
      <c r="J24" s="19" t="s">
        <v>374</v>
      </c>
      <c r="K24" s="19" t="s">
        <v>374</v>
      </c>
      <c r="L24" s="19" t="s">
        <v>374</v>
      </c>
      <c r="M24" s="28"/>
      <c r="N24" s="19" t="s">
        <v>377</v>
      </c>
      <c r="O24" s="19" t="s">
        <v>374</v>
      </c>
      <c r="P24" s="19" t="s">
        <v>374</v>
      </c>
      <c r="Q24" s="19" t="s">
        <v>378</v>
      </c>
      <c r="R24" s="19" t="s">
        <v>374</v>
      </c>
      <c r="T24" s="17"/>
      <c r="V24" s="1" t="s">
        <v>21</v>
      </c>
      <c r="W24" s="1">
        <v>2</v>
      </c>
      <c r="X24" s="1" t="s">
        <v>16</v>
      </c>
      <c r="Y24" s="1">
        <v>2</v>
      </c>
      <c r="Z24" s="1" t="s">
        <v>36</v>
      </c>
      <c r="AA24" s="1">
        <v>2</v>
      </c>
      <c r="AB24" s="1" t="s">
        <v>152</v>
      </c>
      <c r="AC24" s="1">
        <v>1</v>
      </c>
    </row>
    <row r="25" spans="1:29" ht="16.5" customHeight="1">
      <c r="A25" s="13" t="s">
        <v>1</v>
      </c>
      <c r="B25" s="19" t="s">
        <v>375</v>
      </c>
      <c r="C25" s="19" t="s">
        <v>13</v>
      </c>
      <c r="D25" s="19" t="s">
        <v>13</v>
      </c>
      <c r="E25" s="19" t="s">
        <v>13</v>
      </c>
      <c r="F25" s="19" t="s">
        <v>13</v>
      </c>
      <c r="G25" s="19"/>
      <c r="H25" s="19"/>
      <c r="I25" s="19" t="s">
        <v>376</v>
      </c>
      <c r="J25" s="19" t="s">
        <v>374</v>
      </c>
      <c r="K25" s="19" t="s">
        <v>374</v>
      </c>
      <c r="L25" s="19" t="s">
        <v>374</v>
      </c>
      <c r="M25" s="28"/>
      <c r="N25" s="19" t="s">
        <v>376</v>
      </c>
      <c r="O25" s="19"/>
      <c r="P25" s="19"/>
      <c r="Q25" s="19" t="s">
        <v>375</v>
      </c>
      <c r="R25" s="19" t="s">
        <v>374</v>
      </c>
      <c r="T25" s="17"/>
      <c r="V25" s="1" t="s">
        <v>26</v>
      </c>
      <c r="W25" s="1">
        <v>1</v>
      </c>
      <c r="X25" s="1" t="s">
        <v>153</v>
      </c>
      <c r="Y25" s="1">
        <v>1</v>
      </c>
      <c r="Z25" s="1" t="s">
        <v>37</v>
      </c>
      <c r="AA25" s="1">
        <v>2</v>
      </c>
      <c r="AB25" s="1" t="s">
        <v>23</v>
      </c>
      <c r="AC25" s="1">
        <v>1</v>
      </c>
    </row>
    <row r="26" spans="1:29" ht="16.5" customHeight="1">
      <c r="A26" s="13" t="s">
        <v>366</v>
      </c>
      <c r="B26" s="19"/>
      <c r="C26" s="19"/>
      <c r="D26" s="19"/>
      <c r="E26" s="19"/>
      <c r="F26" s="19"/>
      <c r="G26" s="19"/>
      <c r="H26" s="19"/>
      <c r="I26" s="19"/>
      <c r="J26" s="19"/>
      <c r="K26" s="19"/>
      <c r="L26" s="19"/>
      <c r="M26" s="28"/>
      <c r="N26" s="19"/>
      <c r="O26" s="19"/>
      <c r="P26" s="19"/>
      <c r="Q26" s="19"/>
      <c r="R26" s="19"/>
      <c r="T26" s="17"/>
      <c r="V26" s="1" t="s">
        <v>27</v>
      </c>
      <c r="W26" s="1">
        <v>2</v>
      </c>
      <c r="X26" s="1" t="s">
        <v>327</v>
      </c>
      <c r="Y26" s="1">
        <v>2</v>
      </c>
      <c r="Z26" s="1" t="s">
        <v>249</v>
      </c>
      <c r="AA26" s="1">
        <v>2</v>
      </c>
      <c r="AB26" s="1" t="s">
        <v>112</v>
      </c>
      <c r="AC26" s="1">
        <v>1</v>
      </c>
    </row>
    <row r="27" spans="1:29" ht="16.5" customHeight="1">
      <c r="A27" s="22" t="s">
        <v>216</v>
      </c>
      <c r="B27" s="27">
        <v>43683</v>
      </c>
      <c r="C27" s="27">
        <v>43684</v>
      </c>
      <c r="D27" s="27">
        <v>43685</v>
      </c>
      <c r="E27" s="27">
        <v>43686</v>
      </c>
      <c r="F27" s="31">
        <v>43687</v>
      </c>
      <c r="G27" s="31">
        <v>43688</v>
      </c>
      <c r="H27" s="27">
        <v>43689</v>
      </c>
      <c r="I27" s="27">
        <v>43690</v>
      </c>
      <c r="J27" s="31">
        <v>43691</v>
      </c>
      <c r="K27" s="31">
        <v>43692</v>
      </c>
      <c r="L27" s="31">
        <v>43693</v>
      </c>
      <c r="M27" s="31">
        <v>43694</v>
      </c>
      <c r="N27" s="31">
        <v>43695</v>
      </c>
      <c r="O27" s="27">
        <v>43696</v>
      </c>
      <c r="P27" s="27">
        <v>43697</v>
      </c>
      <c r="Q27" s="27"/>
      <c r="R27" s="19"/>
      <c r="T27" s="17"/>
      <c r="V27" s="1" t="s">
        <v>152</v>
      </c>
      <c r="W27" s="1">
        <v>2</v>
      </c>
      <c r="X27" s="1" t="s">
        <v>28</v>
      </c>
      <c r="Y27" s="1">
        <v>1</v>
      </c>
      <c r="Z27" s="1" t="s">
        <v>112</v>
      </c>
      <c r="AA27" s="1">
        <v>1</v>
      </c>
      <c r="AB27" s="1" t="s">
        <v>25</v>
      </c>
      <c r="AC27" s="1">
        <v>1</v>
      </c>
    </row>
    <row r="28" spans="1:29" ht="16.5" customHeight="1">
      <c r="A28" s="15">
        <v>1</v>
      </c>
      <c r="B28" s="19"/>
      <c r="C28" s="19"/>
      <c r="D28" s="19"/>
      <c r="E28" s="19"/>
      <c r="F28" s="19" t="s">
        <v>27</v>
      </c>
      <c r="G28" s="19" t="s">
        <v>7</v>
      </c>
      <c r="H28" s="19"/>
      <c r="I28" s="19"/>
      <c r="J28" s="19"/>
      <c r="K28" s="19"/>
      <c r="L28" s="19"/>
      <c r="M28" s="19"/>
      <c r="N28" s="19"/>
      <c r="O28" s="19"/>
      <c r="P28" s="19"/>
      <c r="Q28" s="19"/>
      <c r="R28" s="19"/>
      <c r="T28" s="17"/>
      <c r="W28" s="1">
        <v>0</v>
      </c>
      <c r="X28" s="1" t="s">
        <v>412</v>
      </c>
      <c r="Y28" s="1">
        <v>1</v>
      </c>
      <c r="AA28" s="1">
        <v>0</v>
      </c>
      <c r="AB28" s="1" t="s">
        <v>327</v>
      </c>
      <c r="AC28" s="1">
        <v>1</v>
      </c>
    </row>
    <row r="29" spans="1:29" ht="16.5" customHeight="1">
      <c r="A29" s="15">
        <v>2</v>
      </c>
      <c r="B29" s="19"/>
      <c r="C29" s="19"/>
      <c r="D29" s="19"/>
      <c r="E29" s="19"/>
      <c r="F29" s="19" t="s">
        <v>421</v>
      </c>
      <c r="G29" s="19" t="s">
        <v>422</v>
      </c>
      <c r="H29" s="19"/>
      <c r="I29" s="19"/>
      <c r="J29" s="19"/>
      <c r="K29" s="19"/>
      <c r="L29" s="19"/>
      <c r="M29" s="19"/>
      <c r="N29" s="19"/>
      <c r="O29" s="19"/>
      <c r="P29" s="19"/>
      <c r="Q29" s="19"/>
      <c r="R29" s="19"/>
      <c r="T29" s="17"/>
      <c r="W29" s="1">
        <v>0</v>
      </c>
      <c r="Y29" s="1">
        <v>0</v>
      </c>
      <c r="AA29" s="1">
        <v>0</v>
      </c>
    </row>
    <row r="30" spans="1:29" ht="16.5" customHeight="1">
      <c r="A30" s="15">
        <v>3</v>
      </c>
      <c r="B30" s="19"/>
      <c r="C30" s="19"/>
      <c r="D30" s="19"/>
      <c r="E30" s="19"/>
      <c r="F30" s="19" t="s">
        <v>423</v>
      </c>
      <c r="G30" s="19" t="s">
        <v>36</v>
      </c>
      <c r="H30" s="19"/>
      <c r="I30" s="19"/>
      <c r="J30" s="19"/>
      <c r="K30" s="19"/>
      <c r="L30" s="19"/>
      <c r="M30" s="19"/>
      <c r="N30" s="19"/>
      <c r="O30" s="19"/>
      <c r="P30" s="19"/>
      <c r="Q30" s="19"/>
      <c r="R30" s="19"/>
      <c r="T30" s="17"/>
      <c r="AA30" s="1">
        <v>0</v>
      </c>
    </row>
    <row r="31" spans="1:29" ht="16.5" customHeight="1">
      <c r="A31" s="15" t="s">
        <v>20</v>
      </c>
      <c r="B31" s="19" t="s">
        <v>424</v>
      </c>
      <c r="C31" s="19" t="s">
        <v>13</v>
      </c>
      <c r="D31" s="19" t="s">
        <v>13</v>
      </c>
      <c r="E31" s="19" t="s">
        <v>13</v>
      </c>
      <c r="F31" s="19" t="s">
        <v>13</v>
      </c>
      <c r="G31" s="19" t="s">
        <v>13</v>
      </c>
      <c r="H31" s="19" t="s">
        <v>399</v>
      </c>
      <c r="I31" s="19" t="s">
        <v>13</v>
      </c>
      <c r="J31" s="19"/>
      <c r="K31" s="19"/>
      <c r="L31" s="19"/>
      <c r="M31" s="19"/>
      <c r="N31" s="19"/>
      <c r="O31" s="19" t="s">
        <v>400</v>
      </c>
      <c r="P31" s="19" t="s">
        <v>13</v>
      </c>
      <c r="Q31" s="19"/>
      <c r="R31" s="19"/>
      <c r="T31" s="17"/>
    </row>
    <row r="32" spans="1:29" ht="16.5" customHeight="1">
      <c r="A32" s="15" t="s">
        <v>0</v>
      </c>
      <c r="B32" s="19" t="s">
        <v>378</v>
      </c>
      <c r="C32" s="19" t="s">
        <v>13</v>
      </c>
      <c r="D32" s="19" t="s">
        <v>9</v>
      </c>
      <c r="E32" s="19" t="s">
        <v>374</v>
      </c>
      <c r="F32" s="19" t="s">
        <v>374</v>
      </c>
      <c r="G32" s="19" t="s">
        <v>378</v>
      </c>
      <c r="H32" s="19" t="s">
        <v>374</v>
      </c>
      <c r="I32" s="19" t="s">
        <v>374</v>
      </c>
      <c r="J32" s="19"/>
      <c r="K32" s="19"/>
      <c r="L32" s="19"/>
      <c r="M32" s="19"/>
      <c r="N32" s="19"/>
      <c r="O32" s="19" t="s">
        <v>115</v>
      </c>
      <c r="P32" s="19" t="s">
        <v>374</v>
      </c>
      <c r="Q32" s="19"/>
      <c r="R32" s="19"/>
      <c r="T32" s="17"/>
      <c r="V32" s="1" t="s">
        <v>108</v>
      </c>
      <c r="W32" s="1">
        <f>SUM(W19:W31)</f>
        <v>16</v>
      </c>
      <c r="Y32" s="1">
        <f>SUM(Y19:Y31)</f>
        <v>16</v>
      </c>
      <c r="AA32" s="1">
        <f>SUM(AA19:AA31)</f>
        <v>16</v>
      </c>
      <c r="AC32" s="1">
        <f>SUM(AC19:AC31)</f>
        <v>9</v>
      </c>
    </row>
    <row r="33" spans="1:20" ht="16.5" customHeight="1">
      <c r="A33" s="15" t="s">
        <v>1</v>
      </c>
      <c r="B33" s="19" t="s">
        <v>375</v>
      </c>
      <c r="C33" s="19" t="s">
        <v>13</v>
      </c>
      <c r="D33" s="19" t="s">
        <v>13</v>
      </c>
      <c r="E33" s="19"/>
      <c r="F33" s="19"/>
      <c r="G33" s="19" t="s">
        <v>376</v>
      </c>
      <c r="H33" s="19" t="s">
        <v>374</v>
      </c>
      <c r="I33" s="19" t="s">
        <v>374</v>
      </c>
      <c r="J33" s="19"/>
      <c r="K33" s="19"/>
      <c r="L33" s="19"/>
      <c r="M33" s="19"/>
      <c r="N33" s="19"/>
      <c r="O33" s="19" t="s">
        <v>166</v>
      </c>
      <c r="P33" s="19" t="s">
        <v>374</v>
      </c>
      <c r="Q33" s="19"/>
      <c r="R33" s="19"/>
    </row>
    <row r="34" spans="1:20" ht="16.5" customHeight="1">
      <c r="A34" s="15" t="s">
        <v>366</v>
      </c>
      <c r="B34" s="19"/>
      <c r="C34" s="19"/>
      <c r="D34" s="19"/>
      <c r="E34" s="19"/>
      <c r="F34" s="19"/>
      <c r="G34" s="19"/>
      <c r="H34" s="19"/>
      <c r="I34" s="19"/>
      <c r="J34" s="19"/>
      <c r="K34" s="19"/>
      <c r="L34" s="19"/>
      <c r="M34" s="19"/>
      <c r="N34" s="19"/>
      <c r="O34" s="19"/>
      <c r="P34" s="19"/>
      <c r="Q34" s="19"/>
      <c r="R34" s="19"/>
    </row>
    <row r="35" spans="1:20" ht="12.75" customHeight="1">
      <c r="Q35" s="145" t="s">
        <v>82</v>
      </c>
      <c r="R35" s="145"/>
      <c r="T35" s="17"/>
    </row>
    <row r="36" spans="1:20">
      <c r="A36" s="1" t="s">
        <v>322</v>
      </c>
      <c r="H36" s="34" t="s">
        <v>371</v>
      </c>
      <c r="T36" s="17"/>
    </row>
    <row r="37" spans="1:20">
      <c r="A37" s="34" t="s">
        <v>381</v>
      </c>
      <c r="B37" s="34">
        <v>43673</v>
      </c>
      <c r="C37" s="34">
        <v>43674</v>
      </c>
      <c r="D37" s="34">
        <v>43680</v>
      </c>
      <c r="E37" s="34"/>
      <c r="F37" s="34"/>
      <c r="G37" s="34"/>
      <c r="H37" s="34" t="s">
        <v>370</v>
      </c>
      <c r="I37" s="34" t="s">
        <v>372</v>
      </c>
      <c r="J37" s="34"/>
      <c r="K37" s="34"/>
      <c r="L37" s="34"/>
      <c r="M37" s="34"/>
      <c r="N37" s="34"/>
      <c r="O37" s="34"/>
      <c r="P37" s="34"/>
      <c r="Q37" s="34"/>
      <c r="R37" s="34"/>
      <c r="T37" s="17"/>
    </row>
    <row r="38" spans="1:20">
      <c r="A38" s="34" t="s">
        <v>382</v>
      </c>
      <c r="B38" s="34">
        <v>43673</v>
      </c>
      <c r="C38" s="34">
        <v>43674</v>
      </c>
      <c r="D38" s="34">
        <v>43680</v>
      </c>
      <c r="E38" s="34">
        <v>43681</v>
      </c>
      <c r="F38" s="34"/>
      <c r="G38" s="34"/>
      <c r="H38" s="34" t="s">
        <v>379</v>
      </c>
      <c r="I38" s="34" t="s">
        <v>380</v>
      </c>
      <c r="J38" s="34"/>
      <c r="K38" s="34"/>
      <c r="L38" s="34"/>
      <c r="M38" s="34"/>
      <c r="N38" s="34"/>
      <c r="O38" s="34"/>
      <c r="P38" s="34"/>
      <c r="Q38" s="34"/>
      <c r="R38" s="34"/>
      <c r="T38" s="17"/>
    </row>
    <row r="39" spans="1:20">
      <c r="A39" s="34" t="s">
        <v>383</v>
      </c>
      <c r="B39" s="34">
        <v>43666</v>
      </c>
      <c r="C39" s="34">
        <v>43673</v>
      </c>
      <c r="D39" s="34">
        <v>43674</v>
      </c>
      <c r="E39" s="34"/>
      <c r="F39" s="34"/>
      <c r="G39" s="34"/>
      <c r="H39" s="34" t="s">
        <v>390</v>
      </c>
      <c r="I39" s="34" t="s">
        <v>372</v>
      </c>
      <c r="J39" s="34" t="s">
        <v>391</v>
      </c>
      <c r="K39" s="34"/>
      <c r="L39" s="34"/>
      <c r="M39" s="34"/>
      <c r="N39" s="34"/>
      <c r="O39" s="34"/>
      <c r="P39" s="34"/>
      <c r="Q39" s="34"/>
      <c r="R39" s="34"/>
      <c r="T39" s="17"/>
    </row>
    <row r="40" spans="1:20">
      <c r="A40" s="34" t="s">
        <v>384</v>
      </c>
      <c r="B40" s="34">
        <v>43673</v>
      </c>
      <c r="C40" s="34">
        <v>43674</v>
      </c>
      <c r="D40" s="34">
        <v>43694</v>
      </c>
      <c r="E40" s="34">
        <v>43695</v>
      </c>
      <c r="F40" s="34"/>
      <c r="G40" s="34"/>
      <c r="H40" s="34"/>
      <c r="I40" s="34"/>
      <c r="J40" s="34"/>
      <c r="K40" s="34"/>
      <c r="L40" s="34"/>
      <c r="M40" s="34"/>
      <c r="N40" s="34"/>
      <c r="O40" s="34"/>
      <c r="P40" s="34"/>
      <c r="Q40" s="34"/>
      <c r="R40" s="34"/>
    </row>
    <row r="41" spans="1:20">
      <c r="A41" s="34" t="s">
        <v>385</v>
      </c>
      <c r="B41" s="34">
        <v>43666</v>
      </c>
      <c r="C41" s="34">
        <v>43667</v>
      </c>
      <c r="D41" s="34">
        <v>43673</v>
      </c>
      <c r="E41" s="34">
        <v>43674</v>
      </c>
      <c r="F41" s="34"/>
      <c r="G41" s="34"/>
      <c r="H41" s="34"/>
      <c r="I41" s="34"/>
      <c r="J41" s="34"/>
      <c r="K41" s="34"/>
      <c r="L41" s="34"/>
      <c r="M41" s="34"/>
      <c r="N41" s="34"/>
      <c r="O41" s="34"/>
      <c r="P41" s="34"/>
      <c r="Q41" s="34"/>
      <c r="R41" s="34"/>
      <c r="T41" s="17"/>
    </row>
    <row r="42" spans="1:20">
      <c r="A42" s="34" t="s">
        <v>386</v>
      </c>
      <c r="B42" s="34">
        <v>43666</v>
      </c>
      <c r="C42" s="34">
        <v>43667</v>
      </c>
      <c r="D42" s="34">
        <v>43646</v>
      </c>
      <c r="E42" s="34">
        <v>43652</v>
      </c>
      <c r="F42" s="34"/>
      <c r="G42" s="34"/>
      <c r="H42" s="34"/>
      <c r="I42" s="34"/>
      <c r="J42" s="34"/>
      <c r="K42" s="34"/>
      <c r="L42" s="34"/>
      <c r="M42" s="34"/>
      <c r="N42" s="34"/>
      <c r="O42" s="34"/>
      <c r="P42" s="34"/>
      <c r="Q42" s="34"/>
      <c r="R42" s="34"/>
      <c r="T42" s="17"/>
    </row>
    <row r="43" spans="1:20">
      <c r="A43" s="34" t="s">
        <v>388</v>
      </c>
      <c r="B43" s="34">
        <v>43666</v>
      </c>
      <c r="C43" s="34">
        <v>43667</v>
      </c>
      <c r="D43" s="34">
        <v>43673</v>
      </c>
      <c r="E43" s="34">
        <v>43674</v>
      </c>
      <c r="F43" s="34">
        <v>43691</v>
      </c>
      <c r="G43" s="34">
        <v>43692</v>
      </c>
      <c r="H43" s="34">
        <v>43693</v>
      </c>
      <c r="I43" s="34">
        <v>43694</v>
      </c>
      <c r="J43" s="34">
        <v>43695</v>
      </c>
      <c r="K43" s="34"/>
      <c r="L43" s="34"/>
      <c r="M43" s="34"/>
      <c r="N43" s="34"/>
      <c r="O43" s="34"/>
      <c r="P43" s="34"/>
      <c r="Q43" s="34"/>
      <c r="R43" s="34"/>
      <c r="T43" s="17"/>
    </row>
    <row r="44" spans="1:20">
      <c r="A44" s="34" t="s">
        <v>389</v>
      </c>
      <c r="B44" s="34">
        <v>43645</v>
      </c>
      <c r="C44" s="34">
        <v>43646</v>
      </c>
      <c r="D44" s="34">
        <v>43691</v>
      </c>
      <c r="E44" s="34">
        <v>43692</v>
      </c>
      <c r="F44" s="34">
        <v>43693</v>
      </c>
      <c r="G44" s="34">
        <v>43694</v>
      </c>
      <c r="H44" s="34">
        <v>43695</v>
      </c>
      <c r="I44" s="34"/>
      <c r="J44" s="34"/>
      <c r="K44" s="34"/>
      <c r="L44" s="34"/>
      <c r="M44" s="34"/>
      <c r="N44" s="34"/>
      <c r="O44" s="34"/>
      <c r="P44" s="34"/>
      <c r="Q44" s="34"/>
      <c r="R44" s="34"/>
      <c r="T44" s="17"/>
    </row>
    <row r="45" spans="1:20">
      <c r="A45" s="34" t="s">
        <v>37</v>
      </c>
      <c r="B45" s="34">
        <v>43652</v>
      </c>
      <c r="C45" s="34">
        <v>43653</v>
      </c>
      <c r="D45" s="34"/>
      <c r="E45" s="34"/>
      <c r="F45" s="34"/>
      <c r="G45" s="34"/>
      <c r="H45" s="34"/>
      <c r="I45" s="34"/>
      <c r="J45" s="34"/>
      <c r="K45" s="34"/>
      <c r="L45" s="34"/>
      <c r="M45" s="34"/>
      <c r="N45" s="34"/>
      <c r="O45" s="34"/>
      <c r="P45" s="34"/>
      <c r="Q45" s="34"/>
      <c r="R45" s="34"/>
    </row>
    <row r="46" spans="1:20">
      <c r="A46" s="34" t="s">
        <v>392</v>
      </c>
      <c r="B46" s="34">
        <v>43673</v>
      </c>
      <c r="C46" s="34">
        <v>43674</v>
      </c>
      <c r="D46" s="34">
        <v>43680</v>
      </c>
      <c r="E46" s="34">
        <v>43681</v>
      </c>
      <c r="F46" s="34"/>
      <c r="G46" s="34"/>
      <c r="H46" s="34"/>
      <c r="I46" s="34"/>
      <c r="J46" s="34"/>
      <c r="K46" s="34"/>
      <c r="L46" s="34"/>
      <c r="M46" s="34"/>
      <c r="N46" s="34"/>
      <c r="O46" s="34"/>
      <c r="P46" s="34"/>
      <c r="Q46" s="34"/>
      <c r="R46" s="34"/>
      <c r="T46" s="17"/>
    </row>
    <row r="47" spans="1:20">
      <c r="A47" s="34"/>
      <c r="B47" s="34"/>
      <c r="C47" s="34"/>
      <c r="D47" s="34"/>
      <c r="E47" s="34"/>
      <c r="F47" s="34"/>
      <c r="G47" s="34"/>
      <c r="H47" s="34"/>
      <c r="I47" s="34"/>
      <c r="J47" s="34"/>
      <c r="K47" s="34"/>
      <c r="L47" s="34"/>
      <c r="M47" s="34"/>
      <c r="N47" s="34"/>
      <c r="O47" s="34"/>
      <c r="P47" s="34"/>
      <c r="Q47" s="34"/>
      <c r="R47" s="34"/>
      <c r="T47" s="17"/>
    </row>
    <row r="48" spans="1:20">
      <c r="A48" s="34"/>
      <c r="B48" s="34"/>
      <c r="C48" s="34"/>
      <c r="D48" s="34"/>
      <c r="E48" s="34"/>
      <c r="F48" s="34"/>
      <c r="G48" s="34"/>
      <c r="H48" s="34"/>
      <c r="I48" s="34"/>
      <c r="J48" s="34"/>
      <c r="K48" s="34"/>
      <c r="L48" s="34"/>
      <c r="M48" s="34"/>
      <c r="N48" s="34"/>
      <c r="O48" s="34"/>
      <c r="P48" s="34"/>
      <c r="Q48" s="34"/>
      <c r="R48" s="34"/>
      <c r="T48" s="17"/>
    </row>
    <row r="49" spans="1:18">
      <c r="A49" s="34" t="s">
        <v>387</v>
      </c>
      <c r="B49" s="34"/>
      <c r="C49" s="34"/>
      <c r="D49" s="34"/>
      <c r="E49" s="34"/>
      <c r="F49" s="34"/>
      <c r="G49" s="34"/>
      <c r="H49" s="34"/>
      <c r="I49" s="34"/>
      <c r="J49" s="34"/>
      <c r="K49" s="34"/>
      <c r="L49" s="34"/>
      <c r="M49" s="34"/>
      <c r="N49" s="34"/>
      <c r="O49" s="34"/>
      <c r="P49" s="34"/>
      <c r="Q49" s="34"/>
      <c r="R49" s="34"/>
    </row>
    <row r="50" spans="1:18">
      <c r="A50" s="34" t="s">
        <v>34</v>
      </c>
      <c r="B50" s="34">
        <v>43638</v>
      </c>
      <c r="C50" s="34">
        <v>43673</v>
      </c>
      <c r="D50" s="34">
        <v>43687</v>
      </c>
      <c r="E50" s="34"/>
      <c r="F50" s="34"/>
      <c r="G50" s="34"/>
      <c r="H50" s="34"/>
      <c r="I50" s="34"/>
      <c r="J50" s="34"/>
      <c r="K50" s="34"/>
      <c r="L50" s="34"/>
      <c r="M50" s="34"/>
      <c r="N50" s="34"/>
      <c r="O50" s="34"/>
      <c r="P50" s="34"/>
      <c r="Q50" s="34"/>
      <c r="R50" s="34"/>
    </row>
    <row r="51" spans="1:18">
      <c r="A51" s="34"/>
      <c r="B51" s="34"/>
      <c r="C51" s="34"/>
      <c r="D51" s="34"/>
      <c r="E51" s="34"/>
      <c r="F51" s="34"/>
      <c r="G51" s="34"/>
      <c r="H51" s="34"/>
      <c r="I51" s="34"/>
      <c r="J51" s="34"/>
      <c r="K51" s="34"/>
      <c r="L51" s="34"/>
      <c r="M51" s="34"/>
      <c r="N51" s="34"/>
      <c r="O51" s="34"/>
      <c r="P51" s="34"/>
      <c r="Q51" s="34"/>
      <c r="R51" s="34"/>
    </row>
  </sheetData>
  <mergeCells count="2">
    <mergeCell ref="A1:R1"/>
    <mergeCell ref="Q35:R35"/>
  </mergeCells>
  <phoneticPr fontId="2"/>
  <pageMargins left="0.70866141732283472" right="0.70866141732283472" top="0" bottom="0" header="0.31496062992125984" footer="0.31496062992125984"/>
  <pageSetup paperSize="9" orientation="landscape" r:id="rId1"/>
  <drawing r:id="rId2"/>
  <legacyDrawing r:id="rId3"/>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51"/>
  <sheetViews>
    <sheetView topLeftCell="A13" zoomScale="85" zoomScaleNormal="85" workbookViewId="0">
      <selection activeCell="M32" sqref="M32"/>
    </sheetView>
  </sheetViews>
  <sheetFormatPr defaultColWidth="9" defaultRowHeight="18.75"/>
  <cols>
    <col min="1" max="18" width="6.625" style="1" customWidth="1"/>
    <col min="19" max="19" width="3.625" style="1" customWidth="1"/>
    <col min="20" max="20" width="6.625" style="1" customWidth="1"/>
    <col min="21" max="21" width="3.625" style="1" customWidth="1"/>
    <col min="22" max="37" width="6.625" style="1" customWidth="1"/>
    <col min="38" max="38" width="3.625" style="1" customWidth="1"/>
    <col min="39" max="16384" width="9" style="1"/>
  </cols>
  <sheetData>
    <row r="1" spans="1:29">
      <c r="A1" s="156" t="s">
        <v>357</v>
      </c>
      <c r="B1" s="156"/>
      <c r="C1" s="156"/>
      <c r="D1" s="156"/>
      <c r="E1" s="156"/>
      <c r="F1" s="156"/>
      <c r="G1" s="156"/>
      <c r="H1" s="156"/>
      <c r="I1" s="156"/>
      <c r="J1" s="156"/>
      <c r="K1" s="156"/>
      <c r="L1" s="156"/>
      <c r="M1" s="156"/>
      <c r="N1" s="156"/>
      <c r="O1" s="156"/>
      <c r="P1" s="156"/>
      <c r="Q1" s="156"/>
      <c r="R1" s="156"/>
      <c r="X1" s="1" t="s">
        <v>326</v>
      </c>
    </row>
    <row r="2" spans="1:29" ht="16.5" customHeight="1">
      <c r="A2" s="22" t="s">
        <v>325</v>
      </c>
      <c r="B2" s="31">
        <v>43576</v>
      </c>
      <c r="C2" s="27">
        <v>43577</v>
      </c>
      <c r="D2" s="27">
        <v>43578</v>
      </c>
      <c r="E2" s="27">
        <v>43579</v>
      </c>
      <c r="F2" s="27">
        <v>43580</v>
      </c>
      <c r="G2" s="27">
        <v>43581</v>
      </c>
      <c r="H2" s="31">
        <v>43582</v>
      </c>
      <c r="I2" s="31">
        <v>43583</v>
      </c>
      <c r="J2" s="27">
        <v>43584</v>
      </c>
      <c r="K2" s="27">
        <v>43585</v>
      </c>
      <c r="L2" s="27"/>
      <c r="M2" s="23" t="s">
        <v>354</v>
      </c>
      <c r="N2" s="11">
        <v>43586</v>
      </c>
      <c r="O2" s="11">
        <v>43587</v>
      </c>
      <c r="P2" s="30">
        <v>43588</v>
      </c>
      <c r="Q2" s="30">
        <v>43589</v>
      </c>
      <c r="R2" s="30">
        <v>43590</v>
      </c>
      <c r="V2" s="1" t="s">
        <v>63</v>
      </c>
      <c r="X2" s="1" t="s">
        <v>64</v>
      </c>
      <c r="Z2" s="1" t="s">
        <v>65</v>
      </c>
      <c r="AB2" s="1" t="s">
        <v>169</v>
      </c>
    </row>
    <row r="3" spans="1:29" ht="16.5" customHeight="1">
      <c r="A3" s="15">
        <v>1</v>
      </c>
      <c r="B3" s="3" t="s">
        <v>14</v>
      </c>
      <c r="C3" s="3"/>
      <c r="D3" s="3"/>
      <c r="E3" s="3"/>
      <c r="F3" s="3"/>
      <c r="G3" s="3"/>
      <c r="H3" s="3" t="s">
        <v>25</v>
      </c>
      <c r="I3" s="3" t="s">
        <v>6</v>
      </c>
      <c r="J3" s="3"/>
      <c r="K3" s="3"/>
      <c r="L3" s="3"/>
      <c r="M3" s="13"/>
      <c r="N3" s="3"/>
      <c r="O3" s="3"/>
      <c r="P3" s="3"/>
      <c r="Q3" s="3"/>
      <c r="R3" s="3"/>
      <c r="V3" s="1" t="s">
        <v>47</v>
      </c>
      <c r="W3" s="1">
        <v>0</v>
      </c>
      <c r="X3" s="1" t="s">
        <v>45</v>
      </c>
      <c r="Y3" s="1">
        <v>2</v>
      </c>
      <c r="Z3" s="1" t="s">
        <v>34</v>
      </c>
      <c r="AA3" s="1">
        <v>2</v>
      </c>
      <c r="AB3" s="1" t="s">
        <v>16</v>
      </c>
      <c r="AC3" s="1">
        <v>1</v>
      </c>
    </row>
    <row r="4" spans="1:29" ht="16.5" customHeight="1">
      <c r="A4" s="15">
        <v>2</v>
      </c>
      <c r="B4" s="3" t="s">
        <v>93</v>
      </c>
      <c r="C4" s="3"/>
      <c r="D4" s="3"/>
      <c r="E4" s="3"/>
      <c r="F4" s="3"/>
      <c r="G4" s="3"/>
      <c r="H4" s="3" t="s">
        <v>327</v>
      </c>
      <c r="I4" s="3" t="s">
        <v>152</v>
      </c>
      <c r="J4" s="3"/>
      <c r="K4" s="3"/>
      <c r="L4" s="3"/>
      <c r="M4" s="13"/>
      <c r="N4" s="3"/>
      <c r="O4" s="3"/>
      <c r="P4" s="3"/>
      <c r="Q4" s="3"/>
      <c r="R4" s="3"/>
      <c r="T4" s="17"/>
      <c r="U4" s="17"/>
      <c r="V4" s="1" t="s">
        <v>2</v>
      </c>
      <c r="W4" s="1">
        <v>2</v>
      </c>
      <c r="X4" s="1" t="s">
        <v>46</v>
      </c>
      <c r="Y4" s="1">
        <v>2</v>
      </c>
      <c r="Z4" s="1" t="s">
        <v>35</v>
      </c>
      <c r="AA4" s="1">
        <v>2</v>
      </c>
      <c r="AB4" s="1" t="s">
        <v>153</v>
      </c>
      <c r="AC4" s="1">
        <v>1</v>
      </c>
    </row>
    <row r="5" spans="1:29" ht="16.5" customHeight="1">
      <c r="A5" s="15">
        <v>3</v>
      </c>
      <c r="B5" s="3" t="s">
        <v>249</v>
      </c>
      <c r="C5" s="3"/>
      <c r="D5" s="3"/>
      <c r="E5" s="3"/>
      <c r="F5" s="3"/>
      <c r="G5" s="3"/>
      <c r="H5" s="3" t="s">
        <v>35</v>
      </c>
      <c r="I5" s="3" t="s">
        <v>8</v>
      </c>
      <c r="J5" s="3"/>
      <c r="K5" s="3"/>
      <c r="L5" s="3"/>
      <c r="M5" s="13"/>
      <c r="N5" s="3"/>
      <c r="O5" s="3"/>
      <c r="P5" s="35"/>
      <c r="Q5" s="3"/>
      <c r="R5" s="3"/>
      <c r="T5" s="17"/>
      <c r="U5" s="17"/>
      <c r="V5" s="1" t="s">
        <v>14</v>
      </c>
      <c r="W5" s="1">
        <v>2</v>
      </c>
      <c r="X5" s="1" t="s">
        <v>6</v>
      </c>
      <c r="Y5" s="1">
        <v>1</v>
      </c>
      <c r="Z5" s="1" t="s">
        <v>8</v>
      </c>
      <c r="AA5" s="1">
        <v>2</v>
      </c>
      <c r="AB5" s="1" t="s">
        <v>26</v>
      </c>
      <c r="AC5" s="1">
        <v>1</v>
      </c>
    </row>
    <row r="6" spans="1:29" ht="16.5" customHeight="1">
      <c r="A6" s="15" t="s">
        <v>20</v>
      </c>
      <c r="B6" s="3" t="s">
        <v>16</v>
      </c>
      <c r="C6" s="3" t="s">
        <v>153</v>
      </c>
      <c r="D6" s="3" t="s">
        <v>13</v>
      </c>
      <c r="E6" s="3" t="s">
        <v>13</v>
      </c>
      <c r="F6" s="3" t="s">
        <v>13</v>
      </c>
      <c r="G6" s="3" t="s">
        <v>13</v>
      </c>
      <c r="H6" s="3" t="s">
        <v>13</v>
      </c>
      <c r="I6" s="3" t="s">
        <v>13</v>
      </c>
      <c r="J6" s="3" t="s">
        <v>26</v>
      </c>
      <c r="K6" s="3" t="s">
        <v>13</v>
      </c>
      <c r="L6" s="3"/>
      <c r="M6" s="13"/>
      <c r="N6" s="3" t="s">
        <v>26</v>
      </c>
      <c r="O6" s="3" t="s">
        <v>13</v>
      </c>
      <c r="P6" s="3"/>
      <c r="Q6" s="3"/>
      <c r="R6" s="3"/>
      <c r="T6" s="17"/>
      <c r="U6" s="17"/>
      <c r="V6" s="1" t="s">
        <v>7</v>
      </c>
      <c r="W6" s="1">
        <v>3</v>
      </c>
      <c r="X6" s="1" t="s">
        <v>25</v>
      </c>
      <c r="Y6" s="1">
        <v>0</v>
      </c>
      <c r="Z6" s="1" t="s">
        <v>17</v>
      </c>
      <c r="AA6" s="1">
        <v>2</v>
      </c>
      <c r="AB6" s="1" t="s">
        <v>6</v>
      </c>
      <c r="AC6" s="1">
        <v>1</v>
      </c>
    </row>
    <row r="7" spans="1:29" ht="16.5" customHeight="1">
      <c r="A7" s="15" t="s">
        <v>0</v>
      </c>
      <c r="B7" s="3" t="s">
        <v>115</v>
      </c>
      <c r="C7" s="3" t="s">
        <v>13</v>
      </c>
      <c r="D7" s="3" t="s">
        <v>13</v>
      </c>
      <c r="E7" s="3" t="s">
        <v>13</v>
      </c>
      <c r="F7" s="3" t="s">
        <v>9</v>
      </c>
      <c r="G7" s="3" t="s">
        <v>13</v>
      </c>
      <c r="H7" s="3" t="s">
        <v>13</v>
      </c>
      <c r="I7" s="3" t="s">
        <v>115</v>
      </c>
      <c r="J7" s="3" t="s">
        <v>13</v>
      </c>
      <c r="K7" s="3" t="s">
        <v>13</v>
      </c>
      <c r="L7" s="3"/>
      <c r="M7" s="13"/>
      <c r="N7" s="3" t="s">
        <v>115</v>
      </c>
      <c r="O7" s="3" t="s">
        <v>9</v>
      </c>
      <c r="P7" s="3"/>
      <c r="Q7" s="3"/>
      <c r="R7" s="3"/>
      <c r="T7" s="17"/>
      <c r="U7" s="17"/>
      <c r="V7" s="1" t="s">
        <v>21</v>
      </c>
      <c r="W7" s="1">
        <v>2</v>
      </c>
      <c r="X7" s="1" t="s">
        <v>23</v>
      </c>
      <c r="Y7" s="1">
        <v>2</v>
      </c>
      <c r="Z7" s="1" t="s">
        <v>38</v>
      </c>
      <c r="AA7" s="1">
        <v>3</v>
      </c>
      <c r="AB7" s="1" t="s">
        <v>152</v>
      </c>
      <c r="AC7" s="1">
        <v>1</v>
      </c>
    </row>
    <row r="8" spans="1:29" ht="16.5" customHeight="1">
      <c r="A8" s="15" t="s">
        <v>1</v>
      </c>
      <c r="B8" s="3" t="s">
        <v>356</v>
      </c>
      <c r="C8" s="3" t="s">
        <v>13</v>
      </c>
      <c r="D8" s="3" t="s">
        <v>13</v>
      </c>
      <c r="E8" s="3" t="s">
        <v>13</v>
      </c>
      <c r="F8" s="3" t="s">
        <v>13</v>
      </c>
      <c r="G8" s="3"/>
      <c r="H8" s="3"/>
      <c r="I8" s="3" t="s">
        <v>166</v>
      </c>
      <c r="J8" s="3" t="s">
        <v>13</v>
      </c>
      <c r="K8" s="3" t="s">
        <v>13</v>
      </c>
      <c r="L8" s="3"/>
      <c r="M8" s="13"/>
      <c r="N8" s="3" t="s">
        <v>166</v>
      </c>
      <c r="O8" s="3" t="s">
        <v>13</v>
      </c>
      <c r="P8" s="3"/>
      <c r="Q8" s="3"/>
      <c r="R8" s="3"/>
      <c r="T8" s="17"/>
      <c r="V8" s="1" t="s">
        <v>26</v>
      </c>
      <c r="W8" s="1">
        <v>2</v>
      </c>
      <c r="X8" s="1" t="s">
        <v>16</v>
      </c>
      <c r="Y8" s="1">
        <v>2</v>
      </c>
      <c r="Z8" s="1" t="s">
        <v>36</v>
      </c>
      <c r="AA8" s="1">
        <v>2</v>
      </c>
      <c r="AB8" s="1" t="s">
        <v>23</v>
      </c>
      <c r="AC8" s="1">
        <v>1</v>
      </c>
    </row>
    <row r="9" spans="1:29" ht="16.5" customHeight="1">
      <c r="A9" s="15" t="s">
        <v>366</v>
      </c>
      <c r="B9" s="3"/>
      <c r="C9" s="3"/>
      <c r="D9" s="3"/>
      <c r="E9" s="3"/>
      <c r="F9" s="3"/>
      <c r="G9" s="3"/>
      <c r="H9" s="3"/>
      <c r="I9" s="3"/>
      <c r="J9" s="3"/>
      <c r="K9" s="3" t="s">
        <v>365</v>
      </c>
      <c r="L9" s="3"/>
      <c r="M9" s="13"/>
      <c r="N9" s="3"/>
      <c r="O9" s="3" t="s">
        <v>365</v>
      </c>
      <c r="P9" s="3"/>
      <c r="Q9" s="3"/>
      <c r="R9" s="3"/>
      <c r="T9" s="17"/>
    </row>
    <row r="10" spans="1:29" ht="16.5" customHeight="1">
      <c r="A10" s="24" t="s">
        <v>354</v>
      </c>
      <c r="B10" s="30">
        <v>43591</v>
      </c>
      <c r="C10" s="25">
        <v>43592</v>
      </c>
      <c r="D10" s="25">
        <v>43593</v>
      </c>
      <c r="E10" s="25">
        <v>43594</v>
      </c>
      <c r="F10" s="25">
        <v>43595</v>
      </c>
      <c r="G10" s="30">
        <v>43596</v>
      </c>
      <c r="H10" s="30">
        <v>43597</v>
      </c>
      <c r="I10" s="25">
        <v>43598</v>
      </c>
      <c r="J10" s="25">
        <v>43599</v>
      </c>
      <c r="K10" s="25">
        <v>43600</v>
      </c>
      <c r="L10" s="25">
        <v>43601</v>
      </c>
      <c r="M10" s="25">
        <v>43602</v>
      </c>
      <c r="N10" s="30">
        <v>43603</v>
      </c>
      <c r="O10" s="30">
        <v>43604</v>
      </c>
      <c r="P10" s="25">
        <v>43605</v>
      </c>
      <c r="Q10" s="18"/>
      <c r="R10" s="3"/>
      <c r="T10" s="17"/>
      <c r="V10" s="1" t="s">
        <v>28</v>
      </c>
      <c r="W10" s="1">
        <v>2</v>
      </c>
      <c r="X10" s="1" t="s">
        <v>152</v>
      </c>
      <c r="Y10" s="1">
        <v>2</v>
      </c>
      <c r="Z10" s="1" t="s">
        <v>37</v>
      </c>
      <c r="AA10" s="1">
        <v>2</v>
      </c>
      <c r="AB10" s="1" t="s">
        <v>112</v>
      </c>
      <c r="AC10" s="1">
        <v>1</v>
      </c>
    </row>
    <row r="11" spans="1:29" ht="16.5" customHeight="1">
      <c r="A11" s="13">
        <v>1</v>
      </c>
      <c r="B11" s="3"/>
      <c r="C11" s="3"/>
      <c r="D11" s="3"/>
      <c r="E11" s="3"/>
      <c r="F11" s="3"/>
      <c r="G11" s="3" t="s">
        <v>2</v>
      </c>
      <c r="H11" s="3" t="s">
        <v>315</v>
      </c>
      <c r="I11" s="3"/>
      <c r="J11" s="3"/>
      <c r="K11" s="3"/>
      <c r="L11" s="3"/>
      <c r="M11" s="3"/>
      <c r="N11" s="3" t="s">
        <v>27</v>
      </c>
      <c r="O11" s="3" t="s">
        <v>313</v>
      </c>
      <c r="P11" s="3"/>
      <c r="Q11" s="3"/>
      <c r="R11" s="3"/>
      <c r="T11" s="17"/>
      <c r="V11" s="1" t="s">
        <v>27</v>
      </c>
      <c r="W11" s="1">
        <v>2</v>
      </c>
      <c r="X11" s="1" t="s">
        <v>153</v>
      </c>
      <c r="Y11" s="1">
        <v>2</v>
      </c>
      <c r="Z11" s="1" t="s">
        <v>249</v>
      </c>
      <c r="AA11" s="1">
        <v>2</v>
      </c>
      <c r="AB11" s="1" t="s">
        <v>25</v>
      </c>
      <c r="AC11" s="1">
        <v>1</v>
      </c>
    </row>
    <row r="12" spans="1:29" ht="16.5" customHeight="1">
      <c r="A12" s="13">
        <v>2</v>
      </c>
      <c r="B12" s="3"/>
      <c r="C12" s="3"/>
      <c r="D12" s="3"/>
      <c r="E12" s="3"/>
      <c r="F12" s="3"/>
      <c r="G12" s="3" t="s">
        <v>112</v>
      </c>
      <c r="H12" s="3" t="s">
        <v>23</v>
      </c>
      <c r="I12" s="3"/>
      <c r="J12" s="3"/>
      <c r="K12" s="3"/>
      <c r="L12" s="3"/>
      <c r="M12" s="3"/>
      <c r="N12" s="3" t="s">
        <v>16</v>
      </c>
      <c r="O12" s="3" t="s">
        <v>153</v>
      </c>
      <c r="P12" s="3"/>
      <c r="Q12" s="3"/>
      <c r="R12" s="3"/>
      <c r="T12" s="17"/>
      <c r="V12" s="1" t="s">
        <v>25</v>
      </c>
      <c r="W12" s="1">
        <v>2</v>
      </c>
      <c r="X12" s="1" t="s">
        <v>112</v>
      </c>
      <c r="Y12" s="1">
        <v>2</v>
      </c>
      <c r="AB12" s="1" t="s">
        <v>327</v>
      </c>
      <c r="AC12" s="1">
        <v>1</v>
      </c>
    </row>
    <row r="13" spans="1:29" ht="16.5" customHeight="1">
      <c r="A13" s="13">
        <v>3</v>
      </c>
      <c r="B13" s="18"/>
      <c r="C13" s="3"/>
      <c r="D13" s="3"/>
      <c r="E13" s="3"/>
      <c r="F13" s="3"/>
      <c r="G13" s="3" t="s">
        <v>34</v>
      </c>
      <c r="H13" s="3" t="s">
        <v>37</v>
      </c>
      <c r="I13" s="3"/>
      <c r="J13" s="3"/>
      <c r="K13" s="3"/>
      <c r="L13" s="3"/>
      <c r="M13" s="3"/>
      <c r="N13" s="3" t="s">
        <v>362</v>
      </c>
      <c r="O13" s="3" t="s">
        <v>36</v>
      </c>
      <c r="P13" s="3"/>
      <c r="Q13" s="3"/>
      <c r="R13" s="3"/>
      <c r="T13" s="17"/>
      <c r="X13" s="1" t="s">
        <v>327</v>
      </c>
      <c r="Y13" s="1">
        <v>2</v>
      </c>
    </row>
    <row r="14" spans="1:29" ht="16.5" customHeight="1">
      <c r="A14" s="13" t="s">
        <v>20</v>
      </c>
      <c r="B14" s="3"/>
      <c r="C14" s="3" t="s">
        <v>6</v>
      </c>
      <c r="D14" s="3" t="s">
        <v>13</v>
      </c>
      <c r="E14" s="3" t="s">
        <v>13</v>
      </c>
      <c r="F14" s="3" t="s">
        <v>13</v>
      </c>
      <c r="G14" s="3" t="s">
        <v>13</v>
      </c>
      <c r="H14" s="3" t="s">
        <v>13</v>
      </c>
      <c r="I14" s="3" t="s">
        <v>152</v>
      </c>
      <c r="J14" s="3" t="s">
        <v>13</v>
      </c>
      <c r="K14" s="3" t="s">
        <v>13</v>
      </c>
      <c r="L14" s="3" t="s">
        <v>13</v>
      </c>
      <c r="M14" s="3" t="s">
        <v>13</v>
      </c>
      <c r="N14" s="3" t="s">
        <v>13</v>
      </c>
      <c r="O14" s="3" t="s">
        <v>13</v>
      </c>
      <c r="P14" s="3" t="s">
        <v>23</v>
      </c>
      <c r="Q14" s="3"/>
      <c r="R14" s="3"/>
      <c r="T14" s="17"/>
      <c r="V14" s="1" t="s">
        <v>237</v>
      </c>
      <c r="W14" s="1">
        <f>SUM(W3:W13)</f>
        <v>17</v>
      </c>
      <c r="Y14" s="1">
        <f>SUM(Y3:Y13)</f>
        <v>17</v>
      </c>
      <c r="AA14" s="1">
        <f>SUM(AA3:AA13)</f>
        <v>17</v>
      </c>
    </row>
    <row r="15" spans="1:29" ht="16.5" customHeight="1">
      <c r="A15" s="13" t="s">
        <v>0</v>
      </c>
      <c r="B15" s="3"/>
      <c r="C15" s="3" t="s">
        <v>115</v>
      </c>
      <c r="D15" s="3" t="s">
        <v>13</v>
      </c>
      <c r="E15" s="3" t="s">
        <v>9</v>
      </c>
      <c r="F15" s="3" t="s">
        <v>13</v>
      </c>
      <c r="G15" s="3" t="s">
        <v>13</v>
      </c>
      <c r="H15" s="3" t="s">
        <v>115</v>
      </c>
      <c r="I15" s="3" t="s">
        <v>13</v>
      </c>
      <c r="J15" s="3" t="s">
        <v>13</v>
      </c>
      <c r="K15" s="3" t="s">
        <v>13</v>
      </c>
      <c r="L15" s="3" t="s">
        <v>9</v>
      </c>
      <c r="M15" s="3" t="s">
        <v>13</v>
      </c>
      <c r="N15" s="3" t="s">
        <v>13</v>
      </c>
      <c r="O15" s="3"/>
      <c r="P15" s="3" t="s">
        <v>115</v>
      </c>
      <c r="Q15" s="3"/>
      <c r="R15" s="3"/>
      <c r="T15" s="17"/>
    </row>
    <row r="16" spans="1:29" ht="16.5" customHeight="1">
      <c r="A16" s="13" t="s">
        <v>1</v>
      </c>
      <c r="B16" s="3"/>
      <c r="C16" s="3" t="s">
        <v>213</v>
      </c>
      <c r="D16" s="3" t="s">
        <v>13</v>
      </c>
      <c r="E16" s="3" t="s">
        <v>13</v>
      </c>
      <c r="F16" s="3"/>
      <c r="G16" s="3"/>
      <c r="H16" s="3" t="s">
        <v>166</v>
      </c>
      <c r="I16" s="3" t="s">
        <v>13</v>
      </c>
      <c r="J16" s="3" t="s">
        <v>13</v>
      </c>
      <c r="K16" s="3" t="s">
        <v>13</v>
      </c>
      <c r="L16" s="3" t="s">
        <v>13</v>
      </c>
      <c r="M16" s="3"/>
      <c r="N16" s="3"/>
      <c r="O16" s="3" t="s">
        <v>213</v>
      </c>
      <c r="P16" s="3" t="s">
        <v>13</v>
      </c>
      <c r="Q16" s="3"/>
      <c r="R16" s="3"/>
      <c r="T16" s="17"/>
    </row>
    <row r="17" spans="1:29" ht="16.5" customHeight="1">
      <c r="A17" s="13" t="s">
        <v>367</v>
      </c>
      <c r="B17" s="3"/>
      <c r="C17" s="3" t="s">
        <v>356</v>
      </c>
      <c r="D17" s="3"/>
      <c r="E17" s="3" t="s">
        <v>356</v>
      </c>
      <c r="F17" s="3" t="s">
        <v>13</v>
      </c>
      <c r="G17" s="3" t="s">
        <v>13</v>
      </c>
      <c r="H17" s="3" t="s">
        <v>13</v>
      </c>
      <c r="I17" s="3"/>
      <c r="J17" s="3" t="s">
        <v>356</v>
      </c>
      <c r="K17" s="3"/>
      <c r="L17" s="3" t="s">
        <v>356</v>
      </c>
      <c r="M17" s="3" t="s">
        <v>13</v>
      </c>
      <c r="N17" s="3" t="s">
        <v>13</v>
      </c>
      <c r="O17" s="3" t="s">
        <v>13</v>
      </c>
      <c r="P17" s="3"/>
      <c r="Q17" s="3"/>
      <c r="R17" s="3"/>
      <c r="T17" s="17"/>
    </row>
    <row r="18" spans="1:29" ht="16.5" customHeight="1">
      <c r="A18" s="20" t="s">
        <v>320</v>
      </c>
      <c r="B18" s="4"/>
      <c r="C18" s="4"/>
      <c r="D18" s="4"/>
      <c r="E18" s="4"/>
      <c r="F18" s="4"/>
      <c r="G18" s="4"/>
      <c r="H18" s="21"/>
      <c r="I18" s="21"/>
      <c r="J18" s="21"/>
      <c r="K18" s="21"/>
      <c r="L18" s="21"/>
      <c r="M18" s="21"/>
      <c r="N18" s="21"/>
      <c r="O18" s="21"/>
      <c r="P18" s="4"/>
      <c r="Q18" s="4"/>
      <c r="R18" s="5"/>
      <c r="T18" s="17"/>
      <c r="X18" s="1" t="s">
        <v>358</v>
      </c>
    </row>
    <row r="19" spans="1:29" ht="16.5" customHeight="1">
      <c r="A19" s="24" t="s">
        <v>354</v>
      </c>
      <c r="B19" s="25">
        <v>43606</v>
      </c>
      <c r="C19" s="25">
        <v>43607</v>
      </c>
      <c r="D19" s="25">
        <v>43608</v>
      </c>
      <c r="E19" s="25">
        <v>43609</v>
      </c>
      <c r="F19" s="30">
        <v>43610</v>
      </c>
      <c r="G19" s="30">
        <v>43611</v>
      </c>
      <c r="H19" s="25">
        <v>43612</v>
      </c>
      <c r="I19" s="25">
        <v>43613</v>
      </c>
      <c r="J19" s="25">
        <v>43614</v>
      </c>
      <c r="K19" s="25">
        <v>43615</v>
      </c>
      <c r="L19" s="25">
        <v>43616</v>
      </c>
      <c r="M19" s="26" t="s">
        <v>355</v>
      </c>
      <c r="N19" s="31">
        <v>43617</v>
      </c>
      <c r="O19" s="31">
        <v>43618</v>
      </c>
      <c r="P19" s="27">
        <v>43619</v>
      </c>
      <c r="Q19" s="27">
        <v>43620</v>
      </c>
      <c r="R19" s="27">
        <v>43621</v>
      </c>
      <c r="T19" s="17"/>
      <c r="V19" s="1" t="s">
        <v>63</v>
      </c>
      <c r="X19" s="1" t="s">
        <v>64</v>
      </c>
      <c r="Z19" s="1" t="s">
        <v>65</v>
      </c>
      <c r="AB19" s="1" t="s">
        <v>169</v>
      </c>
    </row>
    <row r="20" spans="1:29" ht="16.5" customHeight="1">
      <c r="A20" s="13">
        <v>1</v>
      </c>
      <c r="B20" s="19"/>
      <c r="C20" s="19"/>
      <c r="D20" s="19"/>
      <c r="E20" s="19"/>
      <c r="F20" s="19" t="s">
        <v>25</v>
      </c>
      <c r="G20" s="19" t="s">
        <v>7</v>
      </c>
      <c r="H20" s="19"/>
      <c r="I20" s="19"/>
      <c r="J20" s="19"/>
      <c r="K20" s="19"/>
      <c r="L20" s="19"/>
      <c r="M20" s="28"/>
      <c r="N20" s="19" t="s">
        <v>14</v>
      </c>
      <c r="O20" s="19" t="s">
        <v>26</v>
      </c>
      <c r="P20" s="19"/>
      <c r="Q20" s="19"/>
      <c r="R20" s="19"/>
      <c r="T20" s="17"/>
      <c r="V20" s="1" t="s">
        <v>47</v>
      </c>
      <c r="W20" s="1">
        <v>0</v>
      </c>
      <c r="X20" s="1" t="s">
        <v>45</v>
      </c>
      <c r="Y20" s="1">
        <v>2</v>
      </c>
      <c r="Z20" s="1" t="s">
        <v>34</v>
      </c>
      <c r="AA20" s="1">
        <v>2</v>
      </c>
      <c r="AB20" s="1" t="s">
        <v>16</v>
      </c>
      <c r="AC20" s="1">
        <v>1</v>
      </c>
    </row>
    <row r="21" spans="1:29" ht="16.5" customHeight="1">
      <c r="A21" s="13">
        <v>2</v>
      </c>
      <c r="B21" s="3"/>
      <c r="C21" s="3"/>
      <c r="D21" s="3"/>
      <c r="E21" s="3"/>
      <c r="F21" s="3" t="s">
        <v>152</v>
      </c>
      <c r="G21" s="3" t="s">
        <v>46</v>
      </c>
      <c r="H21" s="3"/>
      <c r="I21" s="3"/>
      <c r="J21" s="3"/>
      <c r="K21" s="3"/>
      <c r="L21" s="3"/>
      <c r="M21" s="15"/>
      <c r="N21" s="3" t="s">
        <v>93</v>
      </c>
      <c r="O21" s="3" t="s">
        <v>6</v>
      </c>
      <c r="P21" s="3"/>
      <c r="Q21" s="3"/>
      <c r="R21" s="3"/>
      <c r="T21" s="17"/>
      <c r="V21" s="1" t="s">
        <v>2</v>
      </c>
      <c r="W21" s="1">
        <v>2</v>
      </c>
      <c r="X21" s="1" t="s">
        <v>46</v>
      </c>
      <c r="Y21" s="1">
        <v>1</v>
      </c>
      <c r="Z21" s="1" t="s">
        <v>35</v>
      </c>
      <c r="AA21" s="1">
        <v>2</v>
      </c>
      <c r="AB21" s="1" t="s">
        <v>153</v>
      </c>
      <c r="AC21" s="1">
        <v>1</v>
      </c>
    </row>
    <row r="22" spans="1:29" ht="16.5" customHeight="1">
      <c r="A22" s="13">
        <v>3</v>
      </c>
      <c r="B22" s="3"/>
      <c r="C22" s="3"/>
      <c r="D22" s="3"/>
      <c r="E22" s="3"/>
      <c r="F22" s="3" t="s">
        <v>249</v>
      </c>
      <c r="G22" s="3" t="s">
        <v>363</v>
      </c>
      <c r="H22" s="19"/>
      <c r="I22" s="3"/>
      <c r="J22" s="3"/>
      <c r="K22" s="3"/>
      <c r="L22" s="3"/>
      <c r="M22" s="15"/>
      <c r="N22" s="35" t="s">
        <v>34</v>
      </c>
      <c r="O22" s="3" t="s">
        <v>8</v>
      </c>
      <c r="P22" s="3"/>
      <c r="Q22" s="3"/>
      <c r="R22" s="3"/>
      <c r="T22" s="17"/>
      <c r="V22" s="1" t="s">
        <v>14</v>
      </c>
      <c r="W22" s="1">
        <v>2</v>
      </c>
      <c r="X22" s="1" t="s">
        <v>6</v>
      </c>
      <c r="Y22" s="1">
        <v>1</v>
      </c>
      <c r="Z22" s="1" t="s">
        <v>8</v>
      </c>
      <c r="AA22" s="1">
        <v>2</v>
      </c>
      <c r="AB22" s="1" t="s">
        <v>26</v>
      </c>
      <c r="AC22" s="1">
        <v>1</v>
      </c>
    </row>
    <row r="23" spans="1:29" ht="16.5" customHeight="1">
      <c r="A23" s="13" t="s">
        <v>20</v>
      </c>
      <c r="B23" s="3" t="s">
        <v>23</v>
      </c>
      <c r="C23" s="3" t="s">
        <v>13</v>
      </c>
      <c r="D23" s="3" t="s">
        <v>13</v>
      </c>
      <c r="E23" s="3" t="s">
        <v>13</v>
      </c>
      <c r="F23" s="3" t="s">
        <v>13</v>
      </c>
      <c r="G23" s="3" t="s">
        <v>13</v>
      </c>
      <c r="H23" s="3" t="s">
        <v>112</v>
      </c>
      <c r="I23" s="3" t="s">
        <v>13</v>
      </c>
      <c r="J23" s="3" t="s">
        <v>13</v>
      </c>
      <c r="K23" s="3" t="s">
        <v>13</v>
      </c>
      <c r="L23" s="3" t="s">
        <v>13</v>
      </c>
      <c r="M23" s="15"/>
      <c r="N23" s="3" t="s">
        <v>112</v>
      </c>
      <c r="O23" s="3" t="s">
        <v>13</v>
      </c>
      <c r="P23" s="3" t="s">
        <v>25</v>
      </c>
      <c r="Q23" s="3" t="s">
        <v>13</v>
      </c>
      <c r="R23" s="3" t="s">
        <v>13</v>
      </c>
      <c r="T23" s="17"/>
      <c r="V23" s="1" t="s">
        <v>7</v>
      </c>
      <c r="W23" s="1">
        <v>1</v>
      </c>
      <c r="X23" s="1" t="s">
        <v>25</v>
      </c>
      <c r="Y23" s="1">
        <v>0</v>
      </c>
      <c r="AB23" s="1" t="s">
        <v>6</v>
      </c>
      <c r="AC23" s="1">
        <v>1</v>
      </c>
    </row>
    <row r="24" spans="1:29" ht="16.5" customHeight="1">
      <c r="A24" s="13" t="s">
        <v>0</v>
      </c>
      <c r="B24" s="3" t="s">
        <v>115</v>
      </c>
      <c r="C24" s="3" t="s">
        <v>13</v>
      </c>
      <c r="D24" s="3" t="s">
        <v>9</v>
      </c>
      <c r="E24" s="3" t="s">
        <v>13</v>
      </c>
      <c r="F24" s="3" t="s">
        <v>13</v>
      </c>
      <c r="G24" s="3" t="s">
        <v>115</v>
      </c>
      <c r="H24" s="3" t="s">
        <v>13</v>
      </c>
      <c r="I24" s="3" t="s">
        <v>13</v>
      </c>
      <c r="J24" s="3" t="s">
        <v>13</v>
      </c>
      <c r="K24" s="3" t="s">
        <v>9</v>
      </c>
      <c r="L24" s="3" t="s">
        <v>13</v>
      </c>
      <c r="M24" s="15"/>
      <c r="N24" s="3" t="s">
        <v>9</v>
      </c>
      <c r="O24" s="3" t="s">
        <v>115</v>
      </c>
      <c r="P24" s="3" t="s">
        <v>13</v>
      </c>
      <c r="Q24" s="3" t="s">
        <v>13</v>
      </c>
      <c r="R24" s="3" t="s">
        <v>13</v>
      </c>
      <c r="T24" s="17"/>
      <c r="V24" s="1" t="s">
        <v>21</v>
      </c>
      <c r="W24" s="1">
        <v>2</v>
      </c>
      <c r="X24" s="1" t="s">
        <v>23</v>
      </c>
      <c r="Y24" s="1">
        <v>2</v>
      </c>
      <c r="Z24" s="1" t="s">
        <v>38</v>
      </c>
      <c r="AA24" s="1">
        <v>2</v>
      </c>
      <c r="AB24" s="1" t="s">
        <v>152</v>
      </c>
      <c r="AC24" s="1">
        <v>1</v>
      </c>
    </row>
    <row r="25" spans="1:29" ht="16.5" customHeight="1">
      <c r="A25" s="13" t="s">
        <v>1</v>
      </c>
      <c r="B25" s="3" t="s">
        <v>213</v>
      </c>
      <c r="C25" s="3" t="s">
        <v>13</v>
      </c>
      <c r="D25" s="3" t="s">
        <v>13</v>
      </c>
      <c r="E25" s="3"/>
      <c r="F25" s="3"/>
      <c r="G25" s="3" t="s">
        <v>166</v>
      </c>
      <c r="H25" s="3" t="s">
        <v>13</v>
      </c>
      <c r="I25" s="3" t="s">
        <v>13</v>
      </c>
      <c r="J25" s="3" t="s">
        <v>13</v>
      </c>
      <c r="K25" s="3" t="s">
        <v>13</v>
      </c>
      <c r="L25" s="3"/>
      <c r="M25" s="15"/>
      <c r="N25" s="3"/>
      <c r="O25" s="3" t="s">
        <v>213</v>
      </c>
      <c r="P25" s="3" t="s">
        <v>13</v>
      </c>
      <c r="Q25" s="3" t="s">
        <v>13</v>
      </c>
      <c r="R25" s="3" t="s">
        <v>13</v>
      </c>
      <c r="T25" s="17"/>
      <c r="V25" s="1" t="s">
        <v>26</v>
      </c>
      <c r="W25" s="1">
        <v>1</v>
      </c>
      <c r="X25" s="1" t="s">
        <v>16</v>
      </c>
      <c r="Y25" s="1">
        <v>1</v>
      </c>
      <c r="Z25" s="1" t="s">
        <v>36</v>
      </c>
      <c r="AA25" s="1">
        <v>2</v>
      </c>
      <c r="AB25" s="1" t="s">
        <v>23</v>
      </c>
      <c r="AC25" s="1">
        <v>1</v>
      </c>
    </row>
    <row r="26" spans="1:29" ht="16.5" customHeight="1">
      <c r="A26" s="13" t="s">
        <v>367</v>
      </c>
      <c r="B26" s="3" t="s">
        <v>356</v>
      </c>
      <c r="C26" s="3"/>
      <c r="D26" s="3" t="s">
        <v>356</v>
      </c>
      <c r="E26" s="3" t="s">
        <v>13</v>
      </c>
      <c r="F26" s="3" t="s">
        <v>13</v>
      </c>
      <c r="G26" s="3" t="s">
        <v>13</v>
      </c>
      <c r="H26" s="3"/>
      <c r="I26" s="3" t="s">
        <v>356</v>
      </c>
      <c r="J26" s="3"/>
      <c r="K26" s="3" t="s">
        <v>356</v>
      </c>
      <c r="L26" s="3" t="s">
        <v>13</v>
      </c>
      <c r="M26" s="3"/>
      <c r="N26" s="3" t="s">
        <v>365</v>
      </c>
      <c r="O26" s="3" t="s">
        <v>13</v>
      </c>
      <c r="P26" s="3"/>
      <c r="Q26" s="3" t="s">
        <v>356</v>
      </c>
      <c r="R26" s="3"/>
      <c r="T26" s="17"/>
    </row>
    <row r="27" spans="1:29" ht="16.5" customHeight="1">
      <c r="A27" s="22" t="s">
        <v>355</v>
      </c>
      <c r="B27" s="27">
        <v>43622</v>
      </c>
      <c r="C27" s="27">
        <v>43623</v>
      </c>
      <c r="D27" s="31">
        <v>43624</v>
      </c>
      <c r="E27" s="31">
        <v>43625</v>
      </c>
      <c r="F27" s="27">
        <v>43626</v>
      </c>
      <c r="G27" s="27">
        <v>43627</v>
      </c>
      <c r="H27" s="27">
        <v>43628</v>
      </c>
      <c r="I27" s="27">
        <v>43629</v>
      </c>
      <c r="J27" s="27">
        <v>43630</v>
      </c>
      <c r="K27" s="31">
        <v>43631</v>
      </c>
      <c r="L27" s="31">
        <v>43632</v>
      </c>
      <c r="M27" s="27">
        <v>43633</v>
      </c>
      <c r="N27" s="27">
        <v>43634</v>
      </c>
      <c r="O27" s="27">
        <v>43635</v>
      </c>
      <c r="P27" s="27">
        <v>43636</v>
      </c>
      <c r="Q27" s="27"/>
      <c r="R27" s="3"/>
      <c r="T27" s="17"/>
      <c r="V27" s="1" t="s">
        <v>28</v>
      </c>
      <c r="W27" s="1">
        <v>2</v>
      </c>
      <c r="X27" s="1" t="s">
        <v>152</v>
      </c>
      <c r="Y27" s="1">
        <v>2</v>
      </c>
      <c r="Z27" s="1" t="s">
        <v>37</v>
      </c>
      <c r="AA27" s="1">
        <v>2</v>
      </c>
      <c r="AB27" s="1" t="s">
        <v>112</v>
      </c>
      <c r="AC27" s="1">
        <v>1</v>
      </c>
    </row>
    <row r="28" spans="1:29" ht="16.5" customHeight="1">
      <c r="A28" s="15">
        <v>1</v>
      </c>
      <c r="B28" s="3"/>
      <c r="C28" s="3"/>
      <c r="D28" s="3" t="s">
        <v>21</v>
      </c>
      <c r="E28" s="3" t="s">
        <v>2</v>
      </c>
      <c r="F28" s="3"/>
      <c r="G28" s="3"/>
      <c r="H28" s="3"/>
      <c r="I28" s="3"/>
      <c r="J28" s="3"/>
      <c r="K28" s="3" t="s">
        <v>27</v>
      </c>
      <c r="L28" s="3" t="s">
        <v>28</v>
      </c>
      <c r="M28" s="3"/>
      <c r="N28" s="3"/>
      <c r="O28" s="3"/>
      <c r="P28" s="3"/>
      <c r="Q28" s="3"/>
      <c r="R28" s="3"/>
      <c r="T28" s="17"/>
      <c r="V28" s="1" t="s">
        <v>27</v>
      </c>
      <c r="W28" s="1">
        <v>2</v>
      </c>
      <c r="X28" s="1" t="s">
        <v>153</v>
      </c>
      <c r="Y28" s="1">
        <v>2</v>
      </c>
      <c r="Z28" s="1" t="s">
        <v>249</v>
      </c>
      <c r="AA28" s="1">
        <v>3</v>
      </c>
      <c r="AB28" s="1" t="s">
        <v>25</v>
      </c>
      <c r="AC28" s="1">
        <v>1</v>
      </c>
    </row>
    <row r="29" spans="1:29" ht="16.5" customHeight="1">
      <c r="A29" s="15">
        <v>2</v>
      </c>
      <c r="B29" s="3"/>
      <c r="C29" s="3"/>
      <c r="D29" s="3" t="s">
        <v>112</v>
      </c>
      <c r="E29" s="3" t="s">
        <v>327</v>
      </c>
      <c r="F29" s="3"/>
      <c r="G29" s="3"/>
      <c r="H29" s="3"/>
      <c r="I29" s="3"/>
      <c r="J29" s="3"/>
      <c r="K29" s="3" t="s">
        <v>153</v>
      </c>
      <c r="L29" s="3" t="s">
        <v>23</v>
      </c>
      <c r="M29" s="3"/>
      <c r="N29" s="3"/>
      <c r="O29" s="3"/>
      <c r="P29" s="3"/>
      <c r="Q29" s="3"/>
      <c r="R29" s="3"/>
      <c r="T29" s="17"/>
      <c r="V29" s="1" t="s">
        <v>25</v>
      </c>
      <c r="W29" s="1">
        <v>2</v>
      </c>
      <c r="X29" s="1" t="s">
        <v>112</v>
      </c>
      <c r="Y29" s="1">
        <v>2</v>
      </c>
      <c r="Z29" s="1" t="s">
        <v>213</v>
      </c>
      <c r="AA29" s="1">
        <v>0</v>
      </c>
      <c r="AB29" s="1" t="s">
        <v>327</v>
      </c>
      <c r="AC29" s="1">
        <v>1</v>
      </c>
    </row>
    <row r="30" spans="1:29" ht="16.5" customHeight="1">
      <c r="A30" s="15">
        <v>3</v>
      </c>
      <c r="B30" s="3"/>
      <c r="C30" s="3"/>
      <c r="D30" s="3" t="s">
        <v>37</v>
      </c>
      <c r="E30" s="3" t="s">
        <v>38</v>
      </c>
      <c r="F30" s="3"/>
      <c r="G30" s="29"/>
      <c r="H30" s="3"/>
      <c r="I30" s="3"/>
      <c r="J30" s="3"/>
      <c r="K30" s="3" t="s">
        <v>36</v>
      </c>
      <c r="L30" s="3" t="s">
        <v>364</v>
      </c>
      <c r="M30" s="19"/>
      <c r="N30" s="3"/>
      <c r="O30" s="3"/>
      <c r="P30" s="3"/>
      <c r="Q30" s="3"/>
      <c r="R30" s="3"/>
      <c r="T30" s="17"/>
      <c r="V30" s="1" t="s">
        <v>6</v>
      </c>
      <c r="W30" s="1">
        <v>1</v>
      </c>
      <c r="X30" s="1" t="s">
        <v>327</v>
      </c>
      <c r="Y30" s="1">
        <v>2</v>
      </c>
      <c r="Z30" s="1" t="s">
        <v>356</v>
      </c>
      <c r="AA30" s="1">
        <v>0</v>
      </c>
    </row>
    <row r="31" spans="1:29" ht="16.5" customHeight="1">
      <c r="A31" s="15" t="s">
        <v>20</v>
      </c>
      <c r="B31" s="3" t="s">
        <v>25</v>
      </c>
      <c r="C31" s="3" t="s">
        <v>13</v>
      </c>
      <c r="D31" s="3" t="s">
        <v>13</v>
      </c>
      <c r="E31" s="3" t="s">
        <v>13</v>
      </c>
      <c r="F31" s="3" t="s">
        <v>16</v>
      </c>
      <c r="G31" s="3" t="s">
        <v>13</v>
      </c>
      <c r="H31" s="3" t="s">
        <v>13</v>
      </c>
      <c r="I31" s="3" t="s">
        <v>13</v>
      </c>
      <c r="J31" s="3" t="s">
        <v>13</v>
      </c>
      <c r="K31" s="3" t="s">
        <v>13</v>
      </c>
      <c r="L31" s="3" t="s">
        <v>13</v>
      </c>
      <c r="M31" s="3" t="s">
        <v>26</v>
      </c>
      <c r="N31" s="3" t="s">
        <v>13</v>
      </c>
      <c r="O31" s="3" t="s">
        <v>13</v>
      </c>
      <c r="P31" s="3" t="s">
        <v>13</v>
      </c>
      <c r="Q31" s="3"/>
      <c r="R31" s="3"/>
      <c r="T31" s="17"/>
      <c r="V31" s="1" t="s">
        <v>361</v>
      </c>
      <c r="Z31" s="1" t="s">
        <v>166</v>
      </c>
      <c r="AA31" s="1">
        <v>1</v>
      </c>
    </row>
    <row r="32" spans="1:29" ht="16.5" customHeight="1">
      <c r="A32" s="15" t="s">
        <v>0</v>
      </c>
      <c r="B32" s="3" t="s">
        <v>9</v>
      </c>
      <c r="C32" s="3" t="s">
        <v>13</v>
      </c>
      <c r="D32" s="3" t="s">
        <v>13</v>
      </c>
      <c r="E32" s="3" t="s">
        <v>115</v>
      </c>
      <c r="F32" s="3" t="s">
        <v>13</v>
      </c>
      <c r="G32" s="3" t="s">
        <v>13</v>
      </c>
      <c r="H32" s="3" t="s">
        <v>13</v>
      </c>
      <c r="I32" s="3" t="s">
        <v>9</v>
      </c>
      <c r="J32" s="3" t="s">
        <v>13</v>
      </c>
      <c r="K32" s="3" t="s">
        <v>13</v>
      </c>
      <c r="L32" s="3" t="s">
        <v>115</v>
      </c>
      <c r="M32" s="3" t="s">
        <v>13</v>
      </c>
      <c r="N32" s="3" t="s">
        <v>13</v>
      </c>
      <c r="O32" s="3" t="s">
        <v>13</v>
      </c>
      <c r="P32" s="3" t="s">
        <v>9</v>
      </c>
      <c r="Q32" s="3"/>
      <c r="R32" s="3"/>
      <c r="T32" s="17"/>
    </row>
    <row r="33" spans="1:29" ht="16.5" customHeight="1">
      <c r="A33" s="15" t="s">
        <v>1</v>
      </c>
      <c r="B33" s="3" t="s">
        <v>213</v>
      </c>
      <c r="C33" s="3"/>
      <c r="D33" s="3"/>
      <c r="E33" s="3" t="s">
        <v>166</v>
      </c>
      <c r="F33" s="3" t="s">
        <v>13</v>
      </c>
      <c r="G33" s="3" t="s">
        <v>13</v>
      </c>
      <c r="H33" s="3" t="s">
        <v>13</v>
      </c>
      <c r="I33" s="3" t="s">
        <v>13</v>
      </c>
      <c r="J33" s="3"/>
      <c r="K33" s="3"/>
      <c r="L33" s="3" t="s">
        <v>213</v>
      </c>
      <c r="M33" s="3" t="s">
        <v>13</v>
      </c>
      <c r="N33" s="3" t="s">
        <v>13</v>
      </c>
      <c r="O33" s="3" t="s">
        <v>13</v>
      </c>
      <c r="P33" s="3" t="s">
        <v>13</v>
      </c>
      <c r="Q33" s="3"/>
      <c r="R33" s="3"/>
      <c r="W33" s="1">
        <f>SUM(W20:W32)</f>
        <v>15</v>
      </c>
      <c r="Y33" s="1">
        <f>SUM(Y20:Y32)</f>
        <v>15</v>
      </c>
      <c r="AA33" s="1">
        <f>SUM(AA20:AA32)</f>
        <v>16</v>
      </c>
      <c r="AC33" s="1">
        <f>SUM(AC20:AC32)</f>
        <v>9</v>
      </c>
    </row>
    <row r="34" spans="1:29" ht="16.5" customHeight="1">
      <c r="A34" s="15" t="s">
        <v>367</v>
      </c>
      <c r="B34" s="3" t="s">
        <v>356</v>
      </c>
      <c r="C34" s="3" t="s">
        <v>13</v>
      </c>
      <c r="D34" s="3" t="s">
        <v>13</v>
      </c>
      <c r="E34" s="3" t="s">
        <v>13</v>
      </c>
      <c r="F34" s="3"/>
      <c r="G34" s="3" t="s">
        <v>356</v>
      </c>
      <c r="H34" s="3"/>
      <c r="I34" s="3" t="s">
        <v>356</v>
      </c>
      <c r="J34" s="3" t="s">
        <v>13</v>
      </c>
      <c r="K34" s="3" t="s">
        <v>13</v>
      </c>
      <c r="L34" s="3" t="s">
        <v>13</v>
      </c>
      <c r="M34" s="3"/>
      <c r="N34" s="3" t="s">
        <v>356</v>
      </c>
      <c r="O34" s="3"/>
      <c r="P34" s="3" t="s">
        <v>356</v>
      </c>
      <c r="Q34" s="3"/>
      <c r="R34" s="3"/>
    </row>
    <row r="35" spans="1:29" ht="12.75" customHeight="1">
      <c r="Q35" s="145" t="s">
        <v>82</v>
      </c>
      <c r="R35" s="145"/>
      <c r="T35" s="17"/>
    </row>
    <row r="36" spans="1:29">
      <c r="A36" s="1" t="s">
        <v>322</v>
      </c>
      <c r="T36" s="17"/>
    </row>
    <row r="37" spans="1:29">
      <c r="A37" s="34" t="s">
        <v>115</v>
      </c>
      <c r="B37" s="34">
        <v>43604</v>
      </c>
      <c r="C37" s="34"/>
      <c r="D37" s="34"/>
      <c r="E37" s="34"/>
      <c r="F37" s="34"/>
      <c r="G37" s="34"/>
      <c r="H37" s="34"/>
      <c r="I37" s="34"/>
      <c r="J37" s="34" t="s">
        <v>319</v>
      </c>
      <c r="K37" s="34" t="s">
        <v>6</v>
      </c>
      <c r="L37" s="34" t="s">
        <v>359</v>
      </c>
      <c r="M37" s="34"/>
      <c r="N37" s="34"/>
      <c r="O37" s="34"/>
      <c r="P37" s="34"/>
      <c r="Q37" s="34"/>
      <c r="R37" s="34"/>
      <c r="T37" s="17"/>
    </row>
    <row r="38" spans="1:29">
      <c r="A38" s="34" t="s">
        <v>21</v>
      </c>
      <c r="B38" s="34">
        <v>43583</v>
      </c>
      <c r="C38" s="34">
        <v>43588</v>
      </c>
      <c r="D38" s="34">
        <v>43589</v>
      </c>
      <c r="E38" s="34">
        <v>43590</v>
      </c>
      <c r="F38" s="34"/>
      <c r="G38" s="34"/>
      <c r="H38" s="34"/>
      <c r="I38" s="34"/>
      <c r="J38" s="34"/>
      <c r="K38" s="34"/>
      <c r="L38" s="34"/>
      <c r="M38" s="34"/>
      <c r="N38" s="34"/>
      <c r="O38" s="34"/>
      <c r="P38" s="34"/>
      <c r="Q38" s="34"/>
      <c r="R38" s="34"/>
      <c r="T38" s="17"/>
    </row>
    <row r="39" spans="1:29">
      <c r="A39" s="34" t="s">
        <v>27</v>
      </c>
      <c r="B39" s="34">
        <v>43596</v>
      </c>
      <c r="C39" s="34">
        <v>43597</v>
      </c>
      <c r="D39" s="34">
        <v>43625</v>
      </c>
      <c r="E39" s="34">
        <v>43632</v>
      </c>
      <c r="F39" s="34"/>
      <c r="G39" s="34"/>
      <c r="H39" s="34"/>
      <c r="I39" s="34"/>
      <c r="J39" s="34"/>
      <c r="K39" s="34"/>
      <c r="L39" s="34"/>
      <c r="M39" s="34"/>
      <c r="N39" s="34"/>
      <c r="O39" s="34"/>
      <c r="P39" s="34"/>
      <c r="Q39" s="34"/>
      <c r="R39" s="34"/>
      <c r="T39" s="17"/>
    </row>
    <row r="40" spans="1:29">
      <c r="A40" s="34" t="s">
        <v>28</v>
      </c>
      <c r="B40" s="34">
        <v>43576</v>
      </c>
      <c r="C40" s="34">
        <v>43582</v>
      </c>
      <c r="D40" s="34">
        <v>43583</v>
      </c>
      <c r="E40" s="34">
        <v>43588</v>
      </c>
      <c r="F40" s="34">
        <v>43589</v>
      </c>
      <c r="G40" s="34">
        <v>43590</v>
      </c>
      <c r="H40" s="34">
        <v>43591</v>
      </c>
      <c r="I40" s="34">
        <v>43611</v>
      </c>
      <c r="J40" s="34" t="s">
        <v>360</v>
      </c>
      <c r="K40" s="34">
        <v>43603</v>
      </c>
      <c r="L40" s="34"/>
      <c r="M40" s="34"/>
      <c r="N40" s="34"/>
      <c r="O40" s="34"/>
      <c r="P40" s="34"/>
      <c r="Q40" s="34"/>
      <c r="R40" s="34"/>
    </row>
    <row r="41" spans="1:29">
      <c r="A41" s="34" t="s">
        <v>152</v>
      </c>
      <c r="B41" s="34">
        <v>43588</v>
      </c>
      <c r="C41" s="34">
        <v>43589</v>
      </c>
      <c r="D41" s="34">
        <v>43590</v>
      </c>
      <c r="E41" s="34"/>
      <c r="F41" s="34"/>
      <c r="G41" s="34"/>
      <c r="H41" s="34"/>
      <c r="I41" s="34"/>
      <c r="J41" s="34"/>
      <c r="K41" s="34"/>
      <c r="L41" s="34"/>
      <c r="M41" s="34"/>
      <c r="N41" s="34"/>
      <c r="O41" s="34"/>
      <c r="P41" s="34"/>
      <c r="Q41" s="34"/>
      <c r="R41" s="34"/>
      <c r="T41" s="17"/>
    </row>
    <row r="42" spans="1:29">
      <c r="A42" s="34" t="s">
        <v>14</v>
      </c>
      <c r="B42" s="34">
        <v>43582</v>
      </c>
      <c r="C42" s="34">
        <v>43583</v>
      </c>
      <c r="D42" s="34">
        <v>43610</v>
      </c>
      <c r="E42" s="34">
        <v>43611</v>
      </c>
      <c r="F42" s="34">
        <v>43624</v>
      </c>
      <c r="G42" s="34">
        <v>43588</v>
      </c>
      <c r="H42" s="34">
        <v>43589</v>
      </c>
      <c r="I42" s="34">
        <v>43590</v>
      </c>
      <c r="J42" s="34">
        <v>43591</v>
      </c>
      <c r="K42" s="34"/>
      <c r="L42" s="34"/>
      <c r="M42" s="34"/>
      <c r="N42" s="34"/>
      <c r="O42" s="34"/>
      <c r="P42" s="34"/>
      <c r="Q42" s="34"/>
      <c r="R42" s="34"/>
      <c r="T42" s="17"/>
    </row>
    <row r="43" spans="1:29">
      <c r="A43" s="34" t="s">
        <v>36</v>
      </c>
      <c r="B43" s="34">
        <v>43576</v>
      </c>
      <c r="C43" s="34">
        <v>43583</v>
      </c>
      <c r="D43" s="34">
        <v>43597</v>
      </c>
      <c r="E43" s="34">
        <v>43611</v>
      </c>
      <c r="F43" s="34">
        <v>43618</v>
      </c>
      <c r="G43" s="34">
        <v>43625</v>
      </c>
      <c r="H43" s="34"/>
      <c r="I43" s="34"/>
      <c r="J43" s="34"/>
      <c r="K43" s="34"/>
      <c r="L43" s="34"/>
      <c r="M43" s="34"/>
      <c r="N43" s="34"/>
      <c r="O43" s="34"/>
      <c r="P43" s="34"/>
      <c r="Q43" s="34"/>
      <c r="R43" s="34"/>
      <c r="T43" s="17"/>
    </row>
    <row r="44" spans="1:29">
      <c r="A44" s="34" t="s">
        <v>16</v>
      </c>
      <c r="B44" s="34">
        <v>43610</v>
      </c>
      <c r="C44" s="34">
        <v>43611</v>
      </c>
      <c r="D44" s="34">
        <v>43632</v>
      </c>
      <c r="E44" s="34">
        <v>43639</v>
      </c>
      <c r="F44" s="34">
        <v>43646</v>
      </c>
      <c r="G44" s="34"/>
      <c r="H44" s="34"/>
      <c r="I44" s="34"/>
      <c r="J44" s="34"/>
      <c r="K44" s="34"/>
      <c r="L44" s="34"/>
      <c r="M44" s="34"/>
      <c r="N44" s="34"/>
      <c r="O44" s="34"/>
      <c r="P44" s="34"/>
      <c r="Q44" s="34"/>
      <c r="R44" s="34"/>
      <c r="T44" s="17"/>
    </row>
    <row r="45" spans="1:29">
      <c r="A45" s="34" t="s">
        <v>8</v>
      </c>
      <c r="B45" s="34">
        <v>43576</v>
      </c>
      <c r="C45" s="34">
        <v>43589</v>
      </c>
      <c r="D45" s="34">
        <v>43590</v>
      </c>
      <c r="E45" s="34">
        <v>43604</v>
      </c>
      <c r="F45" s="34">
        <v>43610</v>
      </c>
      <c r="G45" s="34">
        <v>43611</v>
      </c>
      <c r="H45" s="34"/>
      <c r="I45" s="34"/>
      <c r="J45" s="34"/>
      <c r="K45" s="34"/>
      <c r="L45" s="34"/>
      <c r="M45" s="34"/>
      <c r="N45" s="34"/>
      <c r="O45" s="34"/>
      <c r="P45" s="34"/>
      <c r="Q45" s="34"/>
      <c r="R45" s="34"/>
    </row>
    <row r="46" spans="1:29">
      <c r="A46" s="34" t="s">
        <v>7</v>
      </c>
      <c r="B46" s="34">
        <v>43588</v>
      </c>
      <c r="C46" s="34">
        <v>43589</v>
      </c>
      <c r="D46" s="34">
        <v>43590</v>
      </c>
      <c r="E46" s="34">
        <v>43591</v>
      </c>
      <c r="F46" s="34"/>
      <c r="G46" s="34"/>
      <c r="H46" s="34"/>
      <c r="I46" s="34"/>
      <c r="J46" s="34"/>
      <c r="K46" s="34"/>
      <c r="L46" s="34"/>
      <c r="M46" s="34"/>
      <c r="N46" s="34"/>
      <c r="O46" s="34"/>
      <c r="P46" s="34"/>
      <c r="Q46" s="34"/>
      <c r="R46" s="34"/>
      <c r="T46" s="17"/>
    </row>
    <row r="47" spans="1:29">
      <c r="A47" s="34"/>
      <c r="B47" s="34"/>
      <c r="C47" s="34"/>
      <c r="D47" s="34"/>
      <c r="E47" s="34"/>
      <c r="F47" s="34"/>
      <c r="G47" s="34"/>
      <c r="H47" s="34"/>
      <c r="I47" s="34"/>
      <c r="J47" s="34"/>
      <c r="K47" s="34"/>
      <c r="L47" s="34"/>
      <c r="M47" s="34"/>
      <c r="N47" s="34"/>
      <c r="O47" s="34"/>
      <c r="P47" s="34"/>
      <c r="Q47" s="34"/>
      <c r="R47" s="34"/>
      <c r="T47" s="17"/>
    </row>
    <row r="48" spans="1:29">
      <c r="A48" s="34"/>
      <c r="B48" s="34"/>
      <c r="C48" s="34"/>
      <c r="D48" s="34"/>
      <c r="E48" s="34"/>
      <c r="F48" s="34"/>
      <c r="G48" s="34"/>
      <c r="H48" s="34"/>
      <c r="I48" s="34"/>
      <c r="J48" s="34"/>
      <c r="K48" s="34"/>
      <c r="L48" s="34"/>
      <c r="M48" s="34"/>
      <c r="N48" s="34"/>
      <c r="O48" s="34"/>
      <c r="P48" s="34"/>
      <c r="Q48" s="34"/>
      <c r="R48" s="34"/>
      <c r="T48" s="17"/>
    </row>
    <row r="49" spans="1:18">
      <c r="A49" s="34" t="s">
        <v>352</v>
      </c>
      <c r="B49" s="34" t="s">
        <v>34</v>
      </c>
      <c r="C49" s="34">
        <v>43582</v>
      </c>
      <c r="D49" s="34">
        <v>43596</v>
      </c>
      <c r="E49" s="34">
        <v>43617</v>
      </c>
      <c r="F49" s="34"/>
      <c r="G49" s="34"/>
      <c r="H49" s="34"/>
      <c r="I49" s="34"/>
      <c r="J49" s="34"/>
      <c r="K49" s="34"/>
      <c r="L49" s="34"/>
      <c r="M49" s="34"/>
      <c r="N49" s="34"/>
      <c r="O49" s="34"/>
      <c r="P49" s="34"/>
      <c r="Q49" s="34"/>
      <c r="R49" s="34"/>
    </row>
    <row r="50" spans="1:18">
      <c r="A50" s="34"/>
      <c r="B50" s="34"/>
      <c r="C50" s="34"/>
      <c r="D50" s="34"/>
      <c r="E50" s="34"/>
      <c r="F50" s="34"/>
      <c r="G50" s="34"/>
      <c r="H50" s="34"/>
      <c r="I50" s="34"/>
      <c r="J50" s="34"/>
      <c r="K50" s="34"/>
      <c r="L50" s="34"/>
      <c r="M50" s="34"/>
      <c r="N50" s="34"/>
      <c r="O50" s="34"/>
      <c r="P50" s="34"/>
      <c r="Q50" s="34"/>
      <c r="R50" s="34"/>
    </row>
    <row r="51" spans="1:18">
      <c r="A51" s="34"/>
      <c r="B51" s="34"/>
      <c r="C51" s="34"/>
      <c r="D51" s="34"/>
      <c r="E51" s="34"/>
      <c r="F51" s="34"/>
      <c r="G51" s="34"/>
      <c r="H51" s="34"/>
      <c r="I51" s="34"/>
      <c r="J51" s="34"/>
      <c r="K51" s="34"/>
      <c r="L51" s="34"/>
      <c r="M51" s="34"/>
      <c r="N51" s="34"/>
      <c r="O51" s="34"/>
      <c r="P51" s="34"/>
      <c r="Q51" s="34"/>
      <c r="R51" s="34"/>
    </row>
  </sheetData>
  <mergeCells count="2">
    <mergeCell ref="A1:R1"/>
    <mergeCell ref="Q35:R35"/>
  </mergeCells>
  <phoneticPr fontId="2"/>
  <pageMargins left="0.70866141732283472" right="0.70866141732283472" top="0" bottom="0" header="0.31496062992125984" footer="0.31496062992125984"/>
  <pageSetup paperSize="9" orientation="landscape" r:id="rId1"/>
  <drawing r:id="rId2"/>
  <legacyDrawing r:id="rId3"/>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47"/>
  <sheetViews>
    <sheetView zoomScale="85" zoomScaleNormal="85" workbookViewId="0">
      <selection activeCell="AA27" sqref="AA27"/>
    </sheetView>
  </sheetViews>
  <sheetFormatPr defaultColWidth="9" defaultRowHeight="18.75"/>
  <cols>
    <col min="1" max="18" width="6.625" style="1" customWidth="1"/>
    <col min="19" max="19" width="3.625" style="1" customWidth="1"/>
    <col min="20" max="20" width="6.625" style="1" customWidth="1"/>
    <col min="21" max="21" width="3.625" style="1" customWidth="1"/>
    <col min="22" max="37" width="6.625" style="1" customWidth="1"/>
    <col min="38" max="38" width="3.625" style="1" customWidth="1"/>
    <col min="39" max="16384" width="9" style="1"/>
  </cols>
  <sheetData>
    <row r="1" spans="1:29">
      <c r="A1" s="156" t="s">
        <v>323</v>
      </c>
      <c r="B1" s="156"/>
      <c r="C1" s="156"/>
      <c r="D1" s="156"/>
      <c r="E1" s="156"/>
      <c r="F1" s="156"/>
      <c r="G1" s="156"/>
      <c r="H1" s="156"/>
      <c r="I1" s="156"/>
      <c r="J1" s="156"/>
      <c r="K1" s="156"/>
      <c r="L1" s="156"/>
      <c r="M1" s="156"/>
      <c r="N1" s="156"/>
      <c r="O1" s="156"/>
      <c r="P1" s="156"/>
      <c r="Q1" s="156"/>
      <c r="R1" s="156"/>
      <c r="X1" s="1" t="s">
        <v>79</v>
      </c>
    </row>
    <row r="2" spans="1:29" ht="18.600000000000001" customHeight="1">
      <c r="A2" s="22" t="s">
        <v>279</v>
      </c>
      <c r="B2" s="27">
        <v>43517</v>
      </c>
      <c r="C2" s="27">
        <v>43518</v>
      </c>
      <c r="D2" s="31">
        <v>43519</v>
      </c>
      <c r="E2" s="31">
        <v>43520</v>
      </c>
      <c r="F2" s="27">
        <v>43521</v>
      </c>
      <c r="G2" s="27">
        <v>43522</v>
      </c>
      <c r="H2" s="27">
        <v>43523</v>
      </c>
      <c r="I2" s="27">
        <v>43524</v>
      </c>
      <c r="J2" s="27"/>
      <c r="K2" s="27"/>
      <c r="L2" s="27"/>
      <c r="M2" s="23" t="s">
        <v>324</v>
      </c>
      <c r="N2" s="11">
        <v>43525</v>
      </c>
      <c r="O2" s="30">
        <v>43526</v>
      </c>
      <c r="P2" s="30">
        <v>43527</v>
      </c>
      <c r="Q2" s="11">
        <v>43528</v>
      </c>
      <c r="R2" s="11">
        <v>43529</v>
      </c>
      <c r="V2" s="1" t="s">
        <v>63</v>
      </c>
      <c r="X2" s="1" t="s">
        <v>64</v>
      </c>
      <c r="Z2" s="1" t="s">
        <v>65</v>
      </c>
      <c r="AB2" s="1" t="s">
        <v>169</v>
      </c>
    </row>
    <row r="3" spans="1:29" ht="18.600000000000001" customHeight="1">
      <c r="A3" s="15">
        <v>1</v>
      </c>
      <c r="B3" s="3"/>
      <c r="C3" s="3"/>
      <c r="D3" s="3" t="s">
        <v>25</v>
      </c>
      <c r="E3" s="3" t="s">
        <v>337</v>
      </c>
      <c r="F3" s="3"/>
      <c r="G3" s="3"/>
      <c r="H3" s="3"/>
      <c r="I3" s="3"/>
      <c r="J3" s="3"/>
      <c r="K3" s="3"/>
      <c r="L3" s="3"/>
      <c r="M3" s="13"/>
      <c r="N3" s="3"/>
      <c r="O3" s="3" t="s">
        <v>350</v>
      </c>
      <c r="P3" s="3" t="s">
        <v>313</v>
      </c>
      <c r="Q3" s="3"/>
      <c r="R3" s="3"/>
      <c r="V3" s="1" t="s">
        <v>47</v>
      </c>
      <c r="W3" s="1">
        <v>0</v>
      </c>
      <c r="X3" s="1" t="s">
        <v>45</v>
      </c>
      <c r="Y3" s="1">
        <v>2</v>
      </c>
      <c r="Z3" s="1" t="s">
        <v>34</v>
      </c>
      <c r="AA3" s="1">
        <v>3</v>
      </c>
      <c r="AB3" s="1" t="s">
        <v>16</v>
      </c>
      <c r="AC3" s="1">
        <v>1</v>
      </c>
    </row>
    <row r="4" spans="1:29" ht="18.600000000000001" customHeight="1">
      <c r="A4" s="15">
        <v>2</v>
      </c>
      <c r="B4" s="3"/>
      <c r="C4" s="3"/>
      <c r="D4" s="3" t="s">
        <v>327</v>
      </c>
      <c r="E4" s="3" t="s">
        <v>339</v>
      </c>
      <c r="F4" s="3"/>
      <c r="G4" s="3"/>
      <c r="H4" s="3"/>
      <c r="I4" s="3"/>
      <c r="J4" s="3"/>
      <c r="K4" s="3"/>
      <c r="L4" s="3"/>
      <c r="M4" s="13"/>
      <c r="N4" s="3"/>
      <c r="O4" s="3" t="s">
        <v>16</v>
      </c>
      <c r="P4" s="3" t="s">
        <v>314</v>
      </c>
      <c r="Q4" s="3"/>
      <c r="R4" s="3"/>
      <c r="T4" s="17"/>
      <c r="U4" s="17"/>
      <c r="V4" s="1" t="s">
        <v>2</v>
      </c>
      <c r="W4" s="1">
        <v>3</v>
      </c>
      <c r="X4" s="1" t="s">
        <v>46</v>
      </c>
      <c r="Y4" s="1">
        <v>3</v>
      </c>
      <c r="Z4" s="1" t="s">
        <v>35</v>
      </c>
      <c r="AA4" s="1">
        <v>2</v>
      </c>
      <c r="AB4" s="1" t="s">
        <v>153</v>
      </c>
      <c r="AC4" s="1">
        <v>2</v>
      </c>
    </row>
    <row r="5" spans="1:29" ht="18.600000000000001" customHeight="1">
      <c r="A5" s="15">
        <v>3</v>
      </c>
      <c r="B5" s="3"/>
      <c r="C5" s="3"/>
      <c r="D5" s="3" t="s">
        <v>34</v>
      </c>
      <c r="E5" s="3" t="s">
        <v>344</v>
      </c>
      <c r="F5" s="3"/>
      <c r="G5" s="3"/>
      <c r="H5" s="3"/>
      <c r="I5" s="3"/>
      <c r="J5" s="3"/>
      <c r="K5" s="3"/>
      <c r="L5" s="3"/>
      <c r="M5" s="13"/>
      <c r="N5" s="3"/>
      <c r="O5" s="3" t="s">
        <v>37</v>
      </c>
      <c r="P5" s="35" t="s">
        <v>345</v>
      </c>
      <c r="Q5" s="3"/>
      <c r="R5" s="3"/>
      <c r="T5" s="17"/>
      <c r="U5" s="17"/>
      <c r="V5" s="1" t="s">
        <v>14</v>
      </c>
      <c r="W5" s="1">
        <v>2</v>
      </c>
      <c r="X5" s="1" t="s">
        <v>6</v>
      </c>
      <c r="Y5" s="1">
        <v>2</v>
      </c>
      <c r="Z5" s="1" t="s">
        <v>8</v>
      </c>
      <c r="AA5" s="1">
        <v>3</v>
      </c>
      <c r="AB5" s="1" t="s">
        <v>6</v>
      </c>
      <c r="AC5" s="1">
        <v>1</v>
      </c>
    </row>
    <row r="6" spans="1:29" ht="18.600000000000001" customHeight="1">
      <c r="A6" s="15" t="s">
        <v>20</v>
      </c>
      <c r="B6" s="3" t="s">
        <v>153</v>
      </c>
      <c r="C6" s="3" t="s">
        <v>13</v>
      </c>
      <c r="D6" s="3" t="s">
        <v>13</v>
      </c>
      <c r="E6" s="3" t="s">
        <v>13</v>
      </c>
      <c r="F6" s="3" t="s">
        <v>6</v>
      </c>
      <c r="G6" s="3" t="s">
        <v>13</v>
      </c>
      <c r="H6" s="3" t="s">
        <v>13</v>
      </c>
      <c r="I6" s="3" t="s">
        <v>13</v>
      </c>
      <c r="J6" s="3"/>
      <c r="K6" s="3"/>
      <c r="L6" s="3"/>
      <c r="M6" s="13"/>
      <c r="N6" s="3" t="s">
        <v>6</v>
      </c>
      <c r="O6" s="3" t="s">
        <v>13</v>
      </c>
      <c r="P6" s="3" t="s">
        <v>13</v>
      </c>
      <c r="Q6" s="3" t="s">
        <v>312</v>
      </c>
      <c r="R6" s="3" t="s">
        <v>13</v>
      </c>
      <c r="T6" s="17"/>
      <c r="U6" s="17"/>
      <c r="V6" s="1" t="s">
        <v>7</v>
      </c>
      <c r="W6" s="1">
        <v>3</v>
      </c>
      <c r="X6" s="1" t="s">
        <v>25</v>
      </c>
      <c r="Y6" s="1">
        <v>1</v>
      </c>
      <c r="Z6" s="1" t="s">
        <v>17</v>
      </c>
      <c r="AA6" s="1">
        <v>2</v>
      </c>
      <c r="AB6" s="1" t="s">
        <v>28</v>
      </c>
      <c r="AC6" s="1">
        <v>1</v>
      </c>
    </row>
    <row r="7" spans="1:29" ht="18.600000000000001" customHeight="1">
      <c r="A7" s="15" t="s">
        <v>0</v>
      </c>
      <c r="B7" s="3" t="s">
        <v>331</v>
      </c>
      <c r="C7" s="3" t="s">
        <v>13</v>
      </c>
      <c r="D7" s="3" t="s">
        <v>13</v>
      </c>
      <c r="E7" s="3" t="s">
        <v>332</v>
      </c>
      <c r="F7" s="3" t="s">
        <v>13</v>
      </c>
      <c r="G7" s="3" t="s">
        <v>13</v>
      </c>
      <c r="H7" s="3" t="s">
        <v>13</v>
      </c>
      <c r="I7" s="3" t="s">
        <v>331</v>
      </c>
      <c r="J7" s="3"/>
      <c r="K7" s="3"/>
      <c r="L7" s="3"/>
      <c r="M7" s="13"/>
      <c r="N7" s="3" t="s">
        <v>331</v>
      </c>
      <c r="O7" s="3" t="s">
        <v>13</v>
      </c>
      <c r="P7" s="3" t="s">
        <v>332</v>
      </c>
      <c r="Q7" s="3" t="s">
        <v>13</v>
      </c>
      <c r="R7" s="3" t="s">
        <v>13</v>
      </c>
      <c r="T7" s="17"/>
      <c r="U7" s="17"/>
      <c r="V7" s="1" t="s">
        <v>21</v>
      </c>
      <c r="W7" s="1">
        <v>3</v>
      </c>
      <c r="X7" s="1" t="s">
        <v>23</v>
      </c>
      <c r="Y7" s="1">
        <v>2</v>
      </c>
      <c r="Z7" s="1" t="s">
        <v>38</v>
      </c>
      <c r="AA7" s="1">
        <v>2</v>
      </c>
      <c r="AB7" s="1" t="s">
        <v>152</v>
      </c>
      <c r="AC7" s="1">
        <v>1</v>
      </c>
    </row>
    <row r="8" spans="1:29" ht="18.600000000000001" customHeight="1">
      <c r="A8" s="15" t="s">
        <v>1</v>
      </c>
      <c r="B8" s="3" t="s">
        <v>328</v>
      </c>
      <c r="C8" s="3"/>
      <c r="D8" s="3"/>
      <c r="E8" s="3" t="s">
        <v>329</v>
      </c>
      <c r="F8" s="3" t="s">
        <v>13</v>
      </c>
      <c r="G8" s="3" t="s">
        <v>13</v>
      </c>
      <c r="H8" s="3" t="s">
        <v>13</v>
      </c>
      <c r="I8" s="3" t="s">
        <v>13</v>
      </c>
      <c r="J8" s="3"/>
      <c r="K8" s="3"/>
      <c r="L8" s="3"/>
      <c r="M8" s="13"/>
      <c r="N8" s="3"/>
      <c r="O8" s="3"/>
      <c r="P8" s="3" t="s">
        <v>328</v>
      </c>
      <c r="Q8" s="3" t="s">
        <v>13</v>
      </c>
      <c r="R8" s="3" t="s">
        <v>13</v>
      </c>
      <c r="T8" s="17"/>
      <c r="V8" s="1" t="s">
        <v>26</v>
      </c>
      <c r="W8" s="1">
        <v>2</v>
      </c>
      <c r="X8" s="1" t="s">
        <v>16</v>
      </c>
      <c r="Y8" s="1">
        <v>2</v>
      </c>
      <c r="Z8" s="1" t="s">
        <v>36</v>
      </c>
      <c r="AA8" s="1">
        <v>3</v>
      </c>
      <c r="AB8" s="1" t="s">
        <v>23</v>
      </c>
      <c r="AC8" s="1">
        <v>1</v>
      </c>
    </row>
    <row r="9" spans="1:29" ht="18.600000000000001" customHeight="1">
      <c r="A9" s="24" t="s">
        <v>324</v>
      </c>
      <c r="B9" s="25">
        <v>43530</v>
      </c>
      <c r="C9" s="25">
        <v>43531</v>
      </c>
      <c r="D9" s="25">
        <v>43532</v>
      </c>
      <c r="E9" s="30">
        <v>43533</v>
      </c>
      <c r="F9" s="30">
        <v>43534</v>
      </c>
      <c r="G9" s="25">
        <v>43535</v>
      </c>
      <c r="H9" s="25">
        <v>43536</v>
      </c>
      <c r="I9" s="25">
        <v>43537</v>
      </c>
      <c r="J9" s="25">
        <v>43538</v>
      </c>
      <c r="K9" s="25">
        <v>43539</v>
      </c>
      <c r="L9" s="30">
        <v>43540</v>
      </c>
      <c r="M9" s="30">
        <v>43541</v>
      </c>
      <c r="N9" s="25">
        <v>43542</v>
      </c>
      <c r="O9" s="25">
        <v>43543</v>
      </c>
      <c r="P9" s="25">
        <v>43544</v>
      </c>
      <c r="Q9" s="18"/>
      <c r="R9" s="3"/>
      <c r="T9" s="17"/>
      <c r="V9" s="1" t="s">
        <v>28</v>
      </c>
      <c r="W9" s="1">
        <v>2</v>
      </c>
      <c r="X9" s="1" t="s">
        <v>152</v>
      </c>
      <c r="Y9" s="1">
        <v>2</v>
      </c>
      <c r="Z9" s="1" t="s">
        <v>37</v>
      </c>
      <c r="AA9" s="1">
        <v>2</v>
      </c>
      <c r="AB9" s="1" t="s">
        <v>112</v>
      </c>
      <c r="AC9" s="1">
        <v>1</v>
      </c>
    </row>
    <row r="10" spans="1:29" ht="18.600000000000001" customHeight="1">
      <c r="A10" s="13">
        <v>1</v>
      </c>
      <c r="B10" s="3"/>
      <c r="C10" s="3"/>
      <c r="D10" s="3"/>
      <c r="E10" s="3" t="s">
        <v>7</v>
      </c>
      <c r="F10" s="3" t="s">
        <v>2</v>
      </c>
      <c r="G10" s="3"/>
      <c r="H10" s="3"/>
      <c r="I10" s="3"/>
      <c r="J10" s="3"/>
      <c r="K10" s="3"/>
      <c r="L10" s="3" t="s">
        <v>14</v>
      </c>
      <c r="M10" s="3" t="s">
        <v>27</v>
      </c>
      <c r="N10" s="3"/>
      <c r="O10" s="3"/>
      <c r="P10" s="3"/>
      <c r="Q10" s="3"/>
      <c r="R10" s="3"/>
      <c r="T10" s="17"/>
      <c r="V10" s="1" t="s">
        <v>27</v>
      </c>
      <c r="W10" s="1">
        <v>3</v>
      </c>
      <c r="X10" s="1" t="s">
        <v>153</v>
      </c>
      <c r="Y10" s="1">
        <v>2</v>
      </c>
      <c r="Z10" s="1" t="s">
        <v>249</v>
      </c>
      <c r="AA10" s="1">
        <v>2</v>
      </c>
      <c r="AB10" s="1" t="s">
        <v>25</v>
      </c>
      <c r="AC10" s="1">
        <v>1</v>
      </c>
    </row>
    <row r="11" spans="1:29" ht="18.600000000000001" customHeight="1">
      <c r="A11" s="13">
        <v>2</v>
      </c>
      <c r="B11" s="3"/>
      <c r="C11" s="3"/>
      <c r="D11" s="3"/>
      <c r="E11" s="3" t="s">
        <v>153</v>
      </c>
      <c r="F11" s="3" t="s">
        <v>23</v>
      </c>
      <c r="G11" s="3"/>
      <c r="H11" s="3"/>
      <c r="I11" s="3"/>
      <c r="J11" s="3"/>
      <c r="K11" s="3"/>
      <c r="L11" s="3" t="s">
        <v>112</v>
      </c>
      <c r="M11" s="3" t="s">
        <v>46</v>
      </c>
      <c r="N11" s="3"/>
      <c r="O11" s="3"/>
      <c r="P11" s="3"/>
      <c r="Q11" s="3"/>
      <c r="R11" s="3"/>
      <c r="T11" s="17"/>
      <c r="V11" s="1" t="s">
        <v>25</v>
      </c>
      <c r="W11" s="1">
        <v>1</v>
      </c>
      <c r="X11" s="1" t="s">
        <v>112</v>
      </c>
      <c r="Y11" s="1">
        <v>3</v>
      </c>
      <c r="AB11" s="1" t="s">
        <v>26</v>
      </c>
      <c r="AC11" s="1">
        <v>0</v>
      </c>
    </row>
    <row r="12" spans="1:29" ht="18.600000000000001" customHeight="1">
      <c r="A12" s="13">
        <v>3</v>
      </c>
      <c r="B12" s="18"/>
      <c r="C12" s="3"/>
      <c r="D12" s="3"/>
      <c r="E12" s="3" t="s">
        <v>349</v>
      </c>
      <c r="F12" s="3" t="s">
        <v>346</v>
      </c>
      <c r="G12" s="3"/>
      <c r="H12" s="3"/>
      <c r="I12" s="3"/>
      <c r="J12" s="3"/>
      <c r="K12" s="3"/>
      <c r="L12" s="3" t="s">
        <v>347</v>
      </c>
      <c r="M12" s="3" t="s">
        <v>348</v>
      </c>
      <c r="N12" s="3"/>
      <c r="O12" s="3"/>
      <c r="P12" s="3"/>
      <c r="Q12" s="3"/>
      <c r="R12" s="3"/>
      <c r="T12" s="17"/>
    </row>
    <row r="13" spans="1:29" ht="18.600000000000001" customHeight="1">
      <c r="A13" s="13" t="s">
        <v>20</v>
      </c>
      <c r="B13" s="3" t="s">
        <v>312</v>
      </c>
      <c r="C13" s="3" t="s">
        <v>13</v>
      </c>
      <c r="D13" s="3" t="s">
        <v>13</v>
      </c>
      <c r="E13" s="3" t="s">
        <v>13</v>
      </c>
      <c r="F13" s="3" t="s">
        <v>13</v>
      </c>
      <c r="G13" s="3" t="s">
        <v>152</v>
      </c>
      <c r="H13" s="3" t="s">
        <v>13</v>
      </c>
      <c r="I13" s="3" t="s">
        <v>13</v>
      </c>
      <c r="J13" s="3" t="s">
        <v>13</v>
      </c>
      <c r="K13" s="3" t="s">
        <v>13</v>
      </c>
      <c r="L13" s="3" t="s">
        <v>13</v>
      </c>
      <c r="M13" s="3" t="s">
        <v>13</v>
      </c>
      <c r="N13" s="3" t="s">
        <v>23</v>
      </c>
      <c r="O13" s="3" t="s">
        <v>13</v>
      </c>
      <c r="P13" s="3" t="s">
        <v>13</v>
      </c>
      <c r="Q13" s="3"/>
      <c r="R13" s="3"/>
      <c r="T13" s="17"/>
      <c r="V13" s="1" t="s">
        <v>304</v>
      </c>
      <c r="W13" s="1">
        <f>SUM(W3:W12)</f>
        <v>19</v>
      </c>
      <c r="Y13" s="1">
        <f>SUM(Y3:Y12)</f>
        <v>19</v>
      </c>
      <c r="AA13" s="1">
        <f>SUM(AA3:AA12)</f>
        <v>19</v>
      </c>
    </row>
    <row r="14" spans="1:29" ht="18.600000000000001" customHeight="1">
      <c r="A14" s="13" t="s">
        <v>0</v>
      </c>
      <c r="B14" s="3" t="s">
        <v>332</v>
      </c>
      <c r="C14" s="3" t="s">
        <v>331</v>
      </c>
      <c r="D14" s="3" t="s">
        <v>13</v>
      </c>
      <c r="E14" s="3" t="s">
        <v>13</v>
      </c>
      <c r="F14" s="3" t="s">
        <v>332</v>
      </c>
      <c r="G14" s="3" t="s">
        <v>13</v>
      </c>
      <c r="H14" s="3" t="s">
        <v>13</v>
      </c>
      <c r="I14" s="3" t="s">
        <v>13</v>
      </c>
      <c r="J14" s="3" t="s">
        <v>331</v>
      </c>
      <c r="K14" s="3" t="s">
        <v>13</v>
      </c>
      <c r="L14" s="3" t="s">
        <v>13</v>
      </c>
      <c r="M14" s="3" t="s">
        <v>115</v>
      </c>
      <c r="N14" s="3" t="s">
        <v>330</v>
      </c>
      <c r="O14" s="3" t="s">
        <v>330</v>
      </c>
      <c r="P14" s="3" t="s">
        <v>330</v>
      </c>
      <c r="Q14" s="3"/>
      <c r="R14" s="3"/>
      <c r="T14" s="17"/>
    </row>
    <row r="15" spans="1:29" ht="18.600000000000001" customHeight="1">
      <c r="A15" s="13" t="s">
        <v>1</v>
      </c>
      <c r="B15" s="3" t="s">
        <v>328</v>
      </c>
      <c r="C15" s="3" t="s">
        <v>13</v>
      </c>
      <c r="D15" s="3"/>
      <c r="E15" s="3"/>
      <c r="F15" s="3" t="s">
        <v>329</v>
      </c>
      <c r="G15" s="3" t="s">
        <v>330</v>
      </c>
      <c r="H15" s="3" t="s">
        <v>330</v>
      </c>
      <c r="I15" s="3" t="s">
        <v>330</v>
      </c>
      <c r="J15" s="3" t="s">
        <v>330</v>
      </c>
      <c r="K15" s="3"/>
      <c r="L15" s="3"/>
      <c r="M15" s="3" t="s">
        <v>328</v>
      </c>
      <c r="N15" s="3" t="s">
        <v>330</v>
      </c>
      <c r="O15" s="3" t="s">
        <v>330</v>
      </c>
      <c r="P15" s="3" t="s">
        <v>330</v>
      </c>
      <c r="Q15" s="3"/>
      <c r="R15" s="3"/>
      <c r="T15" s="17"/>
    </row>
    <row r="16" spans="1:29" ht="18.600000000000001" customHeight="1">
      <c r="A16" s="20" t="s">
        <v>320</v>
      </c>
      <c r="B16" s="4"/>
      <c r="C16" s="4"/>
      <c r="D16" s="4"/>
      <c r="E16" s="4"/>
      <c r="F16" s="4"/>
      <c r="G16" s="4"/>
      <c r="H16" s="21"/>
      <c r="I16" s="21"/>
      <c r="J16" s="21"/>
      <c r="K16" s="21"/>
      <c r="L16" s="21"/>
      <c r="M16" s="21"/>
      <c r="N16" s="21"/>
      <c r="O16" s="21"/>
      <c r="P16" s="4"/>
      <c r="Q16" s="4"/>
      <c r="R16" s="5"/>
      <c r="T16" s="17"/>
      <c r="X16" s="1" t="s">
        <v>326</v>
      </c>
    </row>
    <row r="17" spans="1:29" ht="18.600000000000001" customHeight="1">
      <c r="A17" s="24" t="s">
        <v>324</v>
      </c>
      <c r="B17" s="25">
        <v>43545</v>
      </c>
      <c r="C17" s="25">
        <v>43546</v>
      </c>
      <c r="D17" s="30">
        <v>43547</v>
      </c>
      <c r="E17" s="30">
        <v>43548</v>
      </c>
      <c r="F17" s="25">
        <v>43549</v>
      </c>
      <c r="G17" s="25">
        <v>43550</v>
      </c>
      <c r="H17" s="25">
        <v>43551</v>
      </c>
      <c r="I17" s="25">
        <v>43552</v>
      </c>
      <c r="J17" s="25">
        <v>43553</v>
      </c>
      <c r="K17" s="30">
        <v>43554</v>
      </c>
      <c r="L17" s="30">
        <v>43555</v>
      </c>
      <c r="M17" s="26" t="s">
        <v>325</v>
      </c>
      <c r="N17" s="27">
        <v>43556</v>
      </c>
      <c r="O17" s="27">
        <v>43557</v>
      </c>
      <c r="P17" s="27">
        <v>43558</v>
      </c>
      <c r="Q17" s="27">
        <v>43559</v>
      </c>
      <c r="R17" s="27">
        <v>43560</v>
      </c>
      <c r="T17" s="17"/>
      <c r="V17" s="1" t="s">
        <v>63</v>
      </c>
      <c r="X17" s="1" t="s">
        <v>64</v>
      </c>
      <c r="Z17" s="1" t="s">
        <v>65</v>
      </c>
      <c r="AB17" s="1" t="s">
        <v>169</v>
      </c>
    </row>
    <row r="18" spans="1:29" ht="18.600000000000001" customHeight="1">
      <c r="A18" s="13">
        <v>1</v>
      </c>
      <c r="B18" s="19"/>
      <c r="C18" s="19"/>
      <c r="D18" s="19" t="s">
        <v>351</v>
      </c>
      <c r="E18" s="19" t="s">
        <v>26</v>
      </c>
      <c r="F18" s="19"/>
      <c r="G18" s="19"/>
      <c r="H18" s="19"/>
      <c r="I18" s="19"/>
      <c r="J18" s="19"/>
      <c r="K18" s="19" t="s">
        <v>338</v>
      </c>
      <c r="L18" s="19" t="s">
        <v>7</v>
      </c>
      <c r="M18" s="28"/>
      <c r="N18" s="19"/>
      <c r="O18" s="19"/>
      <c r="P18" s="19"/>
      <c r="Q18" s="19"/>
      <c r="R18" s="19"/>
      <c r="T18" s="17"/>
      <c r="V18" s="1" t="s">
        <v>47</v>
      </c>
      <c r="W18" s="1">
        <v>0</v>
      </c>
      <c r="X18" s="1" t="s">
        <v>45</v>
      </c>
      <c r="Y18" s="1">
        <v>2</v>
      </c>
      <c r="Z18" s="1" t="s">
        <v>34</v>
      </c>
      <c r="AA18" s="1">
        <v>2</v>
      </c>
      <c r="AB18" s="1" t="s">
        <v>16</v>
      </c>
      <c r="AC18" s="1">
        <v>1</v>
      </c>
    </row>
    <row r="19" spans="1:29" ht="18.600000000000001" customHeight="1">
      <c r="A19" s="13">
        <v>2</v>
      </c>
      <c r="B19" s="3"/>
      <c r="C19" s="3"/>
      <c r="D19" s="3" t="s">
        <v>339</v>
      </c>
      <c r="E19" s="3" t="s">
        <v>340</v>
      </c>
      <c r="F19" s="3"/>
      <c r="G19" s="3"/>
      <c r="H19" s="3"/>
      <c r="I19" s="3"/>
      <c r="J19" s="3"/>
      <c r="K19" s="3" t="s">
        <v>152</v>
      </c>
      <c r="L19" s="3" t="s">
        <v>327</v>
      </c>
      <c r="M19" s="15"/>
      <c r="N19" s="3"/>
      <c r="O19" s="3"/>
      <c r="P19" s="3"/>
      <c r="Q19" s="3"/>
      <c r="R19" s="3"/>
      <c r="T19" s="17"/>
      <c r="V19" s="1" t="s">
        <v>2</v>
      </c>
      <c r="W19" s="1">
        <v>2</v>
      </c>
      <c r="X19" s="1" t="s">
        <v>46</v>
      </c>
      <c r="Y19" s="1">
        <v>2</v>
      </c>
      <c r="Z19" s="1" t="s">
        <v>35</v>
      </c>
      <c r="AA19" s="1">
        <v>2</v>
      </c>
      <c r="AB19" s="1" t="s">
        <v>153</v>
      </c>
      <c r="AC19" s="1">
        <v>1</v>
      </c>
    </row>
    <row r="20" spans="1:29" ht="18.600000000000001" customHeight="1">
      <c r="A20" s="13">
        <v>3</v>
      </c>
      <c r="B20" s="3"/>
      <c r="C20" s="3"/>
      <c r="D20" s="3" t="s">
        <v>34</v>
      </c>
      <c r="E20" s="3" t="s">
        <v>344</v>
      </c>
      <c r="F20" s="3"/>
      <c r="G20" s="3"/>
      <c r="H20" s="19"/>
      <c r="I20" s="3"/>
      <c r="J20" s="3"/>
      <c r="K20" s="3" t="s">
        <v>249</v>
      </c>
      <c r="L20" s="3" t="s">
        <v>37</v>
      </c>
      <c r="M20" s="15"/>
      <c r="N20" s="32"/>
      <c r="O20" s="3"/>
      <c r="P20" s="3"/>
      <c r="Q20" s="3"/>
      <c r="R20" s="3"/>
      <c r="T20" s="17"/>
      <c r="V20" s="1" t="s">
        <v>14</v>
      </c>
      <c r="W20" s="1">
        <v>2</v>
      </c>
      <c r="X20" s="1" t="s">
        <v>6</v>
      </c>
      <c r="Y20" s="1">
        <v>1</v>
      </c>
      <c r="Z20" s="1" t="s">
        <v>8</v>
      </c>
      <c r="AA20" s="1">
        <v>2</v>
      </c>
      <c r="AB20" s="1" t="s">
        <v>26</v>
      </c>
      <c r="AC20" s="1">
        <v>1</v>
      </c>
    </row>
    <row r="21" spans="1:29" ht="18.600000000000001" customHeight="1">
      <c r="A21" s="13" t="s">
        <v>20</v>
      </c>
      <c r="B21" s="3" t="s">
        <v>23</v>
      </c>
      <c r="C21" s="3" t="s">
        <v>13</v>
      </c>
      <c r="D21" s="3" t="s">
        <v>13</v>
      </c>
      <c r="E21" s="3" t="s">
        <v>13</v>
      </c>
      <c r="F21" s="3" t="s">
        <v>112</v>
      </c>
      <c r="G21" s="3" t="s">
        <v>13</v>
      </c>
      <c r="H21" s="3" t="s">
        <v>13</v>
      </c>
      <c r="I21" s="3" t="s">
        <v>13</v>
      </c>
      <c r="J21" s="3" t="s">
        <v>13</v>
      </c>
      <c r="K21" s="3" t="s">
        <v>13</v>
      </c>
      <c r="L21" s="3" t="s">
        <v>13</v>
      </c>
      <c r="M21" s="15"/>
      <c r="N21" s="3" t="s">
        <v>25</v>
      </c>
      <c r="O21" s="3" t="s">
        <v>13</v>
      </c>
      <c r="P21" s="3" t="s">
        <v>13</v>
      </c>
      <c r="Q21" s="3" t="s">
        <v>13</v>
      </c>
      <c r="R21" s="3" t="s">
        <v>13</v>
      </c>
      <c r="T21" s="17"/>
      <c r="V21" s="1" t="s">
        <v>7</v>
      </c>
      <c r="W21" s="1">
        <v>3</v>
      </c>
      <c r="X21" s="1" t="s">
        <v>25</v>
      </c>
      <c r="Y21" s="1">
        <v>0</v>
      </c>
      <c r="Z21" s="1" t="s">
        <v>17</v>
      </c>
      <c r="AA21" s="1">
        <v>2</v>
      </c>
      <c r="AB21" s="1" t="s">
        <v>6</v>
      </c>
      <c r="AC21" s="1">
        <v>1</v>
      </c>
    </row>
    <row r="22" spans="1:29" ht="18.600000000000001" customHeight="1">
      <c r="A22" s="13" t="s">
        <v>0</v>
      </c>
      <c r="B22" s="3" t="s">
        <v>331</v>
      </c>
      <c r="C22" s="3" t="s">
        <v>13</v>
      </c>
      <c r="D22" s="3" t="s">
        <v>13</v>
      </c>
      <c r="E22" s="3" t="s">
        <v>332</v>
      </c>
      <c r="F22" s="3" t="s">
        <v>13</v>
      </c>
      <c r="G22" s="3" t="s">
        <v>13</v>
      </c>
      <c r="H22" s="3" t="s">
        <v>13</v>
      </c>
      <c r="I22" s="3" t="s">
        <v>331</v>
      </c>
      <c r="J22" s="3" t="s">
        <v>13</v>
      </c>
      <c r="K22" s="3" t="s">
        <v>13</v>
      </c>
      <c r="L22" s="3" t="s">
        <v>115</v>
      </c>
      <c r="M22" s="15"/>
      <c r="N22" s="3" t="s">
        <v>115</v>
      </c>
      <c r="O22" s="3" t="s">
        <v>13</v>
      </c>
      <c r="P22" s="3" t="s">
        <v>13</v>
      </c>
      <c r="Q22" s="3" t="s">
        <v>331</v>
      </c>
      <c r="R22" s="3" t="s">
        <v>13</v>
      </c>
      <c r="T22" s="17"/>
      <c r="V22" s="1" t="s">
        <v>21</v>
      </c>
      <c r="W22" s="1">
        <v>2</v>
      </c>
      <c r="X22" s="1" t="s">
        <v>23</v>
      </c>
      <c r="Y22" s="1">
        <v>2</v>
      </c>
      <c r="Z22" s="1" t="s">
        <v>38</v>
      </c>
      <c r="AA22" s="1">
        <v>3</v>
      </c>
      <c r="AB22" s="1" t="s">
        <v>152</v>
      </c>
      <c r="AC22" s="1">
        <v>1</v>
      </c>
    </row>
    <row r="23" spans="1:29" ht="18.600000000000001" customHeight="1">
      <c r="A23" s="13" t="s">
        <v>1</v>
      </c>
      <c r="B23" s="3" t="s">
        <v>328</v>
      </c>
      <c r="C23" s="3"/>
      <c r="D23" s="3"/>
      <c r="E23" s="3" t="s">
        <v>329</v>
      </c>
      <c r="F23" s="3" t="s">
        <v>13</v>
      </c>
      <c r="G23" s="3" t="s">
        <v>13</v>
      </c>
      <c r="H23" s="3" t="s">
        <v>13</v>
      </c>
      <c r="I23" s="3" t="s">
        <v>13</v>
      </c>
      <c r="J23" s="3"/>
      <c r="K23" s="3"/>
      <c r="L23" s="3" t="s">
        <v>328</v>
      </c>
      <c r="M23" s="15"/>
      <c r="N23" s="3" t="s">
        <v>328</v>
      </c>
      <c r="O23" s="3" t="s">
        <v>13</v>
      </c>
      <c r="P23" s="3" t="s">
        <v>13</v>
      </c>
      <c r="Q23" s="3" t="s">
        <v>13</v>
      </c>
      <c r="R23" s="3"/>
      <c r="T23" s="17"/>
      <c r="V23" s="1" t="s">
        <v>26</v>
      </c>
      <c r="W23" s="1">
        <v>2</v>
      </c>
      <c r="X23" s="1" t="s">
        <v>16</v>
      </c>
      <c r="Y23" s="1">
        <v>2</v>
      </c>
      <c r="Z23" s="1" t="s">
        <v>36</v>
      </c>
      <c r="AA23" s="1">
        <v>2</v>
      </c>
      <c r="AB23" s="1" t="s">
        <v>23</v>
      </c>
      <c r="AC23" s="1">
        <v>1</v>
      </c>
    </row>
    <row r="24" spans="1:29" ht="18.600000000000001" customHeight="1">
      <c r="A24" s="22" t="s">
        <v>325</v>
      </c>
      <c r="B24" s="31">
        <v>43561</v>
      </c>
      <c r="C24" s="31">
        <v>43562</v>
      </c>
      <c r="D24" s="27">
        <v>43563</v>
      </c>
      <c r="E24" s="27">
        <v>43564</v>
      </c>
      <c r="F24" s="27">
        <v>43565</v>
      </c>
      <c r="G24" s="27">
        <v>43566</v>
      </c>
      <c r="H24" s="27">
        <v>43567</v>
      </c>
      <c r="I24" s="31">
        <v>43568</v>
      </c>
      <c r="J24" s="31">
        <v>43569</v>
      </c>
      <c r="K24" s="27">
        <v>43570</v>
      </c>
      <c r="L24" s="27">
        <v>43571</v>
      </c>
      <c r="M24" s="27">
        <v>43572</v>
      </c>
      <c r="N24" s="27">
        <v>43573</v>
      </c>
      <c r="O24" s="27">
        <v>43574</v>
      </c>
      <c r="P24" s="31">
        <v>43575</v>
      </c>
      <c r="Q24" s="27"/>
      <c r="R24" s="3"/>
      <c r="T24" s="17"/>
      <c r="V24" s="1" t="s">
        <v>28</v>
      </c>
      <c r="W24" s="1">
        <v>2</v>
      </c>
      <c r="X24" s="1" t="s">
        <v>152</v>
      </c>
      <c r="Y24" s="1">
        <v>2</v>
      </c>
      <c r="Z24" s="1" t="s">
        <v>37</v>
      </c>
      <c r="AA24" s="1">
        <v>2</v>
      </c>
      <c r="AB24" s="1" t="s">
        <v>112</v>
      </c>
      <c r="AC24" s="1">
        <v>1</v>
      </c>
    </row>
    <row r="25" spans="1:29" ht="18.600000000000001" customHeight="1">
      <c r="A25" s="15">
        <v>1</v>
      </c>
      <c r="B25" s="3" t="s">
        <v>2</v>
      </c>
      <c r="C25" s="3" t="s">
        <v>21</v>
      </c>
      <c r="D25" s="3"/>
      <c r="E25" s="3"/>
      <c r="F25" s="3"/>
      <c r="G25" s="3"/>
      <c r="H25" s="3"/>
      <c r="I25" s="3" t="s">
        <v>27</v>
      </c>
      <c r="J25" s="3" t="s">
        <v>26</v>
      </c>
      <c r="K25" s="3"/>
      <c r="L25" s="3"/>
      <c r="M25" s="3"/>
      <c r="N25" s="3"/>
      <c r="O25" s="3"/>
      <c r="P25" s="3" t="s">
        <v>7</v>
      </c>
      <c r="Q25" s="3"/>
      <c r="R25" s="3"/>
      <c r="T25" s="17"/>
      <c r="V25" s="1" t="s">
        <v>27</v>
      </c>
      <c r="W25" s="1">
        <v>2</v>
      </c>
      <c r="X25" s="1" t="s">
        <v>153</v>
      </c>
      <c r="Y25" s="1">
        <v>2</v>
      </c>
      <c r="Z25" s="1" t="s">
        <v>249</v>
      </c>
      <c r="AA25" s="1">
        <v>2</v>
      </c>
      <c r="AB25" s="1" t="s">
        <v>25</v>
      </c>
      <c r="AC25" s="1">
        <v>1</v>
      </c>
    </row>
    <row r="26" spans="1:29" ht="18.600000000000001" customHeight="1">
      <c r="A26" s="15">
        <v>2</v>
      </c>
      <c r="B26" s="3" t="s">
        <v>23</v>
      </c>
      <c r="C26" s="3" t="s">
        <v>16</v>
      </c>
      <c r="D26" s="3"/>
      <c r="E26" s="3"/>
      <c r="F26" s="3"/>
      <c r="G26" s="3"/>
      <c r="H26" s="3"/>
      <c r="I26" s="3" t="s">
        <v>46</v>
      </c>
      <c r="J26" s="3" t="s">
        <v>341</v>
      </c>
      <c r="K26" s="3"/>
      <c r="L26" s="3"/>
      <c r="M26" s="3"/>
      <c r="N26" s="3"/>
      <c r="O26" s="3"/>
      <c r="P26" s="3" t="s">
        <v>343</v>
      </c>
      <c r="Q26" s="3"/>
      <c r="R26" s="3"/>
      <c r="T26" s="17"/>
      <c r="V26" s="1" t="s">
        <v>25</v>
      </c>
      <c r="W26" s="1">
        <v>2</v>
      </c>
      <c r="X26" s="1" t="s">
        <v>112</v>
      </c>
      <c r="Y26" s="1">
        <v>2</v>
      </c>
      <c r="AB26" s="1" t="s">
        <v>327</v>
      </c>
      <c r="AC26" s="1">
        <v>1</v>
      </c>
    </row>
    <row r="27" spans="1:29" ht="18.600000000000001" customHeight="1">
      <c r="A27" s="15">
        <v>3</v>
      </c>
      <c r="B27" s="3" t="s">
        <v>349</v>
      </c>
      <c r="C27" s="3" t="s">
        <v>346</v>
      </c>
      <c r="D27" s="3"/>
      <c r="E27" s="3"/>
      <c r="F27" s="3"/>
      <c r="G27" s="29"/>
      <c r="H27" s="3"/>
      <c r="I27" s="3" t="s">
        <v>17</v>
      </c>
      <c r="J27" s="3" t="s">
        <v>36</v>
      </c>
      <c r="K27" s="3"/>
      <c r="L27" s="3"/>
      <c r="M27" s="19"/>
      <c r="N27" s="3"/>
      <c r="O27" s="3"/>
      <c r="P27" s="3" t="s">
        <v>38</v>
      </c>
      <c r="Q27" s="3"/>
      <c r="R27" s="3"/>
      <c r="T27" s="17"/>
      <c r="X27" s="1" t="s">
        <v>327</v>
      </c>
      <c r="Y27" s="1">
        <v>2</v>
      </c>
    </row>
    <row r="28" spans="1:29" ht="18.600000000000001" customHeight="1">
      <c r="A28" s="15" t="s">
        <v>20</v>
      </c>
      <c r="B28" s="3" t="s">
        <v>25</v>
      </c>
      <c r="C28" s="3" t="s">
        <v>13</v>
      </c>
      <c r="D28" s="3" t="s">
        <v>327</v>
      </c>
      <c r="E28" s="3" t="s">
        <v>13</v>
      </c>
      <c r="F28" s="3" t="s">
        <v>13</v>
      </c>
      <c r="G28" s="3" t="s">
        <v>13</v>
      </c>
      <c r="H28" s="3" t="s">
        <v>13</v>
      </c>
      <c r="I28" s="3" t="s">
        <v>13</v>
      </c>
      <c r="J28" s="3" t="s">
        <v>13</v>
      </c>
      <c r="K28" s="3" t="s">
        <v>16</v>
      </c>
      <c r="L28" s="3" t="s">
        <v>13</v>
      </c>
      <c r="M28" s="3" t="s">
        <v>13</v>
      </c>
      <c r="N28" s="3" t="s">
        <v>13</v>
      </c>
      <c r="O28" s="3" t="s">
        <v>13</v>
      </c>
      <c r="P28" s="3" t="s">
        <v>13</v>
      </c>
      <c r="Q28" s="3"/>
      <c r="R28" s="3"/>
      <c r="T28" s="17"/>
      <c r="V28" s="1" t="s">
        <v>237</v>
      </c>
      <c r="W28" s="1">
        <f>SUM(W18:W27)</f>
        <v>17</v>
      </c>
      <c r="Y28" s="1">
        <f>SUM(Y18:Y27)</f>
        <v>17</v>
      </c>
      <c r="AA28" s="1">
        <f>SUM(AA18:AA27)</f>
        <v>17</v>
      </c>
    </row>
    <row r="29" spans="1:29" ht="18.600000000000001" customHeight="1">
      <c r="A29" s="15" t="s">
        <v>0</v>
      </c>
      <c r="B29" s="3" t="s">
        <v>331</v>
      </c>
      <c r="C29" s="3" t="s">
        <v>332</v>
      </c>
      <c r="D29" s="3" t="s">
        <v>13</v>
      </c>
      <c r="E29" s="3" t="s">
        <v>13</v>
      </c>
      <c r="F29" s="3" t="s">
        <v>13</v>
      </c>
      <c r="G29" s="3" t="s">
        <v>331</v>
      </c>
      <c r="H29" s="3" t="s">
        <v>13</v>
      </c>
      <c r="I29" s="3" t="s">
        <v>13</v>
      </c>
      <c r="J29" s="3" t="s">
        <v>332</v>
      </c>
      <c r="K29" s="3" t="s">
        <v>13</v>
      </c>
      <c r="L29" s="3" t="s">
        <v>13</v>
      </c>
      <c r="M29" s="3" t="s">
        <v>13</v>
      </c>
      <c r="N29" s="3" t="s">
        <v>331</v>
      </c>
      <c r="O29" s="3" t="s">
        <v>13</v>
      </c>
      <c r="P29" s="3" t="s">
        <v>13</v>
      </c>
      <c r="Q29" s="3"/>
      <c r="R29" s="3"/>
      <c r="T29" s="17"/>
    </row>
    <row r="30" spans="1:29" ht="18.600000000000001" customHeight="1">
      <c r="A30" s="15" t="s">
        <v>1</v>
      </c>
      <c r="B30" s="3"/>
      <c r="C30" s="3" t="s">
        <v>329</v>
      </c>
      <c r="D30" s="3" t="s">
        <v>330</v>
      </c>
      <c r="E30" s="3" t="s">
        <v>330</v>
      </c>
      <c r="F30" s="3" t="s">
        <v>330</v>
      </c>
      <c r="G30" s="3" t="s">
        <v>330</v>
      </c>
      <c r="H30" s="3"/>
      <c r="I30" s="3"/>
      <c r="J30" s="3" t="s">
        <v>328</v>
      </c>
      <c r="K30" s="3" t="s">
        <v>330</v>
      </c>
      <c r="L30" s="3" t="s">
        <v>330</v>
      </c>
      <c r="M30" s="3" t="s">
        <v>330</v>
      </c>
      <c r="N30" s="3" t="s">
        <v>330</v>
      </c>
      <c r="O30" s="3"/>
      <c r="P30" s="3"/>
      <c r="Q30" s="3"/>
      <c r="R30" s="3"/>
    </row>
    <row r="31" spans="1:29" ht="12.75" customHeight="1">
      <c r="Q31" s="145" t="s">
        <v>82</v>
      </c>
      <c r="R31" s="145"/>
      <c r="T31" s="17"/>
    </row>
    <row r="32" spans="1:29">
      <c r="A32" s="1" t="s">
        <v>322</v>
      </c>
      <c r="T32" s="17"/>
    </row>
    <row r="33" spans="1:20">
      <c r="B33" s="1" t="s">
        <v>26</v>
      </c>
      <c r="C33" s="34">
        <v>43519</v>
      </c>
      <c r="D33" s="34">
        <v>43520</v>
      </c>
      <c r="E33" s="34">
        <v>43561</v>
      </c>
      <c r="F33" s="34">
        <v>43568</v>
      </c>
      <c r="G33" s="34"/>
      <c r="H33" s="34"/>
      <c r="I33" s="34"/>
      <c r="J33" s="34" t="s">
        <v>319</v>
      </c>
      <c r="K33" s="34" t="s">
        <v>334</v>
      </c>
      <c r="L33" s="34" t="s">
        <v>335</v>
      </c>
      <c r="M33" s="34" t="s">
        <v>336</v>
      </c>
      <c r="N33" s="34"/>
      <c r="O33" s="34"/>
      <c r="P33" s="34"/>
      <c r="Q33" s="34"/>
      <c r="R33" s="34"/>
      <c r="T33" s="17"/>
    </row>
    <row r="34" spans="1:20">
      <c r="B34" s="1" t="s">
        <v>27</v>
      </c>
      <c r="C34" s="34">
        <v>43526</v>
      </c>
      <c r="D34" s="34">
        <v>43527</v>
      </c>
      <c r="E34" s="34">
        <v>43548</v>
      </c>
      <c r="F34" s="34"/>
      <c r="G34" s="34"/>
      <c r="H34" s="34"/>
      <c r="I34" s="34"/>
      <c r="J34" s="34"/>
      <c r="K34" s="34" t="s">
        <v>340</v>
      </c>
      <c r="L34" s="34" t="s">
        <v>335</v>
      </c>
      <c r="M34" s="34"/>
      <c r="N34" s="34"/>
      <c r="O34" s="34"/>
      <c r="P34" s="34"/>
      <c r="Q34" s="34"/>
      <c r="R34" s="34"/>
      <c r="T34" s="17"/>
    </row>
    <row r="35" spans="1:20">
      <c r="B35" s="1" t="s">
        <v>333</v>
      </c>
      <c r="C35" s="34">
        <v>43554</v>
      </c>
      <c r="D35" s="34">
        <v>43561</v>
      </c>
      <c r="E35" s="34">
        <v>43562</v>
      </c>
      <c r="F35" s="34"/>
      <c r="G35" s="34"/>
      <c r="H35" s="34"/>
      <c r="I35" s="34"/>
      <c r="J35" s="34"/>
      <c r="K35" s="34"/>
      <c r="L35" s="34"/>
      <c r="M35" s="34"/>
      <c r="N35" s="34"/>
      <c r="O35" s="34"/>
      <c r="P35" s="34"/>
      <c r="Q35" s="34"/>
      <c r="R35" s="34"/>
      <c r="T35" s="17"/>
    </row>
    <row r="36" spans="1:20">
      <c r="B36" s="1" t="s">
        <v>342</v>
      </c>
      <c r="C36" s="34">
        <v>43547</v>
      </c>
      <c r="D36" s="34">
        <v>43548</v>
      </c>
      <c r="E36" s="34"/>
      <c r="F36" s="34"/>
      <c r="G36" s="34"/>
      <c r="H36" s="34"/>
      <c r="I36" s="34"/>
      <c r="J36" s="34"/>
      <c r="K36" s="34"/>
      <c r="L36" s="34"/>
      <c r="M36" s="34"/>
      <c r="N36" s="34"/>
      <c r="O36" s="34"/>
      <c r="P36" s="34"/>
      <c r="Q36" s="34"/>
      <c r="R36" s="34"/>
    </row>
    <row r="37" spans="1:20">
      <c r="B37" s="1" t="s">
        <v>340</v>
      </c>
      <c r="C37" s="34">
        <v>43533</v>
      </c>
      <c r="D37" s="34">
        <v>43534</v>
      </c>
      <c r="E37" s="34"/>
      <c r="F37" s="34"/>
      <c r="G37" s="34"/>
      <c r="H37" s="34"/>
      <c r="I37" s="34"/>
      <c r="J37" s="34"/>
      <c r="K37" s="34"/>
      <c r="L37" s="34"/>
      <c r="M37" s="34"/>
      <c r="N37" s="34"/>
      <c r="O37" s="34"/>
      <c r="P37" s="34"/>
      <c r="Q37" s="34"/>
      <c r="R37" s="34"/>
      <c r="T37" s="17"/>
    </row>
    <row r="38" spans="1:20">
      <c r="B38" s="1" t="s">
        <v>313</v>
      </c>
      <c r="C38" s="34">
        <v>43519</v>
      </c>
      <c r="D38" s="34">
        <v>43520</v>
      </c>
      <c r="E38" s="34">
        <v>43534</v>
      </c>
      <c r="F38" s="34">
        <v>43575</v>
      </c>
      <c r="G38" s="34">
        <v>43576</v>
      </c>
      <c r="H38" s="34"/>
      <c r="I38" s="34"/>
      <c r="J38" s="34"/>
      <c r="K38" s="34"/>
      <c r="L38" s="34"/>
      <c r="M38" s="34"/>
      <c r="N38" s="34"/>
      <c r="O38" s="34"/>
      <c r="P38" s="34"/>
      <c r="Q38" s="34"/>
      <c r="R38" s="34"/>
      <c r="T38" s="17"/>
    </row>
    <row r="39" spans="1:20">
      <c r="B39" s="1" t="s">
        <v>21</v>
      </c>
      <c r="C39" s="34">
        <v>43519</v>
      </c>
      <c r="D39" s="34">
        <v>43520</v>
      </c>
      <c r="E39" s="34">
        <v>43569</v>
      </c>
      <c r="F39" s="34"/>
      <c r="G39" s="34"/>
      <c r="H39" s="34"/>
      <c r="I39" s="34"/>
      <c r="J39" s="34"/>
      <c r="K39" s="34"/>
      <c r="L39" s="34"/>
      <c r="M39" s="34"/>
      <c r="N39" s="34"/>
      <c r="O39" s="34"/>
      <c r="P39" s="34"/>
      <c r="Q39" s="34"/>
      <c r="R39" s="34"/>
      <c r="T39" s="17"/>
    </row>
    <row r="40" spans="1:20">
      <c r="C40" s="34"/>
      <c r="D40" s="34"/>
      <c r="E40" s="34"/>
      <c r="F40" s="34"/>
      <c r="G40" s="34"/>
      <c r="H40" s="34"/>
      <c r="I40" s="34"/>
      <c r="J40" s="34"/>
      <c r="K40" s="34"/>
      <c r="L40" s="34"/>
      <c r="M40" s="34"/>
      <c r="N40" s="34"/>
      <c r="O40" s="34"/>
      <c r="P40" s="34"/>
      <c r="Q40" s="34"/>
      <c r="R40" s="34"/>
      <c r="T40" s="17"/>
    </row>
    <row r="41" spans="1:20">
      <c r="A41" s="1" t="s">
        <v>352</v>
      </c>
      <c r="B41" s="1" t="s">
        <v>353</v>
      </c>
      <c r="C41" s="34">
        <v>43519</v>
      </c>
      <c r="D41" s="34">
        <v>43547</v>
      </c>
      <c r="E41" s="34"/>
      <c r="F41" s="34"/>
      <c r="G41" s="34"/>
      <c r="H41" s="34"/>
      <c r="I41" s="34"/>
      <c r="J41" s="34"/>
      <c r="K41" s="34"/>
      <c r="L41" s="34"/>
      <c r="M41" s="34"/>
      <c r="N41" s="34"/>
      <c r="O41" s="34"/>
      <c r="P41" s="34"/>
      <c r="Q41" s="34"/>
      <c r="R41" s="34"/>
    </row>
    <row r="42" spans="1:20">
      <c r="C42" s="34"/>
      <c r="D42" s="34"/>
      <c r="E42" s="34"/>
      <c r="F42" s="34"/>
      <c r="G42" s="34"/>
      <c r="H42" s="34"/>
      <c r="I42" s="34"/>
      <c r="J42" s="34"/>
      <c r="K42" s="34"/>
      <c r="L42" s="34"/>
      <c r="M42" s="34"/>
      <c r="N42" s="34"/>
      <c r="O42" s="34"/>
      <c r="P42" s="34"/>
      <c r="Q42" s="34"/>
      <c r="R42" s="34"/>
      <c r="T42" s="17"/>
    </row>
    <row r="43" spans="1:20">
      <c r="C43" s="34"/>
      <c r="D43" s="34"/>
      <c r="E43" s="34"/>
      <c r="F43" s="34"/>
      <c r="G43" s="34"/>
      <c r="H43" s="34"/>
      <c r="I43" s="34"/>
      <c r="J43" s="34"/>
      <c r="K43" s="34"/>
      <c r="L43" s="34"/>
      <c r="M43" s="34"/>
      <c r="N43" s="34"/>
      <c r="O43" s="34"/>
      <c r="P43" s="34"/>
      <c r="Q43" s="34"/>
      <c r="R43" s="34"/>
      <c r="T43" s="17"/>
    </row>
    <row r="44" spans="1:20">
      <c r="C44" s="34"/>
      <c r="D44" s="34"/>
      <c r="E44" s="34"/>
      <c r="F44" s="34"/>
      <c r="G44" s="34"/>
      <c r="H44" s="34"/>
      <c r="I44" s="34"/>
      <c r="J44" s="34"/>
      <c r="K44" s="34"/>
      <c r="L44" s="34"/>
      <c r="M44" s="34"/>
      <c r="N44" s="34"/>
      <c r="O44" s="34"/>
      <c r="P44" s="34"/>
      <c r="Q44" s="34"/>
      <c r="R44" s="34"/>
      <c r="T44" s="17"/>
    </row>
    <row r="45" spans="1:20">
      <c r="C45" s="34"/>
      <c r="D45" s="34"/>
      <c r="E45" s="34"/>
      <c r="F45" s="34"/>
      <c r="G45" s="34"/>
      <c r="H45" s="34"/>
      <c r="I45" s="34"/>
      <c r="J45" s="34"/>
      <c r="K45" s="34"/>
      <c r="L45" s="34"/>
      <c r="M45" s="34"/>
      <c r="N45" s="34"/>
      <c r="O45" s="34"/>
      <c r="P45" s="34"/>
      <c r="Q45" s="34"/>
      <c r="R45" s="34"/>
    </row>
    <row r="46" spans="1:20">
      <c r="C46" s="34"/>
      <c r="D46" s="34"/>
      <c r="E46" s="34"/>
      <c r="F46" s="34"/>
      <c r="G46" s="34"/>
      <c r="H46" s="34"/>
      <c r="I46" s="34"/>
      <c r="J46" s="34"/>
      <c r="K46" s="34"/>
      <c r="L46" s="34"/>
      <c r="M46" s="34"/>
      <c r="N46" s="34"/>
      <c r="O46" s="34"/>
      <c r="P46" s="34"/>
      <c r="Q46" s="34"/>
      <c r="R46" s="34"/>
    </row>
    <row r="47" spans="1:20">
      <c r="C47" s="34"/>
      <c r="D47" s="34"/>
      <c r="E47" s="34"/>
      <c r="F47" s="34"/>
      <c r="G47" s="34"/>
      <c r="H47" s="34"/>
      <c r="I47" s="34"/>
      <c r="J47" s="34"/>
      <c r="K47" s="34"/>
      <c r="L47" s="34"/>
      <c r="M47" s="34"/>
      <c r="N47" s="34"/>
      <c r="O47" s="34"/>
      <c r="P47" s="34"/>
      <c r="Q47" s="34"/>
      <c r="R47" s="34"/>
    </row>
  </sheetData>
  <mergeCells count="2">
    <mergeCell ref="A1:R1"/>
    <mergeCell ref="Q31:R31"/>
  </mergeCells>
  <phoneticPr fontId="2"/>
  <pageMargins left="0.70866141732283472" right="0.70866141732283472" top="0" bottom="0.19685039370078741" header="0.31496062992125984" footer="0.31496062992125984"/>
  <pageSetup paperSize="9" orientation="landscape" r:id="rId1"/>
  <drawing r:id="rId2"/>
  <legacyDrawing r:id="rId3"/>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C47"/>
  <sheetViews>
    <sheetView topLeftCell="A7" zoomScale="85" zoomScaleNormal="85" workbookViewId="0">
      <selection activeCell="B3" sqref="B3"/>
    </sheetView>
  </sheetViews>
  <sheetFormatPr defaultColWidth="9" defaultRowHeight="18.75"/>
  <cols>
    <col min="1" max="18" width="6.625" style="1" customWidth="1"/>
    <col min="19" max="19" width="3.625" style="1" customWidth="1"/>
    <col min="20" max="20" width="6.625" style="1" customWidth="1"/>
    <col min="21" max="21" width="3.625" style="1" customWidth="1"/>
    <col min="22" max="37" width="6.625" style="1" customWidth="1"/>
    <col min="38" max="38" width="3.625" style="1" customWidth="1"/>
    <col min="39" max="16384" width="9" style="1"/>
  </cols>
  <sheetData>
    <row r="1" spans="1:29">
      <c r="A1" s="156" t="s">
        <v>280</v>
      </c>
      <c r="B1" s="156"/>
      <c r="C1" s="156"/>
      <c r="D1" s="156"/>
      <c r="E1" s="156"/>
      <c r="F1" s="156"/>
      <c r="G1" s="156"/>
      <c r="H1" s="156"/>
      <c r="I1" s="156"/>
      <c r="J1" s="156"/>
      <c r="K1" s="156"/>
      <c r="L1" s="156"/>
      <c r="M1" s="156"/>
      <c r="N1" s="156"/>
      <c r="O1" s="156"/>
      <c r="P1" s="156"/>
      <c r="Q1" s="156"/>
      <c r="R1" s="156"/>
      <c r="X1" s="1" t="s">
        <v>78</v>
      </c>
    </row>
    <row r="2" spans="1:29" ht="18.600000000000001" customHeight="1">
      <c r="A2" s="22" t="s">
        <v>244</v>
      </c>
      <c r="B2" s="27">
        <v>43455</v>
      </c>
      <c r="C2" s="31">
        <v>43456</v>
      </c>
      <c r="D2" s="31">
        <v>43457</v>
      </c>
      <c r="E2" s="27">
        <v>43458</v>
      </c>
      <c r="F2" s="27">
        <v>43459</v>
      </c>
      <c r="G2" s="27">
        <v>43460</v>
      </c>
      <c r="H2" s="27">
        <v>43461</v>
      </c>
      <c r="I2" s="27">
        <v>43462</v>
      </c>
      <c r="J2" s="31">
        <v>43463</v>
      </c>
      <c r="K2" s="31">
        <v>43464</v>
      </c>
      <c r="L2" s="31">
        <v>43465</v>
      </c>
      <c r="M2" s="23" t="s">
        <v>278</v>
      </c>
      <c r="N2" s="9">
        <v>43466</v>
      </c>
      <c r="O2" s="9">
        <v>43467</v>
      </c>
      <c r="P2" s="9">
        <v>43468</v>
      </c>
      <c r="Q2" s="11">
        <v>43469</v>
      </c>
      <c r="R2" s="30">
        <v>43470</v>
      </c>
      <c r="V2" s="1" t="s">
        <v>63</v>
      </c>
      <c r="X2" s="1" t="s">
        <v>64</v>
      </c>
      <c r="Z2" s="1" t="s">
        <v>65</v>
      </c>
      <c r="AB2" s="1" t="s">
        <v>169</v>
      </c>
    </row>
    <row r="3" spans="1:29" ht="18.600000000000001" customHeight="1">
      <c r="A3" s="15">
        <v>1</v>
      </c>
      <c r="B3" s="3"/>
      <c r="C3" s="3" t="s">
        <v>296</v>
      </c>
      <c r="D3" s="3" t="s">
        <v>299</v>
      </c>
      <c r="E3" s="3"/>
      <c r="F3" s="3"/>
      <c r="G3" s="3"/>
      <c r="H3" s="3"/>
      <c r="I3" s="3"/>
      <c r="J3" s="3" t="s">
        <v>313</v>
      </c>
      <c r="K3" s="3" t="s">
        <v>298</v>
      </c>
      <c r="L3" s="3" t="s">
        <v>297</v>
      </c>
      <c r="M3" s="13"/>
      <c r="N3" s="3"/>
      <c r="O3" s="3"/>
      <c r="P3" s="3"/>
      <c r="Q3" s="3"/>
      <c r="R3" s="3" t="s">
        <v>302</v>
      </c>
      <c r="V3" s="1" t="s">
        <v>47</v>
      </c>
      <c r="W3" s="1">
        <v>0</v>
      </c>
      <c r="X3" s="1" t="s">
        <v>45</v>
      </c>
      <c r="Y3" s="1">
        <v>2</v>
      </c>
      <c r="Z3" s="1" t="s">
        <v>34</v>
      </c>
      <c r="AA3" s="1">
        <v>2</v>
      </c>
      <c r="AB3" s="1" t="s">
        <v>16</v>
      </c>
      <c r="AC3" s="1">
        <v>1</v>
      </c>
    </row>
    <row r="4" spans="1:29" ht="18.600000000000001" customHeight="1">
      <c r="A4" s="15">
        <v>2</v>
      </c>
      <c r="B4" s="3"/>
      <c r="C4" s="3" t="s">
        <v>112</v>
      </c>
      <c r="D4" s="3" t="s">
        <v>6</v>
      </c>
      <c r="E4" s="3"/>
      <c r="F4" s="3"/>
      <c r="G4" s="3"/>
      <c r="H4" s="3"/>
      <c r="I4" s="3"/>
      <c r="J4" s="3" t="s">
        <v>294</v>
      </c>
      <c r="K4" s="3" t="s">
        <v>295</v>
      </c>
      <c r="L4" s="3" t="s">
        <v>301</v>
      </c>
      <c r="M4" s="13"/>
      <c r="N4" s="3"/>
      <c r="O4" s="3"/>
      <c r="P4" s="3"/>
      <c r="Q4" s="3"/>
      <c r="R4" s="3" t="s">
        <v>305</v>
      </c>
      <c r="T4" s="17"/>
      <c r="U4" s="17"/>
      <c r="V4" s="1" t="s">
        <v>2</v>
      </c>
      <c r="W4" s="1">
        <v>2</v>
      </c>
      <c r="X4" s="1" t="s">
        <v>46</v>
      </c>
      <c r="Y4" s="1">
        <v>2</v>
      </c>
      <c r="Z4" s="1" t="s">
        <v>35</v>
      </c>
      <c r="AA4" s="1">
        <v>3</v>
      </c>
      <c r="AB4" s="1" t="s">
        <v>153</v>
      </c>
      <c r="AC4" s="1">
        <v>1</v>
      </c>
    </row>
    <row r="5" spans="1:29" ht="18.600000000000001" customHeight="1">
      <c r="A5" s="15">
        <v>3</v>
      </c>
      <c r="B5" s="3"/>
      <c r="C5" s="3" t="s">
        <v>288</v>
      </c>
      <c r="D5" s="3" t="s">
        <v>287</v>
      </c>
      <c r="E5" s="3"/>
      <c r="F5" s="3"/>
      <c r="G5" s="3"/>
      <c r="H5" s="3"/>
      <c r="I5" s="3"/>
      <c r="J5" s="3" t="s">
        <v>34</v>
      </c>
      <c r="K5" s="3" t="s">
        <v>289</v>
      </c>
      <c r="L5" s="3" t="s">
        <v>290</v>
      </c>
      <c r="M5" s="13"/>
      <c r="N5" s="3"/>
      <c r="O5" s="3"/>
      <c r="P5" s="32"/>
      <c r="Q5" s="3"/>
      <c r="R5" s="3" t="s">
        <v>291</v>
      </c>
      <c r="T5" s="17"/>
      <c r="U5" s="17"/>
      <c r="V5" s="1" t="s">
        <v>14</v>
      </c>
      <c r="W5" s="1">
        <v>3</v>
      </c>
      <c r="X5" s="1" t="s">
        <v>6</v>
      </c>
      <c r="Y5" s="1">
        <v>2</v>
      </c>
      <c r="Z5" s="1" t="s">
        <v>8</v>
      </c>
      <c r="AA5" s="1">
        <v>2</v>
      </c>
      <c r="AB5" s="1" t="s">
        <v>6</v>
      </c>
      <c r="AC5" s="1">
        <v>1</v>
      </c>
    </row>
    <row r="6" spans="1:29" ht="18.600000000000001" customHeight="1">
      <c r="A6" s="15" t="s">
        <v>20</v>
      </c>
      <c r="B6" s="3" t="s">
        <v>16</v>
      </c>
      <c r="C6" s="3" t="s">
        <v>13</v>
      </c>
      <c r="D6" s="3" t="s">
        <v>13</v>
      </c>
      <c r="E6" s="3" t="s">
        <v>153</v>
      </c>
      <c r="F6" s="3" t="s">
        <v>13</v>
      </c>
      <c r="G6" s="3" t="s">
        <v>13</v>
      </c>
      <c r="H6" s="3" t="s">
        <v>13</v>
      </c>
      <c r="I6" s="3" t="s">
        <v>13</v>
      </c>
      <c r="J6" s="3" t="s">
        <v>13</v>
      </c>
      <c r="K6" s="3" t="s">
        <v>13</v>
      </c>
      <c r="L6" s="3"/>
      <c r="M6" s="13"/>
      <c r="N6" s="3"/>
      <c r="O6" s="3"/>
      <c r="P6" s="3"/>
      <c r="Q6" s="3" t="s">
        <v>6</v>
      </c>
      <c r="R6" s="3" t="s">
        <v>13</v>
      </c>
      <c r="T6" s="17"/>
      <c r="U6" s="17"/>
      <c r="V6" s="1" t="s">
        <v>7</v>
      </c>
      <c r="W6" s="1">
        <v>2</v>
      </c>
      <c r="X6" s="1" t="s">
        <v>25</v>
      </c>
      <c r="Y6" s="1">
        <v>1</v>
      </c>
      <c r="Z6" s="1" t="s">
        <v>17</v>
      </c>
      <c r="AA6" s="1">
        <v>2</v>
      </c>
      <c r="AB6" s="1" t="s">
        <v>28</v>
      </c>
      <c r="AC6" s="1">
        <v>1</v>
      </c>
    </row>
    <row r="7" spans="1:29" ht="18.600000000000001" customHeight="1">
      <c r="A7" s="15" t="s">
        <v>0</v>
      </c>
      <c r="B7" s="3" t="s">
        <v>9</v>
      </c>
      <c r="C7" s="3" t="s">
        <v>13</v>
      </c>
      <c r="D7" s="3" t="s">
        <v>115</v>
      </c>
      <c r="E7" s="3" t="s">
        <v>13</v>
      </c>
      <c r="F7" s="3" t="s">
        <v>13</v>
      </c>
      <c r="G7" s="3" t="s">
        <v>13</v>
      </c>
      <c r="H7" s="3" t="s">
        <v>9</v>
      </c>
      <c r="I7" s="3" t="s">
        <v>13</v>
      </c>
      <c r="J7" s="3" t="s">
        <v>13</v>
      </c>
      <c r="K7" s="3" t="s">
        <v>115</v>
      </c>
      <c r="L7" s="3"/>
      <c r="M7" s="13"/>
      <c r="N7" s="3"/>
      <c r="O7" s="3"/>
      <c r="P7" s="3"/>
      <c r="Q7" s="3" t="s">
        <v>321</v>
      </c>
      <c r="R7" s="3" t="s">
        <v>13</v>
      </c>
      <c r="T7" s="17"/>
      <c r="U7" s="17"/>
      <c r="V7" s="1" t="s">
        <v>21</v>
      </c>
      <c r="W7" s="1">
        <v>2</v>
      </c>
      <c r="X7" s="1" t="s">
        <v>23</v>
      </c>
      <c r="Y7" s="1">
        <v>3</v>
      </c>
      <c r="Z7" s="1" t="s">
        <v>38</v>
      </c>
      <c r="AA7" s="1">
        <v>2</v>
      </c>
      <c r="AB7" s="1" t="s">
        <v>152</v>
      </c>
      <c r="AC7" s="1">
        <v>1</v>
      </c>
    </row>
    <row r="8" spans="1:29" ht="18.600000000000001" customHeight="1">
      <c r="A8" s="15" t="s">
        <v>1</v>
      </c>
      <c r="B8" s="3"/>
      <c r="C8" s="3"/>
      <c r="D8" s="3" t="s">
        <v>213</v>
      </c>
      <c r="E8" s="3" t="s">
        <v>13</v>
      </c>
      <c r="F8" s="3" t="s">
        <v>13</v>
      </c>
      <c r="G8" s="3" t="s">
        <v>13</v>
      </c>
      <c r="H8" s="3" t="s">
        <v>13</v>
      </c>
      <c r="I8" s="3"/>
      <c r="J8" s="3"/>
      <c r="K8" s="3" t="s">
        <v>166</v>
      </c>
      <c r="L8" s="3"/>
      <c r="M8" s="13"/>
      <c r="N8" s="3"/>
      <c r="O8" s="3"/>
      <c r="P8" s="3"/>
      <c r="Q8" s="3"/>
      <c r="R8" s="3"/>
      <c r="T8" s="17"/>
      <c r="V8" s="1" t="s">
        <v>26</v>
      </c>
      <c r="W8" s="1">
        <v>3</v>
      </c>
      <c r="X8" s="1" t="s">
        <v>16</v>
      </c>
      <c r="Y8" s="1">
        <v>2</v>
      </c>
      <c r="Z8" s="1" t="s">
        <v>36</v>
      </c>
      <c r="AA8" s="1">
        <v>2</v>
      </c>
      <c r="AB8" s="1" t="s">
        <v>23</v>
      </c>
      <c r="AC8" s="1">
        <v>1</v>
      </c>
    </row>
    <row r="9" spans="1:29" ht="18.600000000000001" customHeight="1">
      <c r="A9" s="24" t="s">
        <v>278</v>
      </c>
      <c r="B9" s="30">
        <v>43471</v>
      </c>
      <c r="C9" s="11">
        <v>43472</v>
      </c>
      <c r="D9" s="11">
        <v>43473</v>
      </c>
      <c r="E9" s="11">
        <v>43474</v>
      </c>
      <c r="F9" s="11">
        <v>43475</v>
      </c>
      <c r="G9" s="11">
        <v>43476</v>
      </c>
      <c r="H9" s="30">
        <v>43477</v>
      </c>
      <c r="I9" s="30">
        <v>43478</v>
      </c>
      <c r="J9" s="11">
        <v>43479</v>
      </c>
      <c r="K9" s="11">
        <v>43480</v>
      </c>
      <c r="L9" s="11">
        <v>43481</v>
      </c>
      <c r="M9" s="11">
        <v>43482</v>
      </c>
      <c r="N9" s="11">
        <v>43483</v>
      </c>
      <c r="O9" s="30">
        <v>43484</v>
      </c>
      <c r="P9" s="30">
        <v>43485</v>
      </c>
      <c r="Q9" s="18"/>
      <c r="R9" s="3"/>
      <c r="T9" s="17"/>
      <c r="V9" s="1" t="s">
        <v>28</v>
      </c>
      <c r="W9" s="1">
        <v>2</v>
      </c>
      <c r="X9" s="1" t="s">
        <v>152</v>
      </c>
      <c r="Y9" s="1">
        <v>2</v>
      </c>
      <c r="Z9" s="1" t="s">
        <v>37</v>
      </c>
      <c r="AA9" s="1">
        <v>2</v>
      </c>
      <c r="AB9" s="1" t="s">
        <v>112</v>
      </c>
      <c r="AC9" s="1">
        <v>1</v>
      </c>
    </row>
    <row r="10" spans="1:29" ht="18.600000000000001" customHeight="1">
      <c r="A10" s="13">
        <v>1</v>
      </c>
      <c r="B10" s="3" t="s">
        <v>2</v>
      </c>
      <c r="C10" s="3"/>
      <c r="D10" s="3"/>
      <c r="E10" s="3"/>
      <c r="F10" s="3"/>
      <c r="G10" s="3"/>
      <c r="H10" s="3" t="s">
        <v>299</v>
      </c>
      <c r="I10" s="3" t="s">
        <v>303</v>
      </c>
      <c r="J10" s="3"/>
      <c r="K10" s="3"/>
      <c r="L10" s="3"/>
      <c r="M10" s="3"/>
      <c r="N10" s="3"/>
      <c r="O10" s="3" t="s">
        <v>306</v>
      </c>
      <c r="P10" s="3" t="s">
        <v>311</v>
      </c>
      <c r="Q10" s="3"/>
      <c r="R10" s="3"/>
      <c r="T10" s="17"/>
      <c r="V10" s="1" t="s">
        <v>27</v>
      </c>
      <c r="W10" s="1">
        <v>3</v>
      </c>
      <c r="X10" s="1" t="s">
        <v>153</v>
      </c>
      <c r="Y10" s="1">
        <v>2</v>
      </c>
      <c r="Z10" s="1" t="s">
        <v>249</v>
      </c>
      <c r="AA10" s="1">
        <v>3</v>
      </c>
      <c r="AB10" s="1" t="s">
        <v>25</v>
      </c>
      <c r="AC10" s="1">
        <v>1</v>
      </c>
    </row>
    <row r="11" spans="1:29" ht="18.600000000000001" customHeight="1">
      <c r="A11" s="13">
        <v>2</v>
      </c>
      <c r="B11" s="3" t="s">
        <v>25</v>
      </c>
      <c r="C11" s="3"/>
      <c r="D11" s="3"/>
      <c r="E11" s="3"/>
      <c r="F11" s="3"/>
      <c r="G11" s="3"/>
      <c r="H11" s="3" t="s">
        <v>300</v>
      </c>
      <c r="I11" s="3" t="s">
        <v>16</v>
      </c>
      <c r="J11" s="3"/>
      <c r="K11" s="3"/>
      <c r="L11" s="3"/>
      <c r="M11" s="3"/>
      <c r="N11" s="3"/>
      <c r="O11" s="3" t="s">
        <v>307</v>
      </c>
      <c r="P11" s="3" t="s">
        <v>112</v>
      </c>
      <c r="Q11" s="3"/>
      <c r="R11" s="3"/>
      <c r="T11" s="17"/>
      <c r="V11" s="1" t="s">
        <v>25</v>
      </c>
      <c r="W11" s="1">
        <v>1</v>
      </c>
      <c r="X11" s="1" t="s">
        <v>112</v>
      </c>
      <c r="Y11" s="1">
        <v>2</v>
      </c>
      <c r="AB11" s="1" t="s">
        <v>26</v>
      </c>
      <c r="AC11" s="1">
        <v>0</v>
      </c>
    </row>
    <row r="12" spans="1:29" ht="18.600000000000001" customHeight="1">
      <c r="A12" s="13">
        <v>3</v>
      </c>
      <c r="B12" s="18" t="s">
        <v>292</v>
      </c>
      <c r="C12" s="3"/>
      <c r="D12" s="3"/>
      <c r="E12" s="3"/>
      <c r="F12" s="3"/>
      <c r="G12" s="3"/>
      <c r="H12" s="3" t="s">
        <v>293</v>
      </c>
      <c r="I12" s="3" t="s">
        <v>287</v>
      </c>
      <c r="J12" s="3"/>
      <c r="K12" s="3"/>
      <c r="L12" s="3"/>
      <c r="M12" s="3"/>
      <c r="N12" s="3"/>
      <c r="O12" s="3" t="s">
        <v>36</v>
      </c>
      <c r="P12" s="3" t="s">
        <v>34</v>
      </c>
      <c r="Q12" s="3"/>
      <c r="R12" s="3"/>
      <c r="T12" s="17"/>
    </row>
    <row r="13" spans="1:29" ht="18.600000000000001" customHeight="1">
      <c r="A13" s="13" t="s">
        <v>20</v>
      </c>
      <c r="B13" s="3" t="s">
        <v>6</v>
      </c>
      <c r="C13" s="3" t="s">
        <v>28</v>
      </c>
      <c r="D13" s="3" t="s">
        <v>13</v>
      </c>
      <c r="E13" s="3" t="s">
        <v>13</v>
      </c>
      <c r="F13" s="3" t="s">
        <v>13</v>
      </c>
      <c r="G13" s="3" t="s">
        <v>13</v>
      </c>
      <c r="H13" s="3" t="s">
        <v>13</v>
      </c>
      <c r="I13" s="3" t="s">
        <v>13</v>
      </c>
      <c r="J13" s="3" t="s">
        <v>152</v>
      </c>
      <c r="K13" s="3" t="s">
        <v>13</v>
      </c>
      <c r="L13" s="3" t="s">
        <v>13</v>
      </c>
      <c r="M13" s="3" t="s">
        <v>13</v>
      </c>
      <c r="N13" s="3" t="s">
        <v>13</v>
      </c>
      <c r="O13" s="3" t="s">
        <v>13</v>
      </c>
      <c r="P13" s="3" t="s">
        <v>13</v>
      </c>
      <c r="Q13" s="3"/>
      <c r="R13" s="3"/>
      <c r="T13" s="17"/>
      <c r="V13" s="1" t="s">
        <v>248</v>
      </c>
      <c r="W13" s="1">
        <f>SUM(W3:W12)</f>
        <v>18</v>
      </c>
      <c r="Y13" s="1">
        <f>SUM(Y3:Y12)</f>
        <v>18</v>
      </c>
      <c r="AA13" s="1">
        <f>SUM(AA3:AA12)</f>
        <v>18</v>
      </c>
    </row>
    <row r="14" spans="1:29" ht="18.600000000000001" customHeight="1">
      <c r="A14" s="13" t="s">
        <v>0</v>
      </c>
      <c r="B14" s="3" t="s">
        <v>115</v>
      </c>
      <c r="C14" s="3" t="s">
        <v>13</v>
      </c>
      <c r="D14" s="3" t="s">
        <v>13</v>
      </c>
      <c r="E14" s="3" t="s">
        <v>13</v>
      </c>
      <c r="F14" s="3" t="s">
        <v>9</v>
      </c>
      <c r="G14" s="3" t="s">
        <v>13</v>
      </c>
      <c r="H14" s="3" t="s">
        <v>13</v>
      </c>
      <c r="I14" s="3" t="s">
        <v>115</v>
      </c>
      <c r="J14" s="3" t="s">
        <v>13</v>
      </c>
      <c r="K14" s="3" t="s">
        <v>13</v>
      </c>
      <c r="L14" s="3" t="s">
        <v>13</v>
      </c>
      <c r="M14" s="3" t="s">
        <v>9</v>
      </c>
      <c r="N14" s="3" t="s">
        <v>13</v>
      </c>
      <c r="O14" s="3" t="s">
        <v>13</v>
      </c>
      <c r="P14" s="3" t="s">
        <v>115</v>
      </c>
      <c r="Q14" s="3"/>
      <c r="R14" s="3"/>
      <c r="T14" s="17"/>
    </row>
    <row r="15" spans="1:29" ht="18.600000000000001" customHeight="1">
      <c r="A15" s="13" t="s">
        <v>1</v>
      </c>
      <c r="B15" s="3" t="s">
        <v>213</v>
      </c>
      <c r="C15" s="3" t="s">
        <v>13</v>
      </c>
      <c r="D15" s="3" t="s">
        <v>13</v>
      </c>
      <c r="E15" s="3" t="s">
        <v>13</v>
      </c>
      <c r="F15" s="3" t="s">
        <v>13</v>
      </c>
      <c r="G15" s="3"/>
      <c r="H15" s="3"/>
      <c r="I15" s="3" t="s">
        <v>166</v>
      </c>
      <c r="J15" s="3" t="s">
        <v>13</v>
      </c>
      <c r="K15" s="3" t="s">
        <v>13</v>
      </c>
      <c r="L15" s="3" t="s">
        <v>13</v>
      </c>
      <c r="M15" s="3" t="s">
        <v>13</v>
      </c>
      <c r="N15" s="3"/>
      <c r="O15" s="3"/>
      <c r="P15" s="3" t="s">
        <v>213</v>
      </c>
      <c r="Q15" s="3"/>
      <c r="R15" s="3"/>
      <c r="T15" s="17"/>
    </row>
    <row r="16" spans="1:29" ht="18.600000000000001" customHeight="1">
      <c r="A16" s="20" t="s">
        <v>320</v>
      </c>
      <c r="B16" s="4"/>
      <c r="C16" s="4"/>
      <c r="D16" s="4"/>
      <c r="E16" s="4"/>
      <c r="F16" s="4"/>
      <c r="G16" s="4"/>
      <c r="H16" s="21"/>
      <c r="I16" s="21"/>
      <c r="J16" s="21"/>
      <c r="K16" s="21"/>
      <c r="L16" s="21"/>
      <c r="M16" s="21"/>
      <c r="N16" s="21"/>
      <c r="O16" s="21"/>
      <c r="P16" s="4"/>
      <c r="Q16" s="4"/>
      <c r="R16" s="5"/>
      <c r="T16" s="17"/>
      <c r="X16" s="1" t="s">
        <v>79</v>
      </c>
    </row>
    <row r="17" spans="1:29" ht="18.600000000000001" customHeight="1">
      <c r="A17" s="24" t="s">
        <v>278</v>
      </c>
      <c r="B17" s="25">
        <v>43486</v>
      </c>
      <c r="C17" s="25">
        <v>43487</v>
      </c>
      <c r="D17" s="25">
        <v>43488</v>
      </c>
      <c r="E17" s="25">
        <v>43489</v>
      </c>
      <c r="F17" s="25">
        <v>43490</v>
      </c>
      <c r="G17" s="30">
        <v>43491</v>
      </c>
      <c r="H17" s="30">
        <v>43492</v>
      </c>
      <c r="I17" s="25">
        <v>43493</v>
      </c>
      <c r="J17" s="25">
        <v>43494</v>
      </c>
      <c r="K17" s="25">
        <v>43495</v>
      </c>
      <c r="L17" s="25">
        <v>43496</v>
      </c>
      <c r="M17" s="26" t="s">
        <v>279</v>
      </c>
      <c r="N17" s="27">
        <v>43497</v>
      </c>
      <c r="O17" s="31">
        <v>43498</v>
      </c>
      <c r="P17" s="31">
        <v>43499</v>
      </c>
      <c r="Q17" s="27">
        <v>43500</v>
      </c>
      <c r="R17" s="27">
        <v>43501</v>
      </c>
      <c r="T17" s="17"/>
      <c r="V17" s="1" t="s">
        <v>63</v>
      </c>
      <c r="X17" s="1" t="s">
        <v>64</v>
      </c>
      <c r="Z17" s="1" t="s">
        <v>65</v>
      </c>
      <c r="AB17" s="1" t="s">
        <v>169</v>
      </c>
    </row>
    <row r="18" spans="1:29" ht="18.600000000000001" customHeight="1">
      <c r="A18" s="13">
        <v>1</v>
      </c>
      <c r="B18" s="19"/>
      <c r="C18" s="19"/>
      <c r="D18" s="19"/>
      <c r="E18" s="19"/>
      <c r="F18" s="19"/>
      <c r="G18" s="19" t="s">
        <v>308</v>
      </c>
      <c r="H18" s="19" t="s">
        <v>310</v>
      </c>
      <c r="I18" s="19"/>
      <c r="J18" s="19"/>
      <c r="K18" s="19"/>
      <c r="L18" s="19"/>
      <c r="M18" s="28"/>
      <c r="N18" s="19"/>
      <c r="O18" s="19" t="s">
        <v>313</v>
      </c>
      <c r="P18" s="19" t="s">
        <v>312</v>
      </c>
      <c r="Q18" s="19"/>
      <c r="R18" s="19"/>
      <c r="T18" s="17"/>
      <c r="V18" s="1" t="s">
        <v>47</v>
      </c>
      <c r="W18" s="1">
        <v>0</v>
      </c>
      <c r="X18" s="1" t="s">
        <v>45</v>
      </c>
      <c r="Y18" s="1">
        <v>2</v>
      </c>
      <c r="Z18" s="1" t="s">
        <v>34</v>
      </c>
      <c r="AA18" s="1">
        <v>3</v>
      </c>
      <c r="AB18" s="1" t="s">
        <v>16</v>
      </c>
      <c r="AC18" s="1">
        <v>1</v>
      </c>
    </row>
    <row r="19" spans="1:29" ht="18.600000000000001" customHeight="1">
      <c r="A19" s="13">
        <v>2</v>
      </c>
      <c r="B19" s="3"/>
      <c r="C19" s="3"/>
      <c r="D19" s="3"/>
      <c r="E19" s="3"/>
      <c r="F19" s="3"/>
      <c r="G19" s="3" t="s">
        <v>309</v>
      </c>
      <c r="H19" s="3" t="s">
        <v>6</v>
      </c>
      <c r="I19" s="3"/>
      <c r="J19" s="3"/>
      <c r="K19" s="3"/>
      <c r="L19" s="3"/>
      <c r="M19" s="15"/>
      <c r="N19" s="3"/>
      <c r="O19" s="3" t="s">
        <v>317</v>
      </c>
      <c r="P19" s="3" t="s">
        <v>16</v>
      </c>
      <c r="Q19" s="3"/>
      <c r="R19" s="3"/>
      <c r="T19" s="17"/>
      <c r="V19" s="1" t="s">
        <v>2</v>
      </c>
      <c r="W19" s="1">
        <v>3</v>
      </c>
      <c r="X19" s="1" t="s">
        <v>46</v>
      </c>
      <c r="Y19" s="1">
        <v>3</v>
      </c>
      <c r="Z19" s="1" t="s">
        <v>35</v>
      </c>
      <c r="AA19" s="1">
        <v>2</v>
      </c>
      <c r="AB19" s="1" t="s">
        <v>153</v>
      </c>
      <c r="AC19" s="1">
        <v>2</v>
      </c>
    </row>
    <row r="20" spans="1:29" ht="18.600000000000001" customHeight="1">
      <c r="A20" s="13">
        <v>3</v>
      </c>
      <c r="B20" s="3"/>
      <c r="C20" s="3"/>
      <c r="D20" s="3"/>
      <c r="E20" s="3"/>
      <c r="F20" s="3"/>
      <c r="G20" s="3" t="s">
        <v>289</v>
      </c>
      <c r="H20" s="19" t="s">
        <v>291</v>
      </c>
      <c r="I20" s="3"/>
      <c r="J20" s="3"/>
      <c r="K20" s="3"/>
      <c r="L20" s="3"/>
      <c r="M20" s="15"/>
      <c r="N20" s="32"/>
      <c r="O20" s="3" t="s">
        <v>34</v>
      </c>
      <c r="P20" s="3" t="s">
        <v>290</v>
      </c>
      <c r="Q20" s="3"/>
      <c r="R20" s="3"/>
      <c r="T20" s="17"/>
      <c r="V20" s="1" t="s">
        <v>14</v>
      </c>
      <c r="W20" s="1">
        <v>2</v>
      </c>
      <c r="X20" s="1" t="s">
        <v>6</v>
      </c>
      <c r="Y20" s="1">
        <v>2</v>
      </c>
      <c r="Z20" s="1" t="s">
        <v>8</v>
      </c>
      <c r="AA20" s="1">
        <v>3</v>
      </c>
      <c r="AB20" s="1" t="s">
        <v>6</v>
      </c>
      <c r="AC20" s="1">
        <v>1</v>
      </c>
    </row>
    <row r="21" spans="1:29" ht="18.600000000000001" customHeight="1">
      <c r="A21" s="13" t="s">
        <v>20</v>
      </c>
      <c r="B21" s="3" t="s">
        <v>23</v>
      </c>
      <c r="C21" s="3" t="s">
        <v>13</v>
      </c>
      <c r="D21" s="3" t="s">
        <v>13</v>
      </c>
      <c r="E21" s="3" t="s">
        <v>13</v>
      </c>
      <c r="F21" s="3" t="s">
        <v>13</v>
      </c>
      <c r="G21" s="3" t="s">
        <v>13</v>
      </c>
      <c r="H21" s="3" t="s">
        <v>13</v>
      </c>
      <c r="I21" s="3" t="s">
        <v>112</v>
      </c>
      <c r="J21" s="3" t="s">
        <v>13</v>
      </c>
      <c r="K21" s="3" t="s">
        <v>13</v>
      </c>
      <c r="L21" s="3" t="s">
        <v>13</v>
      </c>
      <c r="M21" s="15"/>
      <c r="N21" s="3" t="s">
        <v>112</v>
      </c>
      <c r="O21" s="3" t="s">
        <v>13</v>
      </c>
      <c r="P21" s="3" t="s">
        <v>13</v>
      </c>
      <c r="Q21" s="3" t="s">
        <v>25</v>
      </c>
      <c r="R21" s="3" t="s">
        <v>13</v>
      </c>
      <c r="T21" s="17"/>
      <c r="V21" s="1" t="s">
        <v>7</v>
      </c>
      <c r="W21" s="1">
        <v>3</v>
      </c>
      <c r="X21" s="1" t="s">
        <v>25</v>
      </c>
      <c r="Y21" s="1">
        <v>1</v>
      </c>
      <c r="Z21" s="1" t="s">
        <v>17</v>
      </c>
      <c r="AA21" s="1">
        <v>2</v>
      </c>
      <c r="AB21" s="1" t="s">
        <v>28</v>
      </c>
      <c r="AC21" s="1">
        <v>1</v>
      </c>
    </row>
    <row r="22" spans="1:29" ht="18.600000000000001" customHeight="1">
      <c r="A22" s="13" t="s">
        <v>0</v>
      </c>
      <c r="B22" s="3" t="s">
        <v>115</v>
      </c>
      <c r="C22" s="3" t="s">
        <v>13</v>
      </c>
      <c r="D22" s="3" t="s">
        <v>13</v>
      </c>
      <c r="E22" s="3" t="s">
        <v>9</v>
      </c>
      <c r="F22" s="3" t="s">
        <v>13</v>
      </c>
      <c r="G22" s="3" t="s">
        <v>13</v>
      </c>
      <c r="H22" s="3" t="s">
        <v>115</v>
      </c>
      <c r="I22" s="3" t="s">
        <v>13</v>
      </c>
      <c r="J22" s="3" t="s">
        <v>13</v>
      </c>
      <c r="K22" s="3" t="s">
        <v>13</v>
      </c>
      <c r="L22" s="3" t="s">
        <v>9</v>
      </c>
      <c r="M22" s="15"/>
      <c r="N22" s="15" t="s">
        <v>9</v>
      </c>
      <c r="O22" s="15" t="s">
        <v>13</v>
      </c>
      <c r="P22" s="3" t="s">
        <v>115</v>
      </c>
      <c r="Q22" s="3" t="s">
        <v>13</v>
      </c>
      <c r="R22" s="3" t="s">
        <v>13</v>
      </c>
      <c r="T22" s="17"/>
      <c r="V22" s="1" t="s">
        <v>21</v>
      </c>
      <c r="W22" s="1">
        <v>3</v>
      </c>
      <c r="X22" s="1" t="s">
        <v>23</v>
      </c>
      <c r="Y22" s="1">
        <v>2</v>
      </c>
      <c r="Z22" s="1" t="s">
        <v>38</v>
      </c>
      <c r="AA22" s="1">
        <v>2</v>
      </c>
      <c r="AB22" s="1" t="s">
        <v>152</v>
      </c>
      <c r="AC22" s="1">
        <v>1</v>
      </c>
    </row>
    <row r="23" spans="1:29" ht="18.600000000000001" customHeight="1">
      <c r="A23" s="13" t="s">
        <v>1</v>
      </c>
      <c r="B23" s="3" t="s">
        <v>213</v>
      </c>
      <c r="C23" s="3" t="s">
        <v>13</v>
      </c>
      <c r="D23" s="3" t="s">
        <v>13</v>
      </c>
      <c r="E23" s="3" t="s">
        <v>13</v>
      </c>
      <c r="F23" s="3"/>
      <c r="G23" s="3"/>
      <c r="H23" s="3" t="s">
        <v>166</v>
      </c>
      <c r="I23" s="3" t="s">
        <v>13</v>
      </c>
      <c r="J23" s="3" t="s">
        <v>13</v>
      </c>
      <c r="K23" s="3" t="s">
        <v>13</v>
      </c>
      <c r="L23" s="3" t="s">
        <v>13</v>
      </c>
      <c r="M23" s="15"/>
      <c r="N23" s="3"/>
      <c r="O23" s="3"/>
      <c r="P23" s="3" t="s">
        <v>213</v>
      </c>
      <c r="Q23" s="3" t="s">
        <v>13</v>
      </c>
      <c r="R23" s="3" t="s">
        <v>13</v>
      </c>
      <c r="T23" s="17"/>
      <c r="V23" s="1" t="s">
        <v>26</v>
      </c>
      <c r="W23" s="1">
        <v>2</v>
      </c>
      <c r="X23" s="1" t="s">
        <v>16</v>
      </c>
      <c r="Y23" s="1">
        <v>2</v>
      </c>
      <c r="Z23" s="1" t="s">
        <v>36</v>
      </c>
      <c r="AA23" s="1">
        <v>3</v>
      </c>
      <c r="AB23" s="1" t="s">
        <v>23</v>
      </c>
      <c r="AC23" s="1">
        <v>1</v>
      </c>
    </row>
    <row r="24" spans="1:29" ht="18.600000000000001" customHeight="1">
      <c r="A24" s="22" t="s">
        <v>279</v>
      </c>
      <c r="B24" s="27">
        <v>43502</v>
      </c>
      <c r="C24" s="27">
        <v>43503</v>
      </c>
      <c r="D24" s="27">
        <v>43504</v>
      </c>
      <c r="E24" s="31">
        <v>43505</v>
      </c>
      <c r="F24" s="31">
        <v>43506</v>
      </c>
      <c r="G24" s="27">
        <v>43507</v>
      </c>
      <c r="H24" s="27">
        <v>43508</v>
      </c>
      <c r="I24" s="27">
        <v>43509</v>
      </c>
      <c r="J24" s="27">
        <v>43510</v>
      </c>
      <c r="K24" s="27">
        <v>43511</v>
      </c>
      <c r="L24" s="31">
        <v>43512</v>
      </c>
      <c r="M24" s="31">
        <v>43513</v>
      </c>
      <c r="N24" s="27">
        <v>43514</v>
      </c>
      <c r="O24" s="27">
        <v>43515</v>
      </c>
      <c r="P24" s="27">
        <v>43516</v>
      </c>
      <c r="Q24" s="27"/>
      <c r="R24" s="3"/>
      <c r="T24" s="17"/>
      <c r="V24" s="1" t="s">
        <v>28</v>
      </c>
      <c r="W24" s="1">
        <v>2</v>
      </c>
      <c r="X24" s="1" t="s">
        <v>152</v>
      </c>
      <c r="Y24" s="1">
        <v>2</v>
      </c>
      <c r="Z24" s="1" t="s">
        <v>37</v>
      </c>
      <c r="AA24" s="1">
        <v>2</v>
      </c>
      <c r="AB24" s="1" t="s">
        <v>112</v>
      </c>
      <c r="AC24" s="1">
        <v>1</v>
      </c>
    </row>
    <row r="25" spans="1:29" ht="18.600000000000001" customHeight="1">
      <c r="A25" s="15">
        <v>1</v>
      </c>
      <c r="B25" s="3"/>
      <c r="C25" s="3"/>
      <c r="D25" s="3"/>
      <c r="E25" s="3" t="s">
        <v>315</v>
      </c>
      <c r="F25" s="3" t="s">
        <v>306</v>
      </c>
      <c r="G25" s="3"/>
      <c r="H25" s="3"/>
      <c r="I25" s="3"/>
      <c r="J25" s="3"/>
      <c r="K25" s="3"/>
      <c r="L25" s="3" t="s">
        <v>311</v>
      </c>
      <c r="M25" s="3" t="s">
        <v>308</v>
      </c>
      <c r="N25" s="3"/>
      <c r="O25" s="3"/>
      <c r="P25" s="3"/>
      <c r="Q25" s="3"/>
      <c r="R25" s="3"/>
      <c r="T25" s="17"/>
      <c r="V25" s="1" t="s">
        <v>27</v>
      </c>
      <c r="W25" s="1">
        <v>3</v>
      </c>
      <c r="X25" s="1" t="s">
        <v>153</v>
      </c>
      <c r="Y25" s="1">
        <v>2</v>
      </c>
      <c r="Z25" s="1" t="s">
        <v>249</v>
      </c>
      <c r="AA25" s="1">
        <v>2</v>
      </c>
      <c r="AB25" s="1" t="s">
        <v>25</v>
      </c>
      <c r="AC25" s="1">
        <v>1</v>
      </c>
    </row>
    <row r="26" spans="1:29" ht="18.600000000000001" customHeight="1">
      <c r="A26" s="15">
        <v>2</v>
      </c>
      <c r="B26" s="3"/>
      <c r="C26" s="3"/>
      <c r="D26" s="3"/>
      <c r="E26" s="3" t="s">
        <v>305</v>
      </c>
      <c r="F26" s="3" t="s">
        <v>314</v>
      </c>
      <c r="G26" s="3"/>
      <c r="H26" s="3"/>
      <c r="I26" s="3"/>
      <c r="J26" s="3"/>
      <c r="K26" s="3"/>
      <c r="L26" s="3" t="s">
        <v>307</v>
      </c>
      <c r="M26" s="3" t="s">
        <v>316</v>
      </c>
      <c r="N26" s="3"/>
      <c r="O26" s="3"/>
      <c r="P26" s="3"/>
      <c r="Q26" s="3"/>
      <c r="R26" s="3"/>
      <c r="T26" s="17"/>
      <c r="V26" s="1" t="s">
        <v>25</v>
      </c>
      <c r="W26" s="1">
        <v>1</v>
      </c>
      <c r="X26" s="1" t="s">
        <v>112</v>
      </c>
      <c r="Y26" s="1">
        <v>3</v>
      </c>
      <c r="AB26" s="1" t="s">
        <v>26</v>
      </c>
      <c r="AC26" s="1">
        <v>0</v>
      </c>
    </row>
    <row r="27" spans="1:29" ht="18.600000000000001" customHeight="1">
      <c r="A27" s="15">
        <v>3</v>
      </c>
      <c r="B27" s="3"/>
      <c r="C27" s="3"/>
      <c r="D27" s="3"/>
      <c r="E27" s="3" t="s">
        <v>292</v>
      </c>
      <c r="F27" s="3" t="s">
        <v>293</v>
      </c>
      <c r="G27" s="29"/>
      <c r="H27" s="3"/>
      <c r="I27" s="3"/>
      <c r="J27" s="3"/>
      <c r="K27" s="3"/>
      <c r="L27" s="3" t="s">
        <v>288</v>
      </c>
      <c r="M27" s="19" t="s">
        <v>287</v>
      </c>
      <c r="N27" s="3"/>
      <c r="O27" s="3"/>
      <c r="P27" s="3"/>
      <c r="Q27" s="3"/>
      <c r="R27" s="3"/>
      <c r="T27" s="17"/>
    </row>
    <row r="28" spans="1:29" ht="18.600000000000001" customHeight="1">
      <c r="A28" s="15" t="s">
        <v>20</v>
      </c>
      <c r="B28" s="3" t="s">
        <v>25</v>
      </c>
      <c r="C28" s="3" t="s">
        <v>13</v>
      </c>
      <c r="D28" s="3" t="s">
        <v>13</v>
      </c>
      <c r="E28" s="3" t="s">
        <v>13</v>
      </c>
      <c r="F28" s="3" t="s">
        <v>13</v>
      </c>
      <c r="G28" s="3" t="s">
        <v>16</v>
      </c>
      <c r="H28" s="3" t="s">
        <v>13</v>
      </c>
      <c r="I28" s="3" t="s">
        <v>13</v>
      </c>
      <c r="J28" s="3" t="s">
        <v>13</v>
      </c>
      <c r="K28" s="3" t="s">
        <v>13</v>
      </c>
      <c r="L28" s="3" t="s">
        <v>13</v>
      </c>
      <c r="M28" s="3" t="s">
        <v>13</v>
      </c>
      <c r="N28" s="3" t="s">
        <v>153</v>
      </c>
      <c r="O28" s="3" t="s">
        <v>13</v>
      </c>
      <c r="P28" s="3" t="s">
        <v>13</v>
      </c>
      <c r="Q28" s="3"/>
      <c r="R28" s="3"/>
      <c r="T28" s="17"/>
      <c r="V28" s="1" t="s">
        <v>304</v>
      </c>
      <c r="W28" s="1">
        <f>SUM(W18:W27)</f>
        <v>19</v>
      </c>
      <c r="Y28" s="1">
        <f>SUM(Y18:Y27)</f>
        <v>19</v>
      </c>
      <c r="AA28" s="1">
        <f>SUM(AA18:AA27)</f>
        <v>19</v>
      </c>
    </row>
    <row r="29" spans="1:29" ht="18.600000000000001" customHeight="1">
      <c r="A29" s="15" t="s">
        <v>0</v>
      </c>
      <c r="B29" s="3" t="s">
        <v>115</v>
      </c>
      <c r="C29" s="3" t="s">
        <v>9</v>
      </c>
      <c r="D29" s="3" t="s">
        <v>13</v>
      </c>
      <c r="E29" s="3" t="s">
        <v>13</v>
      </c>
      <c r="F29" s="3" t="s">
        <v>115</v>
      </c>
      <c r="G29" s="3" t="s">
        <v>13</v>
      </c>
      <c r="H29" s="3" t="s">
        <v>13</v>
      </c>
      <c r="I29" s="3" t="s">
        <v>13</v>
      </c>
      <c r="J29" s="3" t="s">
        <v>9</v>
      </c>
      <c r="K29" s="3" t="s">
        <v>13</v>
      </c>
      <c r="L29" s="3" t="s">
        <v>13</v>
      </c>
      <c r="M29" s="3" t="s">
        <v>115</v>
      </c>
      <c r="N29" s="3" t="s">
        <v>13</v>
      </c>
      <c r="O29" s="3" t="s">
        <v>13</v>
      </c>
      <c r="P29" s="3" t="s">
        <v>13</v>
      </c>
      <c r="Q29" s="3"/>
      <c r="R29" s="3"/>
      <c r="T29" s="17"/>
    </row>
    <row r="30" spans="1:29" ht="18.600000000000001" customHeight="1">
      <c r="A30" s="15" t="s">
        <v>1</v>
      </c>
      <c r="B30" s="3" t="s">
        <v>213</v>
      </c>
      <c r="C30" s="3" t="s">
        <v>13</v>
      </c>
      <c r="D30" s="3"/>
      <c r="E30" s="3"/>
      <c r="F30" s="3" t="s">
        <v>166</v>
      </c>
      <c r="G30" s="3" t="s">
        <v>13</v>
      </c>
      <c r="H30" s="3" t="s">
        <v>13</v>
      </c>
      <c r="I30" s="3" t="s">
        <v>13</v>
      </c>
      <c r="J30" s="3" t="s">
        <v>13</v>
      </c>
      <c r="K30" s="3"/>
      <c r="L30" s="3"/>
      <c r="M30" s="3" t="s">
        <v>213</v>
      </c>
      <c r="N30" s="3" t="s">
        <v>13</v>
      </c>
      <c r="O30" s="3" t="s">
        <v>13</v>
      </c>
      <c r="P30" s="3" t="s">
        <v>13</v>
      </c>
      <c r="Q30" s="3"/>
      <c r="R30" s="3"/>
    </row>
    <row r="31" spans="1:29" ht="12.75" customHeight="1">
      <c r="Q31" s="145" t="s">
        <v>82</v>
      </c>
      <c r="R31" s="145"/>
      <c r="T31" s="17"/>
    </row>
    <row r="32" spans="1:29">
      <c r="A32" s="1" t="s">
        <v>322</v>
      </c>
      <c r="T32" s="17"/>
    </row>
    <row r="33" spans="2:20">
      <c r="B33" s="1" t="s">
        <v>26</v>
      </c>
      <c r="C33" s="34">
        <v>43456</v>
      </c>
      <c r="D33" s="34">
        <v>43457</v>
      </c>
      <c r="E33" s="34">
        <v>43463</v>
      </c>
      <c r="F33" s="34">
        <v>43464</v>
      </c>
      <c r="G33" s="34">
        <v>43465</v>
      </c>
      <c r="H33" s="34">
        <v>43105</v>
      </c>
      <c r="I33" s="34">
        <v>43106</v>
      </c>
      <c r="J33" s="34" t="s">
        <v>319</v>
      </c>
      <c r="K33" s="34"/>
      <c r="L33" s="34"/>
      <c r="M33" s="34"/>
      <c r="N33" s="34"/>
      <c r="O33" s="34"/>
      <c r="P33" s="34"/>
      <c r="Q33" s="34"/>
      <c r="R33" s="34"/>
      <c r="T33" s="17"/>
    </row>
    <row r="34" spans="2:20">
      <c r="B34" s="1" t="s">
        <v>17</v>
      </c>
      <c r="C34" s="34">
        <v>43463</v>
      </c>
      <c r="D34" s="34">
        <v>43464</v>
      </c>
      <c r="E34" s="34">
        <v>43465</v>
      </c>
      <c r="F34" s="34"/>
      <c r="G34" s="34"/>
      <c r="H34" s="34"/>
      <c r="I34" s="34"/>
      <c r="J34" s="34"/>
      <c r="K34" s="34"/>
      <c r="L34" s="34"/>
      <c r="M34" s="34"/>
      <c r="N34" s="34"/>
      <c r="O34" s="34"/>
      <c r="P34" s="34"/>
      <c r="Q34" s="34"/>
      <c r="R34" s="34"/>
      <c r="T34" s="17"/>
    </row>
    <row r="35" spans="2:20">
      <c r="B35" s="1" t="s">
        <v>2</v>
      </c>
      <c r="C35" s="34">
        <v>43464</v>
      </c>
      <c r="D35" s="34"/>
      <c r="E35" s="34"/>
      <c r="F35" s="34"/>
      <c r="G35" s="34"/>
      <c r="H35" s="34"/>
      <c r="I35" s="34"/>
      <c r="J35" s="34"/>
      <c r="K35" s="34"/>
      <c r="L35" s="34"/>
      <c r="M35" s="34"/>
      <c r="N35" s="34"/>
      <c r="O35" s="34"/>
      <c r="P35" s="34"/>
      <c r="Q35" s="34"/>
      <c r="R35" s="34"/>
      <c r="T35" s="17"/>
    </row>
    <row r="36" spans="2:20">
      <c r="B36" s="1" t="s">
        <v>281</v>
      </c>
      <c r="C36" s="34">
        <v>43465</v>
      </c>
      <c r="D36" s="34"/>
      <c r="E36" s="34"/>
      <c r="F36" s="34"/>
      <c r="G36" s="34"/>
      <c r="H36" s="34"/>
      <c r="I36" s="34"/>
      <c r="J36" s="34"/>
      <c r="K36" s="34"/>
      <c r="L36" s="34"/>
      <c r="M36" s="34"/>
      <c r="N36" s="34"/>
      <c r="O36" s="34"/>
      <c r="P36" s="34"/>
      <c r="Q36" s="34"/>
      <c r="R36" s="34"/>
    </row>
    <row r="37" spans="2:20">
      <c r="B37" s="1" t="s">
        <v>282</v>
      </c>
      <c r="C37" s="34">
        <v>43465</v>
      </c>
      <c r="D37" s="34">
        <v>43105</v>
      </c>
      <c r="E37" s="34">
        <v>43106</v>
      </c>
      <c r="F37" s="34"/>
      <c r="G37" s="34"/>
      <c r="H37" s="34"/>
      <c r="I37" s="34"/>
      <c r="J37" s="34"/>
      <c r="K37" s="34"/>
      <c r="L37" s="34"/>
      <c r="M37" s="34"/>
      <c r="N37" s="34"/>
      <c r="O37" s="34"/>
      <c r="P37" s="34"/>
      <c r="Q37" s="34"/>
      <c r="R37" s="34"/>
      <c r="T37" s="17"/>
    </row>
    <row r="38" spans="2:20">
      <c r="B38" s="1" t="s">
        <v>284</v>
      </c>
      <c r="C38" s="34">
        <v>43464</v>
      </c>
      <c r="D38" s="34">
        <v>43465</v>
      </c>
      <c r="E38" s="34"/>
      <c r="F38" s="34"/>
      <c r="G38" s="34"/>
      <c r="H38" s="34"/>
      <c r="I38" s="34"/>
      <c r="J38" s="34"/>
      <c r="K38" s="34"/>
      <c r="L38" s="34"/>
      <c r="M38" s="34"/>
      <c r="N38" s="34"/>
      <c r="O38" s="34"/>
      <c r="P38" s="34"/>
      <c r="Q38" s="34"/>
      <c r="R38" s="34"/>
      <c r="T38" s="17"/>
    </row>
    <row r="39" spans="2:20">
      <c r="B39" s="1" t="s">
        <v>283</v>
      </c>
      <c r="C39" s="34">
        <v>43457</v>
      </c>
      <c r="D39" s="34">
        <v>43464</v>
      </c>
      <c r="E39" s="34">
        <v>43465</v>
      </c>
      <c r="F39" s="34">
        <v>43140</v>
      </c>
      <c r="G39" s="34">
        <v>43141</v>
      </c>
      <c r="H39" s="34"/>
      <c r="I39" s="34"/>
      <c r="J39" s="34"/>
      <c r="K39" s="34"/>
      <c r="L39" s="34"/>
      <c r="M39" s="34"/>
      <c r="N39" s="34"/>
      <c r="O39" s="34"/>
      <c r="P39" s="34"/>
      <c r="Q39" s="34"/>
      <c r="R39" s="34"/>
      <c r="T39" s="17"/>
    </row>
    <row r="40" spans="2:20">
      <c r="B40" s="1" t="s">
        <v>285</v>
      </c>
      <c r="C40" s="34">
        <v>43126</v>
      </c>
      <c r="D40" s="34">
        <v>43127</v>
      </c>
      <c r="E40" s="34"/>
      <c r="F40" s="34"/>
      <c r="G40" s="34"/>
      <c r="H40" s="34"/>
      <c r="I40" s="34"/>
      <c r="J40" s="34"/>
      <c r="K40" s="34"/>
      <c r="L40" s="34"/>
      <c r="M40" s="34"/>
      <c r="N40" s="34"/>
      <c r="O40" s="34"/>
      <c r="P40" s="34"/>
      <c r="Q40" s="34"/>
      <c r="R40" s="34"/>
      <c r="T40" s="17"/>
    </row>
    <row r="41" spans="2:20">
      <c r="B41" s="1" t="s">
        <v>286</v>
      </c>
      <c r="C41" s="34">
        <v>43463</v>
      </c>
      <c r="D41" s="34">
        <v>43464</v>
      </c>
      <c r="E41" s="34">
        <v>43465</v>
      </c>
      <c r="F41" s="34"/>
      <c r="G41" s="34"/>
      <c r="H41" s="34"/>
      <c r="I41" s="34"/>
      <c r="J41" s="34"/>
      <c r="K41" s="34"/>
      <c r="L41" s="34"/>
      <c r="M41" s="34"/>
      <c r="N41" s="34"/>
      <c r="O41" s="34"/>
      <c r="P41" s="34"/>
      <c r="Q41" s="34"/>
      <c r="R41" s="34"/>
    </row>
    <row r="42" spans="2:20">
      <c r="B42" s="1" t="s">
        <v>318</v>
      </c>
      <c r="C42" s="34">
        <v>43456</v>
      </c>
      <c r="D42" s="34"/>
      <c r="E42" s="34"/>
      <c r="F42" s="34"/>
      <c r="G42" s="34"/>
      <c r="H42" s="34"/>
      <c r="I42" s="34"/>
      <c r="J42" s="34"/>
      <c r="K42" s="34"/>
      <c r="L42" s="34"/>
      <c r="M42" s="34"/>
      <c r="N42" s="34"/>
      <c r="O42" s="34"/>
      <c r="P42" s="34"/>
      <c r="Q42" s="34"/>
      <c r="R42" s="34"/>
      <c r="T42" s="17"/>
    </row>
    <row r="43" spans="2:20">
      <c r="C43" s="34"/>
      <c r="D43" s="34"/>
      <c r="E43" s="34"/>
      <c r="F43" s="34"/>
      <c r="G43" s="34"/>
      <c r="H43" s="34"/>
      <c r="I43" s="34"/>
      <c r="J43" s="34"/>
      <c r="K43" s="34"/>
      <c r="L43" s="34"/>
      <c r="M43" s="34"/>
      <c r="N43" s="34"/>
      <c r="O43" s="34"/>
      <c r="P43" s="34"/>
      <c r="Q43" s="34"/>
      <c r="R43" s="34"/>
      <c r="T43" s="17"/>
    </row>
    <row r="44" spans="2:20">
      <c r="C44" s="34"/>
      <c r="D44" s="34"/>
      <c r="E44" s="34"/>
      <c r="F44" s="34"/>
      <c r="G44" s="34"/>
      <c r="H44" s="34"/>
      <c r="I44" s="34"/>
      <c r="J44" s="34"/>
      <c r="K44" s="34"/>
      <c r="L44" s="34"/>
      <c r="M44" s="34"/>
      <c r="N44" s="34"/>
      <c r="O44" s="34"/>
      <c r="P44" s="34"/>
      <c r="Q44" s="34"/>
      <c r="R44" s="34"/>
      <c r="T44" s="17"/>
    </row>
    <row r="45" spans="2:20">
      <c r="C45" s="34"/>
      <c r="D45" s="34"/>
      <c r="E45" s="34"/>
      <c r="F45" s="34"/>
      <c r="G45" s="34"/>
      <c r="H45" s="34"/>
      <c r="I45" s="34"/>
      <c r="J45" s="34"/>
      <c r="K45" s="34"/>
      <c r="L45" s="34"/>
      <c r="M45" s="34"/>
      <c r="N45" s="34"/>
      <c r="O45" s="34"/>
      <c r="P45" s="34"/>
      <c r="Q45" s="34"/>
      <c r="R45" s="34"/>
    </row>
    <row r="46" spans="2:20">
      <c r="C46" s="34"/>
      <c r="D46" s="34"/>
      <c r="E46" s="34"/>
      <c r="F46" s="34"/>
      <c r="G46" s="34"/>
      <c r="H46" s="34"/>
      <c r="I46" s="34"/>
      <c r="J46" s="34"/>
      <c r="K46" s="34"/>
      <c r="L46" s="34"/>
      <c r="M46" s="34"/>
      <c r="N46" s="34"/>
      <c r="O46" s="34"/>
      <c r="P46" s="34"/>
      <c r="Q46" s="34"/>
      <c r="R46" s="34"/>
    </row>
    <row r="47" spans="2:20">
      <c r="C47" s="34"/>
      <c r="D47" s="34"/>
      <c r="E47" s="34"/>
      <c r="F47" s="34"/>
      <c r="G47" s="34"/>
      <c r="H47" s="34"/>
      <c r="I47" s="34"/>
      <c r="J47" s="34"/>
      <c r="K47" s="34"/>
      <c r="L47" s="34"/>
      <c r="M47" s="34"/>
      <c r="N47" s="34"/>
      <c r="O47" s="34"/>
      <c r="P47" s="34"/>
      <c r="Q47" s="34"/>
      <c r="R47" s="34"/>
    </row>
  </sheetData>
  <mergeCells count="2">
    <mergeCell ref="A1:R1"/>
    <mergeCell ref="Q31:R31"/>
  </mergeCells>
  <phoneticPr fontId="2"/>
  <pageMargins left="0.70866141732283472" right="0.70866141732283472" top="0" bottom="0.19685039370078741" header="0.31496062992125984" footer="0.31496062992125984"/>
  <pageSetup paperSize="9" orientation="landscape" r:id="rId1"/>
  <drawing r:id="rId2"/>
  <legacyDrawing r:id="rId3"/>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C48"/>
  <sheetViews>
    <sheetView topLeftCell="A7" zoomScale="85" zoomScaleNormal="85" workbookViewId="0">
      <selection activeCell="O30" sqref="O30"/>
    </sheetView>
  </sheetViews>
  <sheetFormatPr defaultColWidth="9" defaultRowHeight="18.75"/>
  <cols>
    <col min="1" max="18" width="6.625" style="1" customWidth="1"/>
    <col min="19" max="19" width="3.625" style="1" customWidth="1"/>
    <col min="20" max="20" width="6.625" style="1" customWidth="1"/>
    <col min="21" max="21" width="3.625" style="1" customWidth="1"/>
    <col min="22" max="37" width="6.625" style="1" customWidth="1"/>
    <col min="38" max="38" width="3.625" style="1" customWidth="1"/>
    <col min="39" max="16384" width="9" style="1"/>
  </cols>
  <sheetData>
    <row r="1" spans="1:29">
      <c r="A1" s="156" t="s">
        <v>246</v>
      </c>
      <c r="B1" s="156"/>
      <c r="C1" s="156"/>
      <c r="D1" s="156"/>
      <c r="E1" s="156"/>
      <c r="F1" s="156"/>
      <c r="G1" s="156"/>
      <c r="H1" s="156"/>
      <c r="I1" s="156"/>
      <c r="J1" s="156"/>
      <c r="K1" s="156"/>
      <c r="L1" s="156"/>
      <c r="M1" s="156"/>
      <c r="N1" s="156"/>
      <c r="O1" s="156"/>
      <c r="P1" s="156"/>
      <c r="Q1" s="156"/>
      <c r="R1" s="156"/>
      <c r="X1" s="1" t="s">
        <v>80</v>
      </c>
    </row>
    <row r="2" spans="1:29" ht="18.600000000000001" customHeight="1">
      <c r="A2" s="22" t="s">
        <v>218</v>
      </c>
      <c r="B2" s="31">
        <v>43394</v>
      </c>
      <c r="C2" s="16">
        <v>43395</v>
      </c>
      <c r="D2" s="16">
        <v>43396</v>
      </c>
      <c r="E2" s="16">
        <v>43397</v>
      </c>
      <c r="F2" s="16">
        <v>43398</v>
      </c>
      <c r="G2" s="16">
        <v>43399</v>
      </c>
      <c r="H2" s="31">
        <v>43400</v>
      </c>
      <c r="I2" s="31">
        <v>43401</v>
      </c>
      <c r="J2" s="16">
        <v>43402</v>
      </c>
      <c r="K2" s="16">
        <v>43403</v>
      </c>
      <c r="L2" s="16">
        <v>43404</v>
      </c>
      <c r="M2" s="23" t="s">
        <v>243</v>
      </c>
      <c r="N2" s="11">
        <v>43405</v>
      </c>
      <c r="O2" s="11">
        <v>43406</v>
      </c>
      <c r="P2" s="30">
        <v>43407</v>
      </c>
      <c r="Q2" s="30">
        <v>43408</v>
      </c>
      <c r="R2" s="11">
        <v>43409</v>
      </c>
      <c r="V2" s="1" t="s">
        <v>63</v>
      </c>
      <c r="X2" s="1" t="s">
        <v>64</v>
      </c>
      <c r="Z2" s="1" t="s">
        <v>65</v>
      </c>
      <c r="AB2" s="1" t="s">
        <v>169</v>
      </c>
    </row>
    <row r="3" spans="1:29" ht="18.600000000000001" customHeight="1">
      <c r="A3" s="15">
        <v>1</v>
      </c>
      <c r="B3" s="3" t="s">
        <v>256</v>
      </c>
      <c r="C3" s="3"/>
      <c r="D3" s="3"/>
      <c r="E3" s="3"/>
      <c r="F3" s="3"/>
      <c r="G3" s="3"/>
      <c r="H3" s="3" t="s">
        <v>257</v>
      </c>
      <c r="I3" s="3" t="s">
        <v>260</v>
      </c>
      <c r="J3" s="3"/>
      <c r="K3" s="3"/>
      <c r="L3" s="3"/>
      <c r="M3" s="13"/>
      <c r="N3" s="3"/>
      <c r="O3" s="3"/>
      <c r="P3" s="3" t="s">
        <v>258</v>
      </c>
      <c r="Q3" s="3" t="s">
        <v>259</v>
      </c>
      <c r="R3" s="3"/>
      <c r="V3" s="1" t="s">
        <v>47</v>
      </c>
      <c r="W3" s="1">
        <v>2</v>
      </c>
      <c r="X3" s="1" t="s">
        <v>45</v>
      </c>
      <c r="Y3" s="1">
        <v>2</v>
      </c>
      <c r="Z3" s="1" t="s">
        <v>34</v>
      </c>
      <c r="AA3" s="1">
        <v>2</v>
      </c>
      <c r="AB3" s="1" t="s">
        <v>16</v>
      </c>
      <c r="AC3" s="1">
        <v>1</v>
      </c>
    </row>
    <row r="4" spans="1:29" ht="18.600000000000001" customHeight="1">
      <c r="A4" s="15">
        <v>2</v>
      </c>
      <c r="B4" s="3" t="s">
        <v>255</v>
      </c>
      <c r="C4" s="3"/>
      <c r="D4" s="3"/>
      <c r="E4" s="3"/>
      <c r="F4" s="3"/>
      <c r="G4" s="3"/>
      <c r="H4" s="3" t="s">
        <v>263</v>
      </c>
      <c r="I4" s="3" t="s">
        <v>267</v>
      </c>
      <c r="J4" s="3"/>
      <c r="K4" s="3"/>
      <c r="L4" s="3"/>
      <c r="M4" s="13"/>
      <c r="N4" s="3"/>
      <c r="O4" s="3"/>
      <c r="P4" s="3" t="s">
        <v>46</v>
      </c>
      <c r="Q4" s="3" t="s">
        <v>152</v>
      </c>
      <c r="R4" s="3"/>
      <c r="T4" s="17"/>
      <c r="U4" s="17"/>
      <c r="V4" s="1" t="s">
        <v>2</v>
      </c>
      <c r="W4" s="1">
        <v>3</v>
      </c>
      <c r="X4" s="1" t="s">
        <v>46</v>
      </c>
      <c r="Y4" s="1">
        <v>2</v>
      </c>
      <c r="Z4" s="1" t="s">
        <v>35</v>
      </c>
      <c r="AA4" s="1">
        <v>2</v>
      </c>
      <c r="AB4" s="1" t="s">
        <v>153</v>
      </c>
      <c r="AC4" s="1">
        <v>1</v>
      </c>
    </row>
    <row r="5" spans="1:29" ht="18.600000000000001" customHeight="1">
      <c r="A5" s="15">
        <v>3</v>
      </c>
      <c r="B5" s="3" t="s">
        <v>249</v>
      </c>
      <c r="C5" s="3"/>
      <c r="D5" s="3"/>
      <c r="E5" s="3"/>
      <c r="F5" s="3"/>
      <c r="G5" s="3"/>
      <c r="H5" s="3" t="s">
        <v>250</v>
      </c>
      <c r="I5" s="3" t="s">
        <v>251</v>
      </c>
      <c r="J5" s="3"/>
      <c r="K5" s="3"/>
      <c r="L5" s="3"/>
      <c r="M5" s="13"/>
      <c r="N5" s="3"/>
      <c r="O5" s="3"/>
      <c r="P5" s="32" t="s">
        <v>247</v>
      </c>
      <c r="Q5" s="3" t="s">
        <v>38</v>
      </c>
      <c r="R5" s="3"/>
      <c r="T5" s="17"/>
      <c r="U5" s="17"/>
      <c r="V5" s="1" t="s">
        <v>14</v>
      </c>
      <c r="W5" s="1">
        <v>2</v>
      </c>
      <c r="X5" s="1" t="s">
        <v>6</v>
      </c>
      <c r="Y5" s="1">
        <v>2</v>
      </c>
      <c r="Z5" s="1" t="s">
        <v>8</v>
      </c>
      <c r="AA5" s="1">
        <v>2</v>
      </c>
      <c r="AB5" s="1" t="s">
        <v>6</v>
      </c>
      <c r="AC5" s="1">
        <v>1</v>
      </c>
    </row>
    <row r="6" spans="1:29" ht="18.600000000000001" customHeight="1">
      <c r="A6" s="15" t="s">
        <v>20</v>
      </c>
      <c r="B6" s="3" t="s">
        <v>26</v>
      </c>
      <c r="C6" s="3" t="s">
        <v>16</v>
      </c>
      <c r="D6" s="3" t="s">
        <v>13</v>
      </c>
      <c r="E6" s="3" t="s">
        <v>13</v>
      </c>
      <c r="F6" s="3" t="s">
        <v>13</v>
      </c>
      <c r="G6" s="3" t="s">
        <v>13</v>
      </c>
      <c r="H6" s="3" t="s">
        <v>13</v>
      </c>
      <c r="I6" s="3" t="s">
        <v>13</v>
      </c>
      <c r="J6" s="3" t="s">
        <v>153</v>
      </c>
      <c r="K6" s="3" t="s">
        <v>13</v>
      </c>
      <c r="L6" s="3" t="s">
        <v>13</v>
      </c>
      <c r="M6" s="13"/>
      <c r="N6" s="3" t="s">
        <v>153</v>
      </c>
      <c r="O6" s="3" t="s">
        <v>13</v>
      </c>
      <c r="P6" s="3" t="s">
        <v>13</v>
      </c>
      <c r="Q6" s="3" t="s">
        <v>13</v>
      </c>
      <c r="R6" s="3" t="s">
        <v>6</v>
      </c>
      <c r="T6" s="17"/>
      <c r="U6" s="17"/>
      <c r="V6" s="1" t="s">
        <v>7</v>
      </c>
      <c r="W6" s="1">
        <v>2</v>
      </c>
      <c r="X6" s="1" t="s">
        <v>25</v>
      </c>
      <c r="Y6" s="1">
        <v>2</v>
      </c>
      <c r="Z6" s="1" t="s">
        <v>17</v>
      </c>
      <c r="AA6" s="1">
        <v>3</v>
      </c>
      <c r="AB6" s="1" t="s">
        <v>28</v>
      </c>
      <c r="AC6" s="1">
        <v>1</v>
      </c>
    </row>
    <row r="7" spans="1:29" ht="18.600000000000001" customHeight="1">
      <c r="A7" s="15" t="s">
        <v>0</v>
      </c>
      <c r="B7" s="3" t="s">
        <v>114</v>
      </c>
      <c r="C7" s="3" t="s">
        <v>115</v>
      </c>
      <c r="D7" s="3" t="s">
        <v>13</v>
      </c>
      <c r="E7" s="3" t="s">
        <v>13</v>
      </c>
      <c r="F7" s="3" t="s">
        <v>9</v>
      </c>
      <c r="G7" s="3" t="s">
        <v>13</v>
      </c>
      <c r="H7" s="3" t="s">
        <v>13</v>
      </c>
      <c r="I7" s="3" t="s">
        <v>114</v>
      </c>
      <c r="J7" s="3" t="s">
        <v>115</v>
      </c>
      <c r="K7" s="3" t="s">
        <v>13</v>
      </c>
      <c r="L7" s="3" t="s">
        <v>13</v>
      </c>
      <c r="M7" s="13"/>
      <c r="N7" s="3" t="s">
        <v>9</v>
      </c>
      <c r="O7" s="3" t="s">
        <v>13</v>
      </c>
      <c r="P7" s="3" t="s">
        <v>13</v>
      </c>
      <c r="Q7" s="3" t="s">
        <v>114</v>
      </c>
      <c r="R7" s="3" t="s">
        <v>115</v>
      </c>
      <c r="T7" s="17"/>
      <c r="U7" s="17"/>
      <c r="V7" s="1" t="s">
        <v>21</v>
      </c>
      <c r="W7" s="1">
        <v>2</v>
      </c>
      <c r="X7" s="1" t="s">
        <v>23</v>
      </c>
      <c r="Y7" s="1">
        <v>2</v>
      </c>
      <c r="Z7" s="1" t="s">
        <v>38</v>
      </c>
      <c r="AA7" s="1">
        <v>3</v>
      </c>
      <c r="AB7" s="1" t="s">
        <v>152</v>
      </c>
      <c r="AC7" s="1">
        <v>1</v>
      </c>
    </row>
    <row r="8" spans="1:29" ht="18.600000000000001" customHeight="1">
      <c r="A8" s="15" t="s">
        <v>1</v>
      </c>
      <c r="B8" s="3" t="s">
        <v>166</v>
      </c>
      <c r="C8" s="3" t="s">
        <v>13</v>
      </c>
      <c r="D8" s="3" t="s">
        <v>13</v>
      </c>
      <c r="E8" s="3" t="s">
        <v>13</v>
      </c>
      <c r="F8" s="3" t="s">
        <v>13</v>
      </c>
      <c r="G8" s="3"/>
      <c r="H8" s="3"/>
      <c r="I8" s="3" t="s">
        <v>213</v>
      </c>
      <c r="J8" s="3" t="s">
        <v>13</v>
      </c>
      <c r="K8" s="3" t="s">
        <v>13</v>
      </c>
      <c r="L8" s="3" t="s">
        <v>13</v>
      </c>
      <c r="M8" s="13"/>
      <c r="N8" s="3" t="s">
        <v>213</v>
      </c>
      <c r="O8" s="3"/>
      <c r="P8" s="3"/>
      <c r="Q8" s="3" t="s">
        <v>166</v>
      </c>
      <c r="R8" s="3" t="s">
        <v>13</v>
      </c>
      <c r="T8" s="17"/>
      <c r="V8" s="1" t="s">
        <v>26</v>
      </c>
      <c r="W8" s="1">
        <v>2</v>
      </c>
      <c r="X8" s="1" t="s">
        <v>16</v>
      </c>
      <c r="Y8" s="1">
        <v>2</v>
      </c>
      <c r="Z8" s="1" t="s">
        <v>36</v>
      </c>
      <c r="AA8" s="1">
        <v>2</v>
      </c>
      <c r="AB8" s="1" t="s">
        <v>23</v>
      </c>
      <c r="AC8" s="1">
        <v>1</v>
      </c>
    </row>
    <row r="9" spans="1:29" ht="18.600000000000001" customHeight="1">
      <c r="A9" s="24" t="s">
        <v>243</v>
      </c>
      <c r="B9" s="11">
        <v>43410</v>
      </c>
      <c r="C9" s="11">
        <v>43411</v>
      </c>
      <c r="D9" s="11">
        <v>43412</v>
      </c>
      <c r="E9" s="11">
        <v>43413</v>
      </c>
      <c r="F9" s="30">
        <v>43414</v>
      </c>
      <c r="G9" s="30">
        <v>43415</v>
      </c>
      <c r="H9" s="11">
        <v>43416</v>
      </c>
      <c r="I9" s="11">
        <v>43417</v>
      </c>
      <c r="J9" s="11">
        <v>43418</v>
      </c>
      <c r="K9" s="11">
        <v>43419</v>
      </c>
      <c r="L9" s="11">
        <v>43420</v>
      </c>
      <c r="M9" s="30">
        <v>43421</v>
      </c>
      <c r="N9" s="30">
        <v>43422</v>
      </c>
      <c r="O9" s="11">
        <v>43423</v>
      </c>
      <c r="P9" s="11">
        <v>43424</v>
      </c>
      <c r="Q9" s="18"/>
      <c r="R9" s="3"/>
      <c r="T9" s="17"/>
      <c r="V9" s="1" t="s">
        <v>28</v>
      </c>
      <c r="W9" s="1">
        <v>2</v>
      </c>
      <c r="X9" s="1" t="s">
        <v>152</v>
      </c>
      <c r="Y9" s="1">
        <v>2</v>
      </c>
      <c r="Z9" s="1" t="s">
        <v>37</v>
      </c>
      <c r="AA9" s="1">
        <v>3</v>
      </c>
      <c r="AB9" s="1" t="s">
        <v>112</v>
      </c>
      <c r="AC9" s="1">
        <v>1</v>
      </c>
    </row>
    <row r="10" spans="1:29" ht="18.600000000000001" customHeight="1">
      <c r="A10" s="13">
        <v>1</v>
      </c>
      <c r="B10" s="3"/>
      <c r="C10" s="3"/>
      <c r="D10" s="3"/>
      <c r="E10" s="3"/>
      <c r="F10" s="3" t="s">
        <v>261</v>
      </c>
      <c r="G10" s="3" t="s">
        <v>264</v>
      </c>
      <c r="H10" s="3"/>
      <c r="I10" s="3"/>
      <c r="J10" s="3"/>
      <c r="K10" s="3"/>
      <c r="L10" s="3"/>
      <c r="M10" s="3" t="s">
        <v>256</v>
      </c>
      <c r="N10" s="3" t="s">
        <v>7</v>
      </c>
      <c r="O10" s="3"/>
      <c r="P10" s="3"/>
      <c r="Q10" s="3"/>
      <c r="R10" s="3"/>
      <c r="T10" s="17"/>
      <c r="V10" s="1" t="s">
        <v>27</v>
      </c>
      <c r="W10" s="1">
        <v>2</v>
      </c>
      <c r="X10" s="1" t="s">
        <v>153</v>
      </c>
      <c r="Y10" s="1">
        <v>2</v>
      </c>
      <c r="Z10" s="1" t="s">
        <v>112</v>
      </c>
      <c r="AB10" s="1" t="s">
        <v>25</v>
      </c>
      <c r="AC10" s="1">
        <v>1</v>
      </c>
    </row>
    <row r="11" spans="1:29" ht="18.600000000000001" customHeight="1">
      <c r="A11" s="13">
        <v>2</v>
      </c>
      <c r="B11" s="3"/>
      <c r="C11" s="3"/>
      <c r="D11" s="3"/>
      <c r="E11" s="3"/>
      <c r="F11" s="3" t="s">
        <v>255</v>
      </c>
      <c r="G11" s="3" t="s">
        <v>16</v>
      </c>
      <c r="H11" s="3"/>
      <c r="I11" s="3"/>
      <c r="J11" s="3"/>
      <c r="K11" s="3"/>
      <c r="L11" s="3"/>
      <c r="M11" s="3" t="s">
        <v>269</v>
      </c>
      <c r="N11" s="3" t="s">
        <v>268</v>
      </c>
      <c r="O11" s="3"/>
      <c r="P11" s="3"/>
      <c r="Q11" s="3"/>
      <c r="R11" s="3"/>
      <c r="T11" s="17"/>
      <c r="X11" s="1" t="s">
        <v>112</v>
      </c>
      <c r="Y11" s="1">
        <v>1</v>
      </c>
      <c r="Z11" s="1" t="s">
        <v>16</v>
      </c>
      <c r="AB11" s="1" t="s">
        <v>26</v>
      </c>
      <c r="AC11" s="1">
        <v>1</v>
      </c>
    </row>
    <row r="12" spans="1:29" ht="18.600000000000001" customHeight="1">
      <c r="A12" s="13">
        <v>3</v>
      </c>
      <c r="B12" s="18"/>
      <c r="C12" s="3"/>
      <c r="D12" s="3"/>
      <c r="E12" s="3"/>
      <c r="F12" s="3" t="s">
        <v>252</v>
      </c>
      <c r="G12" s="3" t="s">
        <v>37</v>
      </c>
      <c r="H12" s="3"/>
      <c r="I12" s="3"/>
      <c r="J12" s="3"/>
      <c r="K12" s="3"/>
      <c r="L12" s="3"/>
      <c r="M12" s="3" t="s">
        <v>249</v>
      </c>
      <c r="N12" s="3" t="s">
        <v>254</v>
      </c>
      <c r="O12" s="3"/>
      <c r="P12" s="3"/>
      <c r="Q12" s="3"/>
      <c r="R12" s="3"/>
      <c r="T12" s="17"/>
      <c r="Z12" s="1" t="s">
        <v>10</v>
      </c>
    </row>
    <row r="13" spans="1:29" ht="18.600000000000001" customHeight="1">
      <c r="A13" s="13" t="s">
        <v>20</v>
      </c>
      <c r="B13" s="3" t="s">
        <v>6</v>
      </c>
      <c r="C13" s="3" t="s">
        <v>13</v>
      </c>
      <c r="D13" s="3" t="s">
        <v>13</v>
      </c>
      <c r="E13" s="3" t="s">
        <v>13</v>
      </c>
      <c r="F13" s="3" t="s">
        <v>13</v>
      </c>
      <c r="G13" s="3" t="s">
        <v>13</v>
      </c>
      <c r="H13" s="3" t="s">
        <v>28</v>
      </c>
      <c r="I13" s="3" t="s">
        <v>13</v>
      </c>
      <c r="J13" s="3" t="s">
        <v>13</v>
      </c>
      <c r="K13" s="3" t="s">
        <v>13</v>
      </c>
      <c r="L13" s="3" t="s">
        <v>13</v>
      </c>
      <c r="M13" s="3" t="s">
        <v>13</v>
      </c>
      <c r="N13" s="3" t="s">
        <v>13</v>
      </c>
      <c r="O13" s="3" t="s">
        <v>242</v>
      </c>
      <c r="P13" s="3" t="s">
        <v>13</v>
      </c>
      <c r="Q13" s="3"/>
      <c r="R13" s="3"/>
      <c r="T13" s="17"/>
      <c r="V13" s="1" t="s">
        <v>237</v>
      </c>
      <c r="W13" s="1">
        <f>SUM(W3:W12)</f>
        <v>17</v>
      </c>
      <c r="Y13" s="1">
        <f>SUM(Y3:Y12)</f>
        <v>17</v>
      </c>
      <c r="AA13" s="1">
        <f>SUM(AA3:AA12)</f>
        <v>17</v>
      </c>
    </row>
    <row r="14" spans="1:29" ht="18.600000000000001" customHeight="1">
      <c r="A14" s="13" t="s">
        <v>0</v>
      </c>
      <c r="B14" s="3" t="s">
        <v>115</v>
      </c>
      <c r="C14" s="3" t="s">
        <v>13</v>
      </c>
      <c r="D14" s="3" t="s">
        <v>9</v>
      </c>
      <c r="E14" s="3" t="s">
        <v>13</v>
      </c>
      <c r="F14" s="3" t="s">
        <v>13</v>
      </c>
      <c r="G14" s="3" t="s">
        <v>114</v>
      </c>
      <c r="H14" s="3" t="s">
        <v>115</v>
      </c>
      <c r="I14" s="3" t="s">
        <v>13</v>
      </c>
      <c r="J14" s="3" t="s">
        <v>13</v>
      </c>
      <c r="K14" s="3"/>
      <c r="L14" s="3" t="s">
        <v>249</v>
      </c>
      <c r="M14" s="3" t="s">
        <v>13</v>
      </c>
      <c r="N14" s="3" t="s">
        <v>275</v>
      </c>
      <c r="O14" s="3" t="s">
        <v>13</v>
      </c>
      <c r="P14" s="3" t="s">
        <v>13</v>
      </c>
      <c r="Q14" s="3"/>
      <c r="R14" s="3"/>
      <c r="T14" s="17"/>
    </row>
    <row r="15" spans="1:29" ht="18.600000000000001" customHeight="1">
      <c r="A15" s="13" t="s">
        <v>1</v>
      </c>
      <c r="B15" s="3" t="s">
        <v>245</v>
      </c>
      <c r="C15" s="3" t="s">
        <v>13</v>
      </c>
      <c r="D15" s="3" t="s">
        <v>13</v>
      </c>
      <c r="E15" s="3"/>
      <c r="F15" s="3"/>
      <c r="G15" s="3" t="s">
        <v>213</v>
      </c>
      <c r="H15" s="3" t="s">
        <v>13</v>
      </c>
      <c r="I15" s="3" t="s">
        <v>13</v>
      </c>
      <c r="J15" s="3" t="s">
        <v>13</v>
      </c>
      <c r="K15" s="3" t="s">
        <v>13</v>
      </c>
      <c r="L15" s="3"/>
      <c r="M15" s="3"/>
      <c r="N15" s="3" t="s">
        <v>273</v>
      </c>
      <c r="O15" s="3" t="s">
        <v>272</v>
      </c>
      <c r="P15" s="3" t="s">
        <v>272</v>
      </c>
      <c r="Q15" s="3"/>
      <c r="R15" s="3"/>
      <c r="T15" s="17"/>
    </row>
    <row r="16" spans="1:29" ht="18.600000000000001" customHeight="1">
      <c r="A16" s="20" t="s">
        <v>274</v>
      </c>
      <c r="B16" s="4"/>
      <c r="C16" s="4"/>
      <c r="D16" s="4"/>
      <c r="E16" s="4"/>
      <c r="F16" s="4"/>
      <c r="G16" s="33" t="s">
        <v>277</v>
      </c>
      <c r="I16" s="21"/>
      <c r="J16" s="21"/>
      <c r="L16" s="21"/>
      <c r="M16" s="21"/>
      <c r="O16" s="21"/>
      <c r="P16" s="4"/>
      <c r="Q16" s="4"/>
      <c r="R16" s="5"/>
      <c r="T16" s="17"/>
      <c r="X16" s="1" t="s">
        <v>78</v>
      </c>
    </row>
    <row r="17" spans="1:29" ht="18.600000000000001" customHeight="1">
      <c r="A17" s="24" t="s">
        <v>243</v>
      </c>
      <c r="B17" s="25">
        <v>43425</v>
      </c>
      <c r="C17" s="25">
        <v>43426</v>
      </c>
      <c r="D17" s="25">
        <v>43427</v>
      </c>
      <c r="E17" s="30">
        <v>43428</v>
      </c>
      <c r="F17" s="30">
        <v>43429</v>
      </c>
      <c r="G17" s="25">
        <v>43430</v>
      </c>
      <c r="H17" s="25">
        <v>43431</v>
      </c>
      <c r="I17" s="25">
        <v>43432</v>
      </c>
      <c r="J17" s="25">
        <v>43433</v>
      </c>
      <c r="K17" s="25">
        <v>43434</v>
      </c>
      <c r="L17" s="25"/>
      <c r="M17" s="26" t="s">
        <v>244</v>
      </c>
      <c r="N17" s="31">
        <v>43435</v>
      </c>
      <c r="O17" s="31">
        <v>43436</v>
      </c>
      <c r="P17" s="31">
        <v>43437</v>
      </c>
      <c r="Q17" s="27">
        <v>43438</v>
      </c>
      <c r="R17" s="27">
        <v>43439</v>
      </c>
      <c r="T17" s="17"/>
      <c r="V17" s="1" t="s">
        <v>63</v>
      </c>
      <c r="X17" s="1" t="s">
        <v>64</v>
      </c>
      <c r="Z17" s="1" t="s">
        <v>65</v>
      </c>
      <c r="AB17" s="1" t="s">
        <v>169</v>
      </c>
    </row>
    <row r="18" spans="1:29" ht="18.600000000000001" customHeight="1">
      <c r="A18" s="13">
        <v>1</v>
      </c>
      <c r="B18" s="19"/>
      <c r="C18" s="19"/>
      <c r="D18" s="19"/>
      <c r="E18" s="19" t="s">
        <v>259</v>
      </c>
      <c r="F18" s="19" t="s">
        <v>258</v>
      </c>
      <c r="G18" s="19"/>
      <c r="H18" s="19"/>
      <c r="I18" s="19"/>
      <c r="J18" s="19"/>
      <c r="K18" s="19"/>
      <c r="L18" s="19"/>
      <c r="M18" s="28"/>
      <c r="N18" s="19" t="s">
        <v>257</v>
      </c>
      <c r="O18" s="19" t="s">
        <v>261</v>
      </c>
      <c r="P18" s="19" t="s">
        <v>260</v>
      </c>
      <c r="Q18" s="19"/>
      <c r="R18" s="19"/>
      <c r="T18" s="17"/>
      <c r="V18" s="1" t="s">
        <v>47</v>
      </c>
      <c r="W18" s="1">
        <v>0</v>
      </c>
      <c r="X18" s="1" t="s">
        <v>45</v>
      </c>
      <c r="Y18" s="1">
        <v>2</v>
      </c>
      <c r="Z18" s="1" t="s">
        <v>34</v>
      </c>
      <c r="AA18" s="1">
        <v>2</v>
      </c>
      <c r="AB18" s="1" t="s">
        <v>16</v>
      </c>
      <c r="AC18" s="1">
        <v>1</v>
      </c>
    </row>
    <row r="19" spans="1:29" ht="18.600000000000001" customHeight="1">
      <c r="A19" s="13">
        <v>2</v>
      </c>
      <c r="B19" s="3"/>
      <c r="C19" s="3"/>
      <c r="D19" s="3"/>
      <c r="E19" s="3" t="s">
        <v>263</v>
      </c>
      <c r="F19" s="3" t="s">
        <v>267</v>
      </c>
      <c r="G19" s="3"/>
      <c r="H19" s="3"/>
      <c r="I19" s="3"/>
      <c r="J19" s="3"/>
      <c r="K19" s="3"/>
      <c r="L19" s="3"/>
      <c r="M19" s="15"/>
      <c r="N19" s="3" t="s">
        <v>266</v>
      </c>
      <c r="O19" s="3" t="s">
        <v>264</v>
      </c>
      <c r="P19" s="3" t="s">
        <v>265</v>
      </c>
      <c r="Q19" s="3"/>
      <c r="R19" s="3"/>
      <c r="T19" s="17"/>
      <c r="V19" s="1" t="s">
        <v>2</v>
      </c>
      <c r="W19" s="1">
        <v>2</v>
      </c>
      <c r="X19" s="1" t="s">
        <v>46</v>
      </c>
      <c r="Y19" s="1">
        <v>2</v>
      </c>
      <c r="Z19" s="1" t="s">
        <v>35</v>
      </c>
      <c r="AA19" s="1">
        <v>3</v>
      </c>
      <c r="AB19" s="1" t="s">
        <v>153</v>
      </c>
      <c r="AC19" s="1">
        <v>1</v>
      </c>
    </row>
    <row r="20" spans="1:29" ht="18.600000000000001" customHeight="1">
      <c r="A20" s="13">
        <v>3</v>
      </c>
      <c r="B20" s="3"/>
      <c r="C20" s="3"/>
      <c r="D20" s="3"/>
      <c r="E20" s="3" t="s">
        <v>250</v>
      </c>
      <c r="F20" s="3" t="s">
        <v>251</v>
      </c>
      <c r="G20" s="3"/>
      <c r="H20" s="19"/>
      <c r="I20" s="3"/>
      <c r="J20" s="3"/>
      <c r="K20" s="3"/>
      <c r="L20" s="3"/>
      <c r="M20" s="15"/>
      <c r="N20" s="32" t="s">
        <v>247</v>
      </c>
      <c r="O20" s="3" t="s">
        <v>36</v>
      </c>
      <c r="P20" s="3" t="s">
        <v>37</v>
      </c>
      <c r="Q20" s="3"/>
      <c r="R20" s="3"/>
      <c r="T20" s="17"/>
      <c r="V20" s="1" t="s">
        <v>14</v>
      </c>
      <c r="W20" s="1">
        <v>3</v>
      </c>
      <c r="X20" s="1" t="s">
        <v>6</v>
      </c>
      <c r="Y20" s="1">
        <v>2</v>
      </c>
      <c r="Z20" s="1" t="s">
        <v>8</v>
      </c>
      <c r="AA20" s="1">
        <v>2</v>
      </c>
      <c r="AB20" s="1" t="s">
        <v>6</v>
      </c>
      <c r="AC20" s="1">
        <v>1</v>
      </c>
    </row>
    <row r="21" spans="1:29" ht="18.600000000000001" customHeight="1">
      <c r="A21" s="13" t="s">
        <v>20</v>
      </c>
      <c r="B21" s="3" t="s">
        <v>242</v>
      </c>
      <c r="C21" s="3" t="s">
        <v>13</v>
      </c>
      <c r="D21" s="3" t="s">
        <v>13</v>
      </c>
      <c r="E21" s="3" t="s">
        <v>13</v>
      </c>
      <c r="F21" s="3" t="s">
        <v>13</v>
      </c>
      <c r="G21" s="3" t="s">
        <v>23</v>
      </c>
      <c r="H21" s="3" t="s">
        <v>13</v>
      </c>
      <c r="I21" s="3" t="s">
        <v>13</v>
      </c>
      <c r="J21" s="3" t="s">
        <v>13</v>
      </c>
      <c r="K21" s="3" t="s">
        <v>13</v>
      </c>
      <c r="L21" s="3"/>
      <c r="M21" s="15"/>
      <c r="N21" s="3" t="s">
        <v>23</v>
      </c>
      <c r="O21" s="3" t="s">
        <v>13</v>
      </c>
      <c r="P21" s="3" t="s">
        <v>112</v>
      </c>
      <c r="Q21" s="3" t="s">
        <v>13</v>
      </c>
      <c r="R21" s="3" t="s">
        <v>13</v>
      </c>
      <c r="T21" s="17"/>
      <c r="V21" s="1" t="s">
        <v>7</v>
      </c>
      <c r="W21" s="1">
        <v>2</v>
      </c>
      <c r="X21" s="1" t="s">
        <v>25</v>
      </c>
      <c r="Y21" s="1">
        <v>1</v>
      </c>
      <c r="Z21" s="1" t="s">
        <v>17</v>
      </c>
      <c r="AA21" s="1">
        <v>2</v>
      </c>
      <c r="AB21" s="1" t="s">
        <v>28</v>
      </c>
      <c r="AC21" s="1">
        <v>1</v>
      </c>
    </row>
    <row r="22" spans="1:29" ht="18.600000000000001" customHeight="1">
      <c r="A22" s="13" t="s">
        <v>0</v>
      </c>
      <c r="B22" s="3" t="s">
        <v>115</v>
      </c>
      <c r="C22" s="3"/>
      <c r="D22" s="3"/>
      <c r="E22" s="3"/>
      <c r="F22" s="3" t="s">
        <v>275</v>
      </c>
      <c r="G22" s="3" t="s">
        <v>13</v>
      </c>
      <c r="H22" s="3" t="s">
        <v>13</v>
      </c>
      <c r="I22" s="3" t="s">
        <v>13</v>
      </c>
      <c r="J22" s="3"/>
      <c r="K22" s="3"/>
      <c r="L22" s="3"/>
      <c r="M22" s="15"/>
      <c r="N22" s="3"/>
      <c r="O22" s="3" t="s">
        <v>275</v>
      </c>
      <c r="P22" s="3" t="s">
        <v>13</v>
      </c>
      <c r="Q22" s="3" t="s">
        <v>13</v>
      </c>
      <c r="R22" s="3" t="s">
        <v>13</v>
      </c>
      <c r="T22" s="17"/>
      <c r="V22" s="1" t="s">
        <v>21</v>
      </c>
      <c r="W22" s="1">
        <v>2</v>
      </c>
      <c r="X22" s="1" t="s">
        <v>23</v>
      </c>
      <c r="Y22" s="1">
        <v>3</v>
      </c>
      <c r="Z22" s="1" t="s">
        <v>38</v>
      </c>
      <c r="AA22" s="1">
        <v>2</v>
      </c>
      <c r="AB22" s="1" t="s">
        <v>152</v>
      </c>
      <c r="AC22" s="1">
        <v>1</v>
      </c>
    </row>
    <row r="23" spans="1:29" ht="18.600000000000001" customHeight="1">
      <c r="A23" s="13" t="s">
        <v>1</v>
      </c>
      <c r="B23" s="3" t="s">
        <v>273</v>
      </c>
      <c r="C23" s="3" t="s">
        <v>13</v>
      </c>
      <c r="D23" s="3" t="s">
        <v>13</v>
      </c>
      <c r="E23" s="3" t="s">
        <v>13</v>
      </c>
      <c r="F23" s="3" t="s">
        <v>276</v>
      </c>
      <c r="G23" s="3" t="s">
        <v>272</v>
      </c>
      <c r="H23" s="3" t="s">
        <v>272</v>
      </c>
      <c r="I23" s="3" t="s">
        <v>272</v>
      </c>
      <c r="J23" s="3" t="s">
        <v>13</v>
      </c>
      <c r="K23" s="3" t="s">
        <v>13</v>
      </c>
      <c r="L23" s="3"/>
      <c r="M23" s="15"/>
      <c r="N23" s="3" t="s">
        <v>270</v>
      </c>
      <c r="O23" s="3" t="s">
        <v>273</v>
      </c>
      <c r="P23" s="3" t="s">
        <v>272</v>
      </c>
      <c r="Q23" s="3" t="s">
        <v>272</v>
      </c>
      <c r="R23" s="3" t="s">
        <v>272</v>
      </c>
      <c r="T23" s="17"/>
      <c r="V23" s="1" t="s">
        <v>26</v>
      </c>
      <c r="W23" s="1">
        <v>3</v>
      </c>
      <c r="X23" s="1" t="s">
        <v>16</v>
      </c>
      <c r="Y23" s="1">
        <v>2</v>
      </c>
      <c r="Z23" s="1" t="s">
        <v>36</v>
      </c>
      <c r="AA23" s="1">
        <v>2</v>
      </c>
      <c r="AB23" s="1" t="s">
        <v>23</v>
      </c>
      <c r="AC23" s="1">
        <v>1</v>
      </c>
    </row>
    <row r="24" spans="1:29" ht="18.600000000000001" customHeight="1">
      <c r="A24" s="22" t="s">
        <v>244</v>
      </c>
      <c r="B24" s="27">
        <v>43440</v>
      </c>
      <c r="C24" s="27">
        <v>43441</v>
      </c>
      <c r="D24" s="31">
        <v>43442</v>
      </c>
      <c r="E24" s="31">
        <v>43443</v>
      </c>
      <c r="F24" s="27">
        <v>43444</v>
      </c>
      <c r="G24" s="27">
        <v>43445</v>
      </c>
      <c r="H24" s="27">
        <v>43446</v>
      </c>
      <c r="I24" s="27">
        <v>43447</v>
      </c>
      <c r="J24" s="27">
        <v>43448</v>
      </c>
      <c r="K24" s="31">
        <v>43449</v>
      </c>
      <c r="L24" s="31">
        <v>43450</v>
      </c>
      <c r="M24" s="27">
        <v>43451</v>
      </c>
      <c r="N24" s="27">
        <v>43452</v>
      </c>
      <c r="O24" s="27">
        <v>43453</v>
      </c>
      <c r="P24" s="27">
        <v>43454</v>
      </c>
      <c r="Q24" s="27"/>
      <c r="R24" s="3"/>
      <c r="T24" s="17"/>
      <c r="V24" s="1" t="s">
        <v>28</v>
      </c>
      <c r="W24" s="1">
        <v>2</v>
      </c>
      <c r="X24" s="1" t="s">
        <v>152</v>
      </c>
      <c r="Y24" s="1">
        <v>2</v>
      </c>
      <c r="Z24" s="1" t="s">
        <v>37</v>
      </c>
      <c r="AA24" s="1">
        <v>2</v>
      </c>
      <c r="AB24" s="1" t="s">
        <v>112</v>
      </c>
      <c r="AC24" s="1">
        <v>1</v>
      </c>
    </row>
    <row r="25" spans="1:29" ht="18.600000000000001" customHeight="1">
      <c r="A25" s="15">
        <v>1</v>
      </c>
      <c r="B25" s="3"/>
      <c r="C25" s="3"/>
      <c r="D25" s="3" t="s">
        <v>262</v>
      </c>
      <c r="E25" s="3" t="s">
        <v>256</v>
      </c>
      <c r="F25" s="3"/>
      <c r="G25" s="3"/>
      <c r="H25" s="3"/>
      <c r="I25" s="3"/>
      <c r="J25" s="3"/>
      <c r="K25" s="3" t="s">
        <v>258</v>
      </c>
      <c r="L25" s="3" t="s">
        <v>26</v>
      </c>
      <c r="M25" s="3"/>
      <c r="N25" s="3"/>
      <c r="O25" s="3"/>
      <c r="P25" s="3"/>
      <c r="Q25" s="3"/>
      <c r="R25" s="3"/>
      <c r="T25" s="17"/>
      <c r="V25" s="1" t="s">
        <v>27</v>
      </c>
      <c r="W25" s="1">
        <v>3</v>
      </c>
      <c r="X25" s="1" t="s">
        <v>153</v>
      </c>
      <c r="Y25" s="1">
        <v>2</v>
      </c>
      <c r="Z25" s="1" t="s">
        <v>249</v>
      </c>
      <c r="AA25" s="1">
        <v>3</v>
      </c>
      <c r="AB25" s="1" t="s">
        <v>25</v>
      </c>
      <c r="AC25" s="1">
        <v>1</v>
      </c>
    </row>
    <row r="26" spans="1:29" ht="18.600000000000001" customHeight="1">
      <c r="A26" s="15">
        <v>2</v>
      </c>
      <c r="B26" s="3"/>
      <c r="C26" s="3"/>
      <c r="D26" s="3" t="s">
        <v>153</v>
      </c>
      <c r="E26" s="3" t="s">
        <v>152</v>
      </c>
      <c r="F26" s="3"/>
      <c r="G26" s="3"/>
      <c r="H26" s="3"/>
      <c r="I26" s="3"/>
      <c r="J26" s="3"/>
      <c r="K26" s="3" t="s">
        <v>268</v>
      </c>
      <c r="L26" s="3" t="s">
        <v>255</v>
      </c>
      <c r="M26" s="3"/>
      <c r="N26" s="3"/>
      <c r="O26" s="3"/>
      <c r="P26" s="3"/>
      <c r="Q26" s="3"/>
      <c r="R26" s="3"/>
      <c r="T26" s="17"/>
      <c r="V26" s="1" t="s">
        <v>264</v>
      </c>
      <c r="W26" s="1">
        <v>1</v>
      </c>
      <c r="X26" s="1" t="s">
        <v>112</v>
      </c>
      <c r="Y26" s="1">
        <v>2</v>
      </c>
      <c r="AB26" s="1" t="s">
        <v>26</v>
      </c>
      <c r="AC26" s="1">
        <v>0</v>
      </c>
    </row>
    <row r="27" spans="1:29" ht="18.600000000000001" customHeight="1">
      <c r="A27" s="15">
        <v>3</v>
      </c>
      <c r="B27" s="3"/>
      <c r="C27" s="3"/>
      <c r="D27" s="3" t="s">
        <v>253</v>
      </c>
      <c r="E27" s="3" t="s">
        <v>249</v>
      </c>
      <c r="F27" s="3"/>
      <c r="G27" s="29"/>
      <c r="H27" s="3"/>
      <c r="I27" s="3"/>
      <c r="J27" s="3"/>
      <c r="K27" s="3" t="s">
        <v>254</v>
      </c>
      <c r="L27" s="3" t="s">
        <v>250</v>
      </c>
      <c r="M27" s="19"/>
      <c r="N27" s="3"/>
      <c r="O27" s="3"/>
      <c r="P27" s="3"/>
      <c r="Q27" s="3"/>
      <c r="R27" s="3"/>
      <c r="T27" s="17"/>
    </row>
    <row r="28" spans="1:29" ht="18.600000000000001" customHeight="1">
      <c r="A28" s="15" t="s">
        <v>20</v>
      </c>
      <c r="B28" s="3" t="s">
        <v>112</v>
      </c>
      <c r="C28" s="3" t="s">
        <v>13</v>
      </c>
      <c r="D28" s="3" t="s">
        <v>13</v>
      </c>
      <c r="E28" s="3" t="s">
        <v>13</v>
      </c>
      <c r="F28" s="3" t="s">
        <v>25</v>
      </c>
      <c r="G28" s="3" t="s">
        <v>13</v>
      </c>
      <c r="H28" s="3" t="s">
        <v>13</v>
      </c>
      <c r="I28" s="3" t="s">
        <v>13</v>
      </c>
      <c r="J28" s="3" t="s">
        <v>13</v>
      </c>
      <c r="K28" s="3" t="s">
        <v>13</v>
      </c>
      <c r="L28" s="3" t="s">
        <v>13</v>
      </c>
      <c r="M28" s="3" t="s">
        <v>16</v>
      </c>
      <c r="N28" s="3" t="s">
        <v>13</v>
      </c>
      <c r="O28" s="3" t="s">
        <v>13</v>
      </c>
      <c r="P28" s="3" t="s">
        <v>13</v>
      </c>
      <c r="Q28" s="3"/>
      <c r="R28" s="3"/>
      <c r="T28" s="17"/>
      <c r="V28" s="1" t="s">
        <v>248</v>
      </c>
      <c r="W28" s="1">
        <f>SUM(W18:W27)</f>
        <v>18</v>
      </c>
      <c r="Y28" s="1">
        <f>SUM(Y18:Y27)</f>
        <v>18</v>
      </c>
      <c r="AA28" s="1">
        <f>SUM(AA18:AA27)</f>
        <v>18</v>
      </c>
    </row>
    <row r="29" spans="1:29" ht="18.600000000000001" customHeight="1">
      <c r="A29" s="15" t="s">
        <v>0</v>
      </c>
      <c r="B29" s="3"/>
      <c r="C29" s="3"/>
      <c r="D29" s="3"/>
      <c r="E29" s="3" t="s">
        <v>275</v>
      </c>
      <c r="F29" s="3" t="s">
        <v>13</v>
      </c>
      <c r="G29" s="3" t="s">
        <v>13</v>
      </c>
      <c r="H29" s="3" t="s">
        <v>13</v>
      </c>
      <c r="I29" s="3"/>
      <c r="J29" s="3"/>
      <c r="K29" s="3"/>
      <c r="L29" s="3" t="s">
        <v>275</v>
      </c>
      <c r="M29" s="3" t="s">
        <v>13</v>
      </c>
      <c r="N29" s="3" t="s">
        <v>13</v>
      </c>
      <c r="O29" s="3" t="s">
        <v>13</v>
      </c>
      <c r="P29" s="3"/>
      <c r="Q29" s="3"/>
      <c r="R29" s="3"/>
      <c r="T29" s="17"/>
    </row>
    <row r="30" spans="1:29" ht="18.600000000000001" customHeight="1">
      <c r="A30" s="15" t="s">
        <v>1</v>
      </c>
      <c r="B30" s="3" t="s">
        <v>166</v>
      </c>
      <c r="C30" s="3" t="s">
        <v>13</v>
      </c>
      <c r="D30" s="3" t="s">
        <v>13</v>
      </c>
      <c r="E30" s="3" t="s">
        <v>276</v>
      </c>
      <c r="F30" s="3" t="s">
        <v>272</v>
      </c>
      <c r="G30" s="3" t="s">
        <v>272</v>
      </c>
      <c r="H30" s="3" t="s">
        <v>272</v>
      </c>
      <c r="I30" s="3" t="s">
        <v>13</v>
      </c>
      <c r="J30" s="3" t="s">
        <v>13</v>
      </c>
      <c r="K30" s="3" t="s">
        <v>13</v>
      </c>
      <c r="L30" s="3" t="s">
        <v>273</v>
      </c>
      <c r="M30" s="3" t="s">
        <v>272</v>
      </c>
      <c r="N30" s="3" t="s">
        <v>272</v>
      </c>
      <c r="O30" s="3" t="s">
        <v>272</v>
      </c>
      <c r="P30" s="3" t="s">
        <v>13</v>
      </c>
      <c r="Q30" s="3"/>
      <c r="R30" s="3"/>
    </row>
    <row r="31" spans="1:29" ht="12.75" customHeight="1">
      <c r="Q31" s="145" t="s">
        <v>82</v>
      </c>
      <c r="R31" s="145"/>
      <c r="T31" s="17"/>
    </row>
    <row r="32" spans="1:29">
      <c r="T32" s="17"/>
    </row>
    <row r="33" spans="2:20">
      <c r="T33" s="17"/>
    </row>
    <row r="34" spans="2:20">
      <c r="T34" s="17"/>
    </row>
    <row r="35" spans="2:20">
      <c r="T35" s="17"/>
    </row>
    <row r="36" spans="2:20">
      <c r="T36" s="17"/>
    </row>
    <row r="37" spans="2:20">
      <c r="B37" s="20" t="s">
        <v>271</v>
      </c>
      <c r="T37" s="17"/>
    </row>
    <row r="38" spans="2:20">
      <c r="T38" s="17"/>
    </row>
    <row r="41" spans="2:20">
      <c r="T41" s="17"/>
    </row>
    <row r="42" spans="2:20">
      <c r="T42" s="17"/>
    </row>
    <row r="43" spans="2:20">
      <c r="T43" s="17"/>
    </row>
    <row r="44" spans="2:20">
      <c r="T44" s="17"/>
    </row>
    <row r="46" spans="2:20">
      <c r="T46" s="17"/>
    </row>
    <row r="47" spans="2:20">
      <c r="T47" s="17"/>
    </row>
    <row r="48" spans="2:20">
      <c r="T48" s="17"/>
    </row>
  </sheetData>
  <mergeCells count="2">
    <mergeCell ref="A1:R1"/>
    <mergeCell ref="Q31:R31"/>
  </mergeCells>
  <phoneticPr fontId="2"/>
  <pageMargins left="0.70866141732283472" right="0.70866141732283472" top="0" bottom="0.19685039370078741" header="0.31496062992125984" footer="0.31496062992125984"/>
  <pageSetup paperSize="9" orientation="landscape" r:id="rId1"/>
  <drawing r:id="rId2"/>
  <legacyDrawing r:id="rId3"/>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C48"/>
  <sheetViews>
    <sheetView topLeftCell="A13" zoomScaleNormal="100" workbookViewId="0">
      <selection activeCell="A16" sqref="A16:R16"/>
    </sheetView>
  </sheetViews>
  <sheetFormatPr defaultColWidth="9" defaultRowHeight="18.75"/>
  <cols>
    <col min="1" max="18" width="6.625" style="1" customWidth="1"/>
    <col min="19" max="19" width="3.625" style="1" customWidth="1"/>
    <col min="20" max="20" width="6.625" style="1" customWidth="1"/>
    <col min="21" max="21" width="3.625" style="1" customWidth="1"/>
    <col min="22" max="37" width="6.625" style="1" customWidth="1"/>
    <col min="38" max="38" width="3.625" style="1" customWidth="1"/>
    <col min="39" max="16384" width="9" style="1"/>
  </cols>
  <sheetData>
    <row r="1" spans="1:29">
      <c r="A1" s="156" t="s">
        <v>219</v>
      </c>
      <c r="B1" s="156"/>
      <c r="C1" s="156"/>
      <c r="D1" s="156"/>
      <c r="E1" s="156"/>
      <c r="F1" s="156"/>
      <c r="G1" s="156"/>
      <c r="H1" s="156"/>
      <c r="I1" s="156"/>
      <c r="J1" s="156"/>
      <c r="K1" s="156"/>
      <c r="L1" s="156"/>
      <c r="M1" s="156"/>
      <c r="N1" s="156"/>
      <c r="O1" s="156"/>
      <c r="P1" s="156"/>
      <c r="Q1" s="156"/>
      <c r="R1" s="156"/>
      <c r="X1" s="1" t="s">
        <v>167</v>
      </c>
    </row>
    <row r="2" spans="1:29" ht="18.600000000000001" customHeight="1">
      <c r="A2" s="22" t="s">
        <v>216</v>
      </c>
      <c r="B2" s="16">
        <v>43333</v>
      </c>
      <c r="C2" s="16">
        <v>43334</v>
      </c>
      <c r="D2" s="16">
        <v>43335</v>
      </c>
      <c r="E2" s="16">
        <v>43336</v>
      </c>
      <c r="F2" s="7">
        <v>43337</v>
      </c>
      <c r="G2" s="7">
        <v>43338</v>
      </c>
      <c r="H2" s="16">
        <v>43339</v>
      </c>
      <c r="I2" s="16">
        <v>43340</v>
      </c>
      <c r="J2" s="16">
        <v>43341</v>
      </c>
      <c r="K2" s="16">
        <v>43342</v>
      </c>
      <c r="L2" s="16">
        <v>43343</v>
      </c>
      <c r="M2" s="23" t="s">
        <v>217</v>
      </c>
      <c r="N2" s="9">
        <v>43344</v>
      </c>
      <c r="O2" s="9">
        <v>43345</v>
      </c>
      <c r="P2" s="11">
        <v>43346</v>
      </c>
      <c r="Q2" s="11">
        <v>43347</v>
      </c>
      <c r="R2" s="11">
        <v>43348</v>
      </c>
      <c r="V2" s="1" t="s">
        <v>63</v>
      </c>
      <c r="X2" s="1" t="s">
        <v>64</v>
      </c>
      <c r="Z2" s="1" t="s">
        <v>65</v>
      </c>
      <c r="AB2" s="1" t="s">
        <v>169</v>
      </c>
    </row>
    <row r="3" spans="1:29" ht="18.600000000000001" customHeight="1">
      <c r="A3" s="15">
        <v>1</v>
      </c>
      <c r="B3" s="3"/>
      <c r="C3" s="3"/>
      <c r="D3" s="3"/>
      <c r="E3" s="3"/>
      <c r="F3" s="3" t="s">
        <v>221</v>
      </c>
      <c r="G3" s="3" t="s">
        <v>222</v>
      </c>
      <c r="H3" s="3"/>
      <c r="I3" s="3"/>
      <c r="J3" s="3"/>
      <c r="K3" s="3"/>
      <c r="L3" s="3"/>
      <c r="M3" s="13"/>
      <c r="N3" s="3" t="s">
        <v>223</v>
      </c>
      <c r="O3" s="3" t="s">
        <v>224</v>
      </c>
      <c r="P3" s="3"/>
      <c r="Q3" s="3"/>
      <c r="R3" s="3"/>
      <c r="V3" s="1" t="s">
        <v>47</v>
      </c>
      <c r="W3" s="1">
        <v>2</v>
      </c>
      <c r="X3" s="1" t="s">
        <v>45</v>
      </c>
      <c r="Y3" s="1">
        <v>3</v>
      </c>
      <c r="Z3" s="1" t="s">
        <v>34</v>
      </c>
      <c r="AA3" s="1">
        <v>3</v>
      </c>
      <c r="AB3" s="1" t="s">
        <v>16</v>
      </c>
      <c r="AC3" s="1">
        <v>1</v>
      </c>
    </row>
    <row r="4" spans="1:29" ht="18.600000000000001" customHeight="1">
      <c r="A4" s="15">
        <v>2</v>
      </c>
      <c r="B4" s="3"/>
      <c r="C4" s="3"/>
      <c r="D4" s="3"/>
      <c r="E4" s="3"/>
      <c r="F4" s="3" t="s">
        <v>23</v>
      </c>
      <c r="G4" s="3" t="s">
        <v>232</v>
      </c>
      <c r="H4" s="3"/>
      <c r="I4" s="3"/>
      <c r="J4" s="3"/>
      <c r="K4" s="3"/>
      <c r="L4" s="3"/>
      <c r="M4" s="13"/>
      <c r="N4" s="3" t="s">
        <v>233</v>
      </c>
      <c r="O4" s="3" t="s">
        <v>234</v>
      </c>
      <c r="P4" s="3"/>
      <c r="Q4" s="3"/>
      <c r="R4" s="3"/>
      <c r="T4" s="17"/>
      <c r="U4" s="17"/>
      <c r="V4" s="1" t="s">
        <v>2</v>
      </c>
      <c r="W4" s="1">
        <v>3</v>
      </c>
      <c r="X4" s="1" t="s">
        <v>46</v>
      </c>
      <c r="Y4" s="1">
        <v>2</v>
      </c>
      <c r="Z4" s="1" t="s">
        <v>35</v>
      </c>
      <c r="AA4" s="1">
        <v>3</v>
      </c>
      <c r="AB4" s="1" t="s">
        <v>153</v>
      </c>
      <c r="AC4" s="1">
        <v>1</v>
      </c>
    </row>
    <row r="5" spans="1:29" ht="18.600000000000001" customHeight="1">
      <c r="A5" s="15">
        <v>3</v>
      </c>
      <c r="B5" s="3"/>
      <c r="C5" s="3"/>
      <c r="D5" s="3"/>
      <c r="E5" s="3"/>
      <c r="F5" s="3" t="s">
        <v>227</v>
      </c>
      <c r="G5" s="3" t="s">
        <v>228</v>
      </c>
      <c r="H5" s="3"/>
      <c r="I5" s="3"/>
      <c r="J5" s="3"/>
      <c r="K5" s="3"/>
      <c r="L5" s="3"/>
      <c r="M5" s="13"/>
      <c r="N5" s="3" t="s">
        <v>238</v>
      </c>
      <c r="O5" s="3" t="s">
        <v>17</v>
      </c>
      <c r="P5" s="3"/>
      <c r="Q5" s="3"/>
      <c r="R5" s="3"/>
      <c r="T5" s="17"/>
      <c r="U5" s="17"/>
      <c r="V5" s="1" t="s">
        <v>14</v>
      </c>
      <c r="W5" s="1">
        <v>3</v>
      </c>
      <c r="X5" s="1" t="s">
        <v>6</v>
      </c>
      <c r="Y5" s="1">
        <v>2</v>
      </c>
      <c r="Z5" s="1" t="s">
        <v>8</v>
      </c>
      <c r="AA5" s="1">
        <v>3</v>
      </c>
      <c r="AB5" s="1" t="s">
        <v>6</v>
      </c>
      <c r="AC5" s="1">
        <v>1</v>
      </c>
    </row>
    <row r="6" spans="1:29" ht="18.600000000000001" customHeight="1">
      <c r="A6" s="15" t="s">
        <v>20</v>
      </c>
      <c r="B6" s="3" t="s">
        <v>16</v>
      </c>
      <c r="C6" s="3" t="s">
        <v>13</v>
      </c>
      <c r="D6" s="3" t="s">
        <v>13</v>
      </c>
      <c r="E6" s="3" t="s">
        <v>13</v>
      </c>
      <c r="F6" s="3" t="s">
        <v>13</v>
      </c>
      <c r="G6" s="3" t="s">
        <v>13</v>
      </c>
      <c r="H6" s="3" t="s">
        <v>153</v>
      </c>
      <c r="I6" s="3" t="s">
        <v>13</v>
      </c>
      <c r="J6" s="3" t="s">
        <v>13</v>
      </c>
      <c r="K6" s="3" t="s">
        <v>13</v>
      </c>
      <c r="L6" s="3" t="s">
        <v>13</v>
      </c>
      <c r="M6" s="13"/>
      <c r="N6" s="3" t="s">
        <v>153</v>
      </c>
      <c r="O6" s="3" t="s">
        <v>13</v>
      </c>
      <c r="P6" s="3" t="s">
        <v>28</v>
      </c>
      <c r="Q6" s="3" t="s">
        <v>13</v>
      </c>
      <c r="R6" s="3" t="s">
        <v>13</v>
      </c>
      <c r="T6" s="17"/>
      <c r="U6" s="17"/>
      <c r="V6" s="1" t="s">
        <v>7</v>
      </c>
      <c r="W6" s="1">
        <v>3</v>
      </c>
      <c r="X6" s="1" t="s">
        <v>25</v>
      </c>
      <c r="Y6" s="1">
        <v>3</v>
      </c>
      <c r="Z6" s="1" t="s">
        <v>17</v>
      </c>
      <c r="AA6" s="1">
        <v>2</v>
      </c>
      <c r="AB6" s="1" t="s">
        <v>28</v>
      </c>
      <c r="AC6" s="1">
        <v>1</v>
      </c>
    </row>
    <row r="7" spans="1:29" ht="18.600000000000001" customHeight="1">
      <c r="A7" s="15" t="s">
        <v>0</v>
      </c>
      <c r="B7" s="3" t="s">
        <v>115</v>
      </c>
      <c r="C7" s="3" t="s">
        <v>13</v>
      </c>
      <c r="D7" s="3" t="s">
        <v>9</v>
      </c>
      <c r="E7" s="3" t="s">
        <v>13</v>
      </c>
      <c r="F7" s="3" t="s">
        <v>13</v>
      </c>
      <c r="G7" s="3" t="s">
        <v>114</v>
      </c>
      <c r="H7" s="3" t="s">
        <v>115</v>
      </c>
      <c r="I7" s="3" t="s">
        <v>13</v>
      </c>
      <c r="J7" s="3" t="s">
        <v>13</v>
      </c>
      <c r="K7" s="3" t="s">
        <v>9</v>
      </c>
      <c r="L7" s="3" t="s">
        <v>13</v>
      </c>
      <c r="M7" s="13"/>
      <c r="N7" s="3" t="s">
        <v>9</v>
      </c>
      <c r="O7" s="3" t="s">
        <v>114</v>
      </c>
      <c r="P7" s="3" t="s">
        <v>115</v>
      </c>
      <c r="Q7" s="3" t="s">
        <v>13</v>
      </c>
      <c r="R7" s="3" t="s">
        <v>13</v>
      </c>
      <c r="T7" s="17"/>
      <c r="U7" s="17"/>
      <c r="V7" s="1" t="s">
        <v>21</v>
      </c>
      <c r="W7" s="1">
        <v>3</v>
      </c>
      <c r="X7" s="1" t="s">
        <v>23</v>
      </c>
      <c r="Y7" s="1">
        <v>3</v>
      </c>
      <c r="Z7" s="1" t="s">
        <v>38</v>
      </c>
      <c r="AA7" s="1">
        <v>2</v>
      </c>
      <c r="AB7" s="1" t="s">
        <v>152</v>
      </c>
      <c r="AC7" s="1">
        <v>1</v>
      </c>
    </row>
    <row r="8" spans="1:29" ht="18.600000000000001" customHeight="1">
      <c r="A8" s="15" t="s">
        <v>1</v>
      </c>
      <c r="B8" s="3" t="s">
        <v>166</v>
      </c>
      <c r="C8" s="3" t="s">
        <v>13</v>
      </c>
      <c r="D8" s="3" t="s">
        <v>13</v>
      </c>
      <c r="E8" s="3" t="s">
        <v>213</v>
      </c>
      <c r="F8" s="3" t="s">
        <v>13</v>
      </c>
      <c r="G8" s="3" t="s">
        <v>10</v>
      </c>
      <c r="H8" s="3" t="s">
        <v>13</v>
      </c>
      <c r="I8" s="3" t="s">
        <v>13</v>
      </c>
      <c r="J8" s="3" t="s">
        <v>13</v>
      </c>
      <c r="K8" s="3" t="s">
        <v>13</v>
      </c>
      <c r="L8" s="3" t="s">
        <v>213</v>
      </c>
      <c r="M8" s="13"/>
      <c r="N8" s="3" t="s">
        <v>213</v>
      </c>
      <c r="O8" s="3" t="s">
        <v>10</v>
      </c>
      <c r="P8" s="3" t="s">
        <v>13</v>
      </c>
      <c r="Q8" s="3" t="s">
        <v>13</v>
      </c>
      <c r="R8" s="3" t="s">
        <v>13</v>
      </c>
      <c r="T8" s="17"/>
      <c r="V8" s="1" t="s">
        <v>26</v>
      </c>
      <c r="W8" s="1">
        <v>2</v>
      </c>
      <c r="X8" s="1" t="s">
        <v>16</v>
      </c>
      <c r="Y8" s="1">
        <v>1</v>
      </c>
      <c r="Z8" s="1" t="s">
        <v>36</v>
      </c>
      <c r="AA8" s="1">
        <v>3</v>
      </c>
      <c r="AB8" s="1" t="s">
        <v>23</v>
      </c>
      <c r="AC8" s="1">
        <v>1</v>
      </c>
    </row>
    <row r="9" spans="1:29" ht="18.600000000000001" customHeight="1">
      <c r="A9" s="24" t="s">
        <v>217</v>
      </c>
      <c r="B9" s="11">
        <v>43349</v>
      </c>
      <c r="C9" s="11">
        <v>43350</v>
      </c>
      <c r="D9" s="30">
        <v>43351</v>
      </c>
      <c r="E9" s="30">
        <v>43352</v>
      </c>
      <c r="F9" s="11">
        <v>43353</v>
      </c>
      <c r="G9" s="11">
        <v>43354</v>
      </c>
      <c r="H9" s="11">
        <v>43355</v>
      </c>
      <c r="I9" s="11">
        <v>43356</v>
      </c>
      <c r="J9" s="11">
        <v>43357</v>
      </c>
      <c r="K9" s="30">
        <v>43358</v>
      </c>
      <c r="L9" s="30">
        <v>43359</v>
      </c>
      <c r="M9" s="11">
        <v>43360</v>
      </c>
      <c r="N9" s="11">
        <v>43361</v>
      </c>
      <c r="O9" s="11">
        <v>43362</v>
      </c>
      <c r="P9" s="11">
        <v>43363</v>
      </c>
      <c r="Q9" s="18"/>
      <c r="R9" s="3"/>
      <c r="T9" s="17"/>
      <c r="V9" s="1" t="s">
        <v>28</v>
      </c>
      <c r="W9" s="1">
        <v>2</v>
      </c>
      <c r="X9" s="1" t="s">
        <v>152</v>
      </c>
      <c r="Y9" s="1">
        <v>3</v>
      </c>
      <c r="Z9" s="1" t="s">
        <v>37</v>
      </c>
      <c r="AA9" s="1">
        <v>2</v>
      </c>
      <c r="AB9" s="1" t="s">
        <v>112</v>
      </c>
      <c r="AC9" s="1">
        <v>1</v>
      </c>
    </row>
    <row r="10" spans="1:29" ht="18.600000000000001" customHeight="1">
      <c r="A10" s="13">
        <v>1</v>
      </c>
      <c r="B10" s="3"/>
      <c r="C10" s="3"/>
      <c r="D10" s="3" t="s">
        <v>27</v>
      </c>
      <c r="E10" s="3" t="s">
        <v>26</v>
      </c>
      <c r="F10" s="3"/>
      <c r="G10" s="3"/>
      <c r="H10" s="3"/>
      <c r="I10" s="3"/>
      <c r="J10" s="3"/>
      <c r="K10" s="3" t="s">
        <v>226</v>
      </c>
      <c r="L10" s="3" t="s">
        <v>220</v>
      </c>
      <c r="M10" s="3"/>
      <c r="N10" s="3"/>
      <c r="O10" s="3"/>
      <c r="P10" s="3"/>
      <c r="Q10" s="3"/>
      <c r="R10" s="3"/>
      <c r="T10" s="17"/>
      <c r="V10" s="1" t="s">
        <v>27</v>
      </c>
      <c r="W10" s="1">
        <v>3</v>
      </c>
      <c r="X10" s="1" t="s">
        <v>153</v>
      </c>
      <c r="Y10" s="1">
        <v>2</v>
      </c>
      <c r="Z10" s="1" t="s">
        <v>112</v>
      </c>
      <c r="AA10" s="1">
        <v>1</v>
      </c>
      <c r="AB10" s="1" t="s">
        <v>25</v>
      </c>
      <c r="AC10" s="1">
        <v>1</v>
      </c>
    </row>
    <row r="11" spans="1:29" ht="18.600000000000001" customHeight="1">
      <c r="A11" s="13">
        <v>2</v>
      </c>
      <c r="B11" s="3"/>
      <c r="C11" s="3"/>
      <c r="D11" s="3" t="s">
        <v>235</v>
      </c>
      <c r="E11" s="3" t="s">
        <v>25</v>
      </c>
      <c r="F11" s="3"/>
      <c r="G11" s="3"/>
      <c r="H11" s="3"/>
      <c r="I11" s="3"/>
      <c r="J11" s="3"/>
      <c r="K11" s="3" t="s">
        <v>23</v>
      </c>
      <c r="L11" s="3" t="s">
        <v>153</v>
      </c>
      <c r="M11" s="3"/>
      <c r="N11" s="3"/>
      <c r="O11" s="3"/>
      <c r="P11" s="3"/>
      <c r="Q11" s="3"/>
      <c r="R11" s="3"/>
      <c r="T11" s="17"/>
      <c r="X11" s="1" t="s">
        <v>112</v>
      </c>
      <c r="Y11" s="1">
        <v>2</v>
      </c>
      <c r="Z11" s="1" t="s">
        <v>16</v>
      </c>
      <c r="AA11" s="1">
        <v>1</v>
      </c>
      <c r="AB11" s="1" t="s">
        <v>26</v>
      </c>
      <c r="AC11" s="1">
        <v>1</v>
      </c>
    </row>
    <row r="12" spans="1:29" ht="18.600000000000001" customHeight="1">
      <c r="A12" s="13">
        <v>3</v>
      </c>
      <c r="B12" s="18"/>
      <c r="C12" s="3"/>
      <c r="D12" s="3" t="s">
        <v>35</v>
      </c>
      <c r="E12" s="3" t="s">
        <v>230</v>
      </c>
      <c r="F12" s="3"/>
      <c r="G12" s="3"/>
      <c r="H12" s="3"/>
      <c r="I12" s="3"/>
      <c r="J12" s="3"/>
      <c r="K12" s="3" t="s">
        <v>36</v>
      </c>
      <c r="L12" s="3" t="s">
        <v>37</v>
      </c>
      <c r="M12" s="3"/>
      <c r="N12" s="3"/>
      <c r="O12" s="3"/>
      <c r="P12" s="3"/>
      <c r="Q12" s="3"/>
      <c r="R12" s="3"/>
      <c r="T12" s="17"/>
      <c r="Z12" s="1" t="s">
        <v>10</v>
      </c>
      <c r="AA12" s="1">
        <v>1</v>
      </c>
    </row>
    <row r="13" spans="1:29" ht="18.600000000000001" customHeight="1">
      <c r="A13" s="13" t="s">
        <v>20</v>
      </c>
      <c r="B13" s="3" t="s">
        <v>28</v>
      </c>
      <c r="C13" s="3" t="s">
        <v>13</v>
      </c>
      <c r="D13" s="3" t="s">
        <v>13</v>
      </c>
      <c r="E13" s="3" t="s">
        <v>13</v>
      </c>
      <c r="F13" s="3" t="s">
        <v>152</v>
      </c>
      <c r="G13" s="3" t="s">
        <v>13</v>
      </c>
      <c r="H13" s="3" t="s">
        <v>13</v>
      </c>
      <c r="I13" s="3" t="s">
        <v>13</v>
      </c>
      <c r="J13" s="3" t="s">
        <v>13</v>
      </c>
      <c r="K13" s="3" t="s">
        <v>13</v>
      </c>
      <c r="L13" s="3" t="s">
        <v>13</v>
      </c>
      <c r="M13" s="3" t="s">
        <v>239</v>
      </c>
      <c r="N13" s="3" t="s">
        <v>13</v>
      </c>
      <c r="O13" s="3" t="s">
        <v>13</v>
      </c>
      <c r="P13" s="3" t="s">
        <v>13</v>
      </c>
      <c r="Q13" s="3"/>
      <c r="R13" s="3"/>
      <c r="T13" s="17"/>
      <c r="V13" s="1" t="s">
        <v>207</v>
      </c>
      <c r="W13" s="1">
        <f>SUM(W3:W12)</f>
        <v>21</v>
      </c>
      <c r="Y13" s="1">
        <f>SUM(Y3:Y12)</f>
        <v>21</v>
      </c>
      <c r="AA13" s="1">
        <f>SUM(AA3:AA12)</f>
        <v>21</v>
      </c>
    </row>
    <row r="14" spans="1:29" ht="18.600000000000001" customHeight="1">
      <c r="A14" s="13" t="s">
        <v>0</v>
      </c>
      <c r="B14" s="3" t="s">
        <v>9</v>
      </c>
      <c r="C14" s="3" t="s">
        <v>13</v>
      </c>
      <c r="D14" s="3" t="s">
        <v>13</v>
      </c>
      <c r="E14" s="3" t="s">
        <v>114</v>
      </c>
      <c r="F14" s="3" t="s">
        <v>115</v>
      </c>
      <c r="G14" s="3" t="s">
        <v>13</v>
      </c>
      <c r="H14" s="3" t="s">
        <v>13</v>
      </c>
      <c r="I14" s="3" t="s">
        <v>9</v>
      </c>
      <c r="J14" s="3" t="s">
        <v>13</v>
      </c>
      <c r="K14" s="3" t="s">
        <v>13</v>
      </c>
      <c r="L14" s="3" t="s">
        <v>114</v>
      </c>
      <c r="M14" s="3" t="s">
        <v>115</v>
      </c>
      <c r="N14" s="3" t="s">
        <v>13</v>
      </c>
      <c r="O14" s="3" t="s">
        <v>13</v>
      </c>
      <c r="P14" s="3" t="s">
        <v>9</v>
      </c>
      <c r="Q14" s="3"/>
      <c r="R14" s="3"/>
      <c r="T14" s="17"/>
    </row>
    <row r="15" spans="1:29" ht="18.600000000000001" customHeight="1">
      <c r="A15" s="13" t="s">
        <v>1</v>
      </c>
      <c r="B15" s="3" t="s">
        <v>10</v>
      </c>
      <c r="C15" s="3" t="s">
        <v>213</v>
      </c>
      <c r="D15" s="3" t="s">
        <v>13</v>
      </c>
      <c r="E15" s="3" t="s">
        <v>166</v>
      </c>
      <c r="F15" s="3" t="s">
        <v>13</v>
      </c>
      <c r="G15" s="3" t="s">
        <v>13</v>
      </c>
      <c r="H15" s="3" t="s">
        <v>13</v>
      </c>
      <c r="I15" s="3" t="s">
        <v>13</v>
      </c>
      <c r="J15" s="3" t="s">
        <v>213</v>
      </c>
      <c r="K15" s="3" t="s">
        <v>13</v>
      </c>
      <c r="L15" s="3" t="s">
        <v>10</v>
      </c>
      <c r="M15" s="3" t="s">
        <v>13</v>
      </c>
      <c r="N15" s="3" t="s">
        <v>13</v>
      </c>
      <c r="O15" s="3" t="s">
        <v>13</v>
      </c>
      <c r="P15" s="3" t="s">
        <v>13</v>
      </c>
      <c r="Q15" s="3"/>
      <c r="R15" s="3"/>
      <c r="T15" s="17"/>
    </row>
    <row r="16" spans="1:29" ht="18.600000000000001" customHeight="1">
      <c r="A16" s="20" t="s">
        <v>128</v>
      </c>
      <c r="B16" s="4"/>
      <c r="C16" s="4"/>
      <c r="D16" s="4"/>
      <c r="E16" s="4"/>
      <c r="F16" s="4"/>
      <c r="G16" s="4"/>
      <c r="H16" s="21" t="s">
        <v>111</v>
      </c>
      <c r="I16" s="21"/>
      <c r="J16" s="21"/>
      <c r="K16" s="21"/>
      <c r="L16" s="21"/>
      <c r="M16" s="21"/>
      <c r="N16" s="21"/>
      <c r="O16" s="21"/>
      <c r="P16" s="4"/>
      <c r="Q16" s="4"/>
      <c r="R16" s="5"/>
      <c r="T16" s="17"/>
      <c r="X16" s="1" t="s">
        <v>80</v>
      </c>
    </row>
    <row r="17" spans="1:29" ht="18.600000000000001" customHeight="1">
      <c r="A17" s="24" t="s">
        <v>217</v>
      </c>
      <c r="B17" s="25">
        <v>43364</v>
      </c>
      <c r="C17" s="30">
        <v>43365</v>
      </c>
      <c r="D17" s="30">
        <v>43366</v>
      </c>
      <c r="E17" s="25">
        <v>43367</v>
      </c>
      <c r="F17" s="25">
        <v>43368</v>
      </c>
      <c r="G17" s="25">
        <v>43369</v>
      </c>
      <c r="H17" s="25">
        <v>43370</v>
      </c>
      <c r="I17" s="25">
        <v>43371</v>
      </c>
      <c r="J17" s="30">
        <v>43372</v>
      </c>
      <c r="K17" s="30">
        <v>43373</v>
      </c>
      <c r="L17" s="25"/>
      <c r="M17" s="26" t="s">
        <v>218</v>
      </c>
      <c r="N17" s="27">
        <v>43374</v>
      </c>
      <c r="O17" s="27">
        <v>43375</v>
      </c>
      <c r="P17" s="27">
        <v>43376</v>
      </c>
      <c r="Q17" s="27">
        <v>43377</v>
      </c>
      <c r="R17" s="27">
        <v>43378</v>
      </c>
      <c r="T17" s="17"/>
      <c r="V17" s="1" t="s">
        <v>63</v>
      </c>
      <c r="X17" s="1" t="s">
        <v>64</v>
      </c>
      <c r="Z17" s="1" t="s">
        <v>65</v>
      </c>
      <c r="AB17" s="1" t="s">
        <v>169</v>
      </c>
    </row>
    <row r="18" spans="1:29" ht="18.600000000000001" customHeight="1">
      <c r="A18" s="13">
        <v>1</v>
      </c>
      <c r="B18" s="19"/>
      <c r="C18" s="19" t="s">
        <v>221</v>
      </c>
      <c r="D18" s="19" t="s">
        <v>223</v>
      </c>
      <c r="E18" s="19"/>
      <c r="F18" s="19"/>
      <c r="G18" s="19"/>
      <c r="H18" s="19"/>
      <c r="I18" s="19"/>
      <c r="J18" s="19" t="s">
        <v>224</v>
      </c>
      <c r="K18" s="19" t="s">
        <v>231</v>
      </c>
      <c r="L18" s="19"/>
      <c r="M18" s="28"/>
      <c r="N18" s="19"/>
      <c r="O18" s="19"/>
      <c r="P18" s="19"/>
      <c r="Q18" s="19"/>
      <c r="R18" s="19"/>
      <c r="T18" s="17"/>
      <c r="V18" s="1" t="s">
        <v>47</v>
      </c>
      <c r="W18" s="1">
        <v>2</v>
      </c>
      <c r="X18" s="1" t="s">
        <v>45</v>
      </c>
      <c r="Y18" s="1">
        <v>2</v>
      </c>
      <c r="Z18" s="1" t="s">
        <v>34</v>
      </c>
      <c r="AA18" s="1">
        <v>2</v>
      </c>
      <c r="AB18" s="1" t="s">
        <v>16</v>
      </c>
      <c r="AC18" s="1">
        <v>1</v>
      </c>
    </row>
    <row r="19" spans="1:29" ht="18.600000000000001" customHeight="1">
      <c r="A19" s="13">
        <v>2</v>
      </c>
      <c r="B19" s="3"/>
      <c r="C19" s="3" t="s">
        <v>241</v>
      </c>
      <c r="D19" s="3" t="s">
        <v>236</v>
      </c>
      <c r="E19" s="3"/>
      <c r="F19" s="3"/>
      <c r="G19" s="3"/>
      <c r="H19" s="3"/>
      <c r="I19" s="3"/>
      <c r="J19" s="3" t="s">
        <v>240</v>
      </c>
      <c r="K19" s="3" t="s">
        <v>25</v>
      </c>
      <c r="L19" s="3"/>
      <c r="M19" s="15"/>
      <c r="N19" s="3"/>
      <c r="O19" s="3"/>
      <c r="P19" s="3"/>
      <c r="Q19" s="3"/>
      <c r="R19" s="3"/>
      <c r="T19" s="17"/>
      <c r="V19" s="1" t="s">
        <v>2</v>
      </c>
      <c r="W19" s="1">
        <v>3</v>
      </c>
      <c r="X19" s="1" t="s">
        <v>46</v>
      </c>
      <c r="Y19" s="1">
        <v>2</v>
      </c>
      <c r="Z19" s="1" t="s">
        <v>35</v>
      </c>
      <c r="AA19" s="1">
        <v>2</v>
      </c>
      <c r="AB19" s="1" t="s">
        <v>153</v>
      </c>
      <c r="AC19" s="1">
        <v>1</v>
      </c>
    </row>
    <row r="20" spans="1:29" ht="18.600000000000001" customHeight="1">
      <c r="A20" s="13">
        <v>3</v>
      </c>
      <c r="B20" s="3"/>
      <c r="C20" s="3" t="s">
        <v>38</v>
      </c>
      <c r="D20" s="3" t="s">
        <v>229</v>
      </c>
      <c r="E20" s="3"/>
      <c r="F20" s="3"/>
      <c r="G20" s="3"/>
      <c r="H20" s="19"/>
      <c r="I20" s="3"/>
      <c r="J20" s="3" t="s">
        <v>35</v>
      </c>
      <c r="K20" s="3" t="s">
        <v>230</v>
      </c>
      <c r="L20" s="3"/>
      <c r="M20" s="15"/>
      <c r="N20" s="3"/>
      <c r="O20" s="3"/>
      <c r="P20" s="3"/>
      <c r="Q20" s="3"/>
      <c r="R20" s="3"/>
      <c r="T20" s="17"/>
      <c r="V20" s="1" t="s">
        <v>14</v>
      </c>
      <c r="W20" s="1">
        <v>2</v>
      </c>
      <c r="X20" s="1" t="s">
        <v>6</v>
      </c>
      <c r="Y20" s="1">
        <v>2</v>
      </c>
      <c r="Z20" s="1" t="s">
        <v>8</v>
      </c>
      <c r="AA20" s="1">
        <v>2</v>
      </c>
      <c r="AB20" s="1" t="s">
        <v>6</v>
      </c>
      <c r="AC20" s="1">
        <v>1</v>
      </c>
    </row>
    <row r="21" spans="1:29" ht="18.600000000000001" customHeight="1">
      <c r="A21" s="13" t="s">
        <v>20</v>
      </c>
      <c r="B21" s="3" t="s">
        <v>6</v>
      </c>
      <c r="C21" s="3" t="s">
        <v>13</v>
      </c>
      <c r="D21" s="3" t="s">
        <v>13</v>
      </c>
      <c r="E21" s="3" t="s">
        <v>23</v>
      </c>
      <c r="F21" s="3" t="s">
        <v>13</v>
      </c>
      <c r="G21" s="3" t="s">
        <v>13</v>
      </c>
      <c r="H21" s="3" t="s">
        <v>13</v>
      </c>
      <c r="I21" s="3" t="s">
        <v>13</v>
      </c>
      <c r="J21" s="3" t="s">
        <v>13</v>
      </c>
      <c r="K21" s="3" t="s">
        <v>13</v>
      </c>
      <c r="L21" s="3"/>
      <c r="M21" s="15"/>
      <c r="N21" s="3" t="s">
        <v>112</v>
      </c>
      <c r="O21" s="3" t="s">
        <v>13</v>
      </c>
      <c r="P21" s="3" t="s">
        <v>13</v>
      </c>
      <c r="Q21" s="3" t="s">
        <v>13</v>
      </c>
      <c r="R21" s="3" t="s">
        <v>13</v>
      </c>
      <c r="T21" s="17"/>
      <c r="V21" s="1" t="s">
        <v>7</v>
      </c>
      <c r="W21" s="1">
        <v>2</v>
      </c>
      <c r="X21" s="1" t="s">
        <v>25</v>
      </c>
      <c r="Y21" s="1">
        <v>2</v>
      </c>
      <c r="Z21" s="1" t="s">
        <v>17</v>
      </c>
      <c r="AA21" s="1">
        <v>3</v>
      </c>
      <c r="AB21" s="1" t="s">
        <v>28</v>
      </c>
      <c r="AC21" s="1">
        <v>1</v>
      </c>
    </row>
    <row r="22" spans="1:29" ht="18.600000000000001" customHeight="1">
      <c r="A22" s="13" t="s">
        <v>0</v>
      </c>
      <c r="B22" s="3" t="s">
        <v>9</v>
      </c>
      <c r="C22" s="3" t="s">
        <v>13</v>
      </c>
      <c r="D22" s="3" t="s">
        <v>114</v>
      </c>
      <c r="E22" s="3" t="s">
        <v>115</v>
      </c>
      <c r="F22" s="3" t="s">
        <v>13</v>
      </c>
      <c r="G22" s="3" t="s">
        <v>13</v>
      </c>
      <c r="H22" s="3" t="s">
        <v>9</v>
      </c>
      <c r="I22" s="3" t="s">
        <v>13</v>
      </c>
      <c r="J22" s="3" t="s">
        <v>13</v>
      </c>
      <c r="K22" s="3" t="s">
        <v>114</v>
      </c>
      <c r="L22" s="3"/>
      <c r="M22" s="15"/>
      <c r="N22" s="3" t="s">
        <v>115</v>
      </c>
      <c r="O22" s="3" t="s">
        <v>13</v>
      </c>
      <c r="P22" s="3" t="s">
        <v>13</v>
      </c>
      <c r="Q22" s="3" t="s">
        <v>9</v>
      </c>
      <c r="R22" s="3" t="s">
        <v>13</v>
      </c>
      <c r="T22" s="17"/>
      <c r="V22" s="1" t="s">
        <v>21</v>
      </c>
      <c r="W22" s="1">
        <v>2</v>
      </c>
      <c r="X22" s="1" t="s">
        <v>23</v>
      </c>
      <c r="Y22" s="1">
        <v>2</v>
      </c>
      <c r="Z22" s="1" t="s">
        <v>38</v>
      </c>
      <c r="AA22" s="1">
        <v>3</v>
      </c>
      <c r="AB22" s="1" t="s">
        <v>152</v>
      </c>
      <c r="AC22" s="1">
        <v>1</v>
      </c>
    </row>
    <row r="23" spans="1:29" ht="18.600000000000001" customHeight="1">
      <c r="A23" s="13" t="s">
        <v>1</v>
      </c>
      <c r="B23" s="3" t="s">
        <v>213</v>
      </c>
      <c r="C23" s="3" t="s">
        <v>13</v>
      </c>
      <c r="D23" s="3" t="s">
        <v>166</v>
      </c>
      <c r="E23" s="3" t="s">
        <v>13</v>
      </c>
      <c r="F23" s="3" t="s">
        <v>13</v>
      </c>
      <c r="G23" s="3" t="s">
        <v>13</v>
      </c>
      <c r="H23" s="3" t="s">
        <v>13</v>
      </c>
      <c r="I23" s="3" t="s">
        <v>213</v>
      </c>
      <c r="J23" s="3" t="s">
        <v>13</v>
      </c>
      <c r="K23" s="3" t="s">
        <v>10</v>
      </c>
      <c r="L23" s="3"/>
      <c r="M23" s="15"/>
      <c r="N23" s="3" t="s">
        <v>10</v>
      </c>
      <c r="O23" s="3" t="s">
        <v>13</v>
      </c>
      <c r="P23" s="3" t="s">
        <v>13</v>
      </c>
      <c r="Q23" s="3" t="s">
        <v>13</v>
      </c>
      <c r="R23" s="3" t="s">
        <v>213</v>
      </c>
      <c r="T23" s="17"/>
      <c r="V23" s="1" t="s">
        <v>26</v>
      </c>
      <c r="W23" s="1">
        <v>2</v>
      </c>
      <c r="X23" s="1" t="s">
        <v>16</v>
      </c>
      <c r="Y23" s="1">
        <v>2</v>
      </c>
      <c r="Z23" s="1" t="s">
        <v>36</v>
      </c>
      <c r="AA23" s="1">
        <v>2</v>
      </c>
      <c r="AB23" s="1" t="s">
        <v>23</v>
      </c>
      <c r="AC23" s="1">
        <v>1</v>
      </c>
    </row>
    <row r="24" spans="1:29" ht="18.600000000000001" customHeight="1">
      <c r="A24" s="22" t="s">
        <v>218</v>
      </c>
      <c r="B24" s="31">
        <v>43379</v>
      </c>
      <c r="C24" s="31">
        <v>43380</v>
      </c>
      <c r="D24" s="16">
        <v>43381</v>
      </c>
      <c r="E24" s="16">
        <v>43382</v>
      </c>
      <c r="F24" s="16">
        <v>43383</v>
      </c>
      <c r="G24" s="16">
        <v>43384</v>
      </c>
      <c r="H24" s="16">
        <v>43385</v>
      </c>
      <c r="I24" s="31">
        <v>43386</v>
      </c>
      <c r="J24" s="31">
        <v>43387</v>
      </c>
      <c r="K24" s="16">
        <v>43388</v>
      </c>
      <c r="L24" s="16">
        <v>43389</v>
      </c>
      <c r="M24" s="16">
        <v>43390</v>
      </c>
      <c r="N24" s="16">
        <v>43391</v>
      </c>
      <c r="O24" s="16">
        <v>43392</v>
      </c>
      <c r="P24" s="31">
        <v>43393</v>
      </c>
      <c r="Q24" s="18"/>
      <c r="R24" s="3"/>
      <c r="T24" s="17"/>
      <c r="V24" s="1" t="s">
        <v>28</v>
      </c>
      <c r="W24" s="1">
        <v>2</v>
      </c>
      <c r="X24" s="1" t="s">
        <v>152</v>
      </c>
      <c r="Y24" s="1">
        <v>2</v>
      </c>
      <c r="Z24" s="1" t="s">
        <v>37</v>
      </c>
      <c r="AA24" s="1">
        <v>3</v>
      </c>
      <c r="AB24" s="1" t="s">
        <v>112</v>
      </c>
      <c r="AC24" s="1">
        <v>1</v>
      </c>
    </row>
    <row r="25" spans="1:29" ht="18.600000000000001" customHeight="1">
      <c r="A25" s="15">
        <v>1</v>
      </c>
      <c r="B25" s="3" t="s">
        <v>222</v>
      </c>
      <c r="C25" s="3" t="s">
        <v>225</v>
      </c>
      <c r="D25" s="3"/>
      <c r="E25" s="3"/>
      <c r="F25" s="3"/>
      <c r="G25" s="3"/>
      <c r="H25" s="3"/>
      <c r="I25" s="3" t="s">
        <v>220</v>
      </c>
      <c r="J25" s="3" t="s">
        <v>226</v>
      </c>
      <c r="K25" s="3"/>
      <c r="L25" s="3"/>
      <c r="M25" s="3"/>
      <c r="N25" s="3"/>
      <c r="O25" s="3"/>
      <c r="P25" s="3" t="s">
        <v>221</v>
      </c>
      <c r="Q25" s="3"/>
      <c r="R25" s="3"/>
      <c r="T25" s="17"/>
      <c r="V25" s="1" t="s">
        <v>27</v>
      </c>
      <c r="W25" s="1">
        <v>2</v>
      </c>
      <c r="X25" s="1" t="s">
        <v>153</v>
      </c>
      <c r="Y25" s="1">
        <v>2</v>
      </c>
      <c r="Z25" s="1" t="s">
        <v>112</v>
      </c>
      <c r="AB25" s="1" t="s">
        <v>25</v>
      </c>
      <c r="AC25" s="1">
        <v>1</v>
      </c>
    </row>
    <row r="26" spans="1:29" ht="18.600000000000001" customHeight="1">
      <c r="A26" s="15">
        <v>2</v>
      </c>
      <c r="B26" s="3" t="s">
        <v>6</v>
      </c>
      <c r="C26" s="3" t="s">
        <v>16</v>
      </c>
      <c r="D26" s="3"/>
      <c r="E26" s="3"/>
      <c r="F26" s="3"/>
      <c r="G26" s="3"/>
      <c r="H26" s="3"/>
      <c r="I26" s="3" t="s">
        <v>242</v>
      </c>
      <c r="J26" s="3" t="s">
        <v>153</v>
      </c>
      <c r="K26" s="3"/>
      <c r="L26" s="3"/>
      <c r="M26" s="3"/>
      <c r="N26" s="3"/>
      <c r="O26" s="3"/>
      <c r="P26" s="3" t="s">
        <v>93</v>
      </c>
      <c r="Q26" s="3"/>
      <c r="R26" s="3"/>
      <c r="T26" s="17"/>
      <c r="X26" s="1" t="s">
        <v>112</v>
      </c>
      <c r="Y26" s="1">
        <v>1</v>
      </c>
      <c r="Z26" s="1" t="s">
        <v>16</v>
      </c>
      <c r="AB26" s="1" t="s">
        <v>26</v>
      </c>
      <c r="AC26" s="1">
        <v>1</v>
      </c>
    </row>
    <row r="27" spans="1:29" ht="18.600000000000001" customHeight="1">
      <c r="A27" s="15">
        <v>3</v>
      </c>
      <c r="B27" s="3" t="s">
        <v>238</v>
      </c>
      <c r="C27" s="3" t="s">
        <v>37</v>
      </c>
      <c r="D27" s="3"/>
      <c r="E27" s="3"/>
      <c r="F27" s="3"/>
      <c r="G27" s="29"/>
      <c r="H27" s="3"/>
      <c r="I27" s="3" t="s">
        <v>36</v>
      </c>
      <c r="J27" s="3" t="s">
        <v>38</v>
      </c>
      <c r="K27" s="3"/>
      <c r="L27" s="3"/>
      <c r="M27" s="19"/>
      <c r="N27" s="3"/>
      <c r="O27" s="3"/>
      <c r="P27" s="3" t="s">
        <v>17</v>
      </c>
      <c r="Q27" s="3"/>
      <c r="R27" s="3"/>
      <c r="T27" s="17"/>
      <c r="Z27" s="1" t="s">
        <v>10</v>
      </c>
    </row>
    <row r="28" spans="1:29" ht="18.600000000000001" customHeight="1">
      <c r="A28" s="15" t="s">
        <v>20</v>
      </c>
      <c r="B28" s="3" t="s">
        <v>112</v>
      </c>
      <c r="C28" s="3" t="s">
        <v>13</v>
      </c>
      <c r="D28" s="3" t="s">
        <v>25</v>
      </c>
      <c r="E28" s="3" t="s">
        <v>13</v>
      </c>
      <c r="F28" s="3" t="s">
        <v>13</v>
      </c>
      <c r="G28" s="3" t="s">
        <v>13</v>
      </c>
      <c r="H28" s="3" t="s">
        <v>13</v>
      </c>
      <c r="I28" s="3" t="s">
        <v>13</v>
      </c>
      <c r="J28" s="3" t="s">
        <v>13</v>
      </c>
      <c r="K28" s="3" t="s">
        <v>26</v>
      </c>
      <c r="L28" s="3" t="s">
        <v>13</v>
      </c>
      <c r="M28" s="3" t="s">
        <v>13</v>
      </c>
      <c r="N28" s="3" t="s">
        <v>13</v>
      </c>
      <c r="O28" s="3" t="s">
        <v>13</v>
      </c>
      <c r="P28" s="3" t="s">
        <v>13</v>
      </c>
      <c r="Q28" s="3"/>
      <c r="R28" s="3"/>
      <c r="T28" s="17"/>
      <c r="V28" s="1" t="s">
        <v>237</v>
      </c>
      <c r="W28" s="1">
        <f>SUM(W18:W27)</f>
        <v>17</v>
      </c>
      <c r="Y28" s="1">
        <f>SUM(Y18:Y27)</f>
        <v>17</v>
      </c>
      <c r="AA28" s="1">
        <f>SUM(AA18:AA27)</f>
        <v>17</v>
      </c>
    </row>
    <row r="29" spans="1:29" ht="18.600000000000001" customHeight="1">
      <c r="A29" s="15" t="s">
        <v>0</v>
      </c>
      <c r="B29" s="3" t="s">
        <v>9</v>
      </c>
      <c r="C29" s="3" t="s">
        <v>114</v>
      </c>
      <c r="D29" s="3" t="s">
        <v>115</v>
      </c>
      <c r="E29" s="3" t="s">
        <v>13</v>
      </c>
      <c r="F29" s="3" t="s">
        <v>13</v>
      </c>
      <c r="G29" s="3" t="s">
        <v>9</v>
      </c>
      <c r="H29" s="3" t="s">
        <v>13</v>
      </c>
      <c r="I29" s="3" t="s">
        <v>13</v>
      </c>
      <c r="J29" s="3" t="s">
        <v>114</v>
      </c>
      <c r="K29" s="3" t="s">
        <v>115</v>
      </c>
      <c r="L29" s="3" t="s">
        <v>13</v>
      </c>
      <c r="M29" s="3" t="s">
        <v>13</v>
      </c>
      <c r="N29" s="3" t="s">
        <v>9</v>
      </c>
      <c r="O29" s="3" t="s">
        <v>13</v>
      </c>
      <c r="P29" s="3" t="s">
        <v>13</v>
      </c>
      <c r="Q29" s="3"/>
      <c r="R29" s="3"/>
      <c r="T29" s="17"/>
    </row>
    <row r="30" spans="1:29" ht="18.600000000000001" customHeight="1">
      <c r="A30" s="15" t="s">
        <v>1</v>
      </c>
      <c r="B30" s="3" t="s">
        <v>213</v>
      </c>
      <c r="C30" s="3" t="s">
        <v>166</v>
      </c>
      <c r="D30" s="3" t="s">
        <v>13</v>
      </c>
      <c r="E30" s="3" t="s">
        <v>13</v>
      </c>
      <c r="F30" s="3" t="s">
        <v>13</v>
      </c>
      <c r="G30" s="3" t="s">
        <v>13</v>
      </c>
      <c r="H30" s="3" t="s">
        <v>213</v>
      </c>
      <c r="I30" s="3" t="s">
        <v>13</v>
      </c>
      <c r="J30" s="3" t="s">
        <v>10</v>
      </c>
      <c r="K30" s="3" t="s">
        <v>13</v>
      </c>
      <c r="L30" s="3" t="s">
        <v>13</v>
      </c>
      <c r="M30" s="3" t="s">
        <v>13</v>
      </c>
      <c r="N30" s="3" t="s">
        <v>13</v>
      </c>
      <c r="O30" s="3" t="s">
        <v>213</v>
      </c>
      <c r="P30" s="3" t="s">
        <v>13</v>
      </c>
      <c r="Q30" s="3"/>
      <c r="R30" s="3"/>
    </row>
    <row r="31" spans="1:29" ht="12.75" customHeight="1">
      <c r="Q31" s="145" t="s">
        <v>82</v>
      </c>
      <c r="R31" s="145"/>
      <c r="T31" s="17"/>
    </row>
    <row r="32" spans="1:29">
      <c r="T32" s="17"/>
    </row>
    <row r="33" spans="20:20">
      <c r="T33" s="17"/>
    </row>
    <row r="34" spans="20:20">
      <c r="T34" s="17"/>
    </row>
    <row r="35" spans="20:20">
      <c r="T35" s="17"/>
    </row>
    <row r="36" spans="20:20">
      <c r="T36" s="17"/>
    </row>
    <row r="37" spans="20:20">
      <c r="T37" s="17"/>
    </row>
    <row r="38" spans="20:20">
      <c r="T38" s="17"/>
    </row>
    <row r="41" spans="20:20">
      <c r="T41" s="17"/>
    </row>
    <row r="42" spans="20:20">
      <c r="T42" s="17"/>
    </row>
    <row r="43" spans="20:20">
      <c r="T43" s="17"/>
    </row>
    <row r="44" spans="20:20">
      <c r="T44" s="17"/>
    </row>
    <row r="46" spans="20:20">
      <c r="T46" s="17"/>
    </row>
    <row r="47" spans="20:20">
      <c r="T47" s="17"/>
    </row>
    <row r="48" spans="20:20">
      <c r="T48" s="17"/>
    </row>
  </sheetData>
  <mergeCells count="2">
    <mergeCell ref="A1:R1"/>
    <mergeCell ref="Q31:R31"/>
  </mergeCells>
  <phoneticPr fontId="2"/>
  <pageMargins left="0.70866141732283472" right="0.70866141732283472" top="0" bottom="0.19685039370078741" header="0.31496062992125984" footer="0.31496062992125984"/>
  <pageSetup paperSize="9" orientation="landscape" r:id="rId1"/>
  <drawing r:id="rId2"/>
  <legacyDrawing r:id="rId3"/>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
  <dimension ref="A1:AC48"/>
  <sheetViews>
    <sheetView zoomScaleNormal="100" workbookViewId="0">
      <selection activeCell="L28" sqref="L28"/>
    </sheetView>
  </sheetViews>
  <sheetFormatPr defaultColWidth="9" defaultRowHeight="18.75"/>
  <cols>
    <col min="1" max="18" width="6.625" style="1" customWidth="1"/>
    <col min="19" max="19" width="3.625" style="1" customWidth="1"/>
    <col min="20" max="20" width="6.625" style="1" customWidth="1"/>
    <col min="21" max="21" width="3.625" style="1" customWidth="1"/>
    <col min="22" max="37" width="6.625" style="1" customWidth="1"/>
    <col min="38" max="38" width="3.625" style="1" customWidth="1"/>
    <col min="39" max="16384" width="9" style="1"/>
  </cols>
  <sheetData>
    <row r="1" spans="1:27">
      <c r="A1" s="156" t="s">
        <v>211</v>
      </c>
      <c r="B1" s="156"/>
      <c r="C1" s="156"/>
      <c r="D1" s="156"/>
      <c r="E1" s="156"/>
      <c r="F1" s="156"/>
      <c r="G1" s="156"/>
      <c r="H1" s="156"/>
      <c r="I1" s="156"/>
      <c r="J1" s="156"/>
      <c r="K1" s="156"/>
      <c r="L1" s="156"/>
      <c r="M1" s="156"/>
      <c r="N1" s="156"/>
      <c r="O1" s="156"/>
      <c r="P1" s="156"/>
      <c r="Q1" s="156"/>
      <c r="R1" s="156"/>
      <c r="X1" s="1" t="s">
        <v>85</v>
      </c>
    </row>
    <row r="2" spans="1:27" ht="18.600000000000001" customHeight="1">
      <c r="A2" s="2" t="s">
        <v>165</v>
      </c>
      <c r="B2" s="16">
        <v>43272</v>
      </c>
      <c r="C2" s="16">
        <v>43273</v>
      </c>
      <c r="D2" s="7">
        <v>43274</v>
      </c>
      <c r="E2" s="7">
        <v>43275</v>
      </c>
      <c r="F2" s="16">
        <v>43276</v>
      </c>
      <c r="G2" s="16">
        <v>43277</v>
      </c>
      <c r="H2" s="16">
        <v>43278</v>
      </c>
      <c r="I2" s="16">
        <v>43279</v>
      </c>
      <c r="J2" s="16">
        <v>43280</v>
      </c>
      <c r="K2" s="7">
        <v>43281</v>
      </c>
      <c r="L2" s="6"/>
      <c r="M2" s="8" t="s">
        <v>163</v>
      </c>
      <c r="N2" s="9">
        <v>43282</v>
      </c>
      <c r="O2" s="11">
        <v>43283</v>
      </c>
      <c r="P2" s="11">
        <v>43284</v>
      </c>
      <c r="Q2" s="11">
        <v>43285</v>
      </c>
      <c r="R2" s="11">
        <v>43286</v>
      </c>
      <c r="V2" s="1" t="s">
        <v>63</v>
      </c>
      <c r="X2" s="1" t="s">
        <v>64</v>
      </c>
      <c r="Z2" s="1" t="s">
        <v>65</v>
      </c>
    </row>
    <row r="3" spans="1:27" ht="18.600000000000001" customHeight="1">
      <c r="A3" s="15">
        <v>1</v>
      </c>
      <c r="B3" s="3"/>
      <c r="C3" s="3"/>
      <c r="D3" s="3" t="s">
        <v>178</v>
      </c>
      <c r="E3" s="3" t="s">
        <v>179</v>
      </c>
      <c r="F3" s="3"/>
      <c r="G3" s="3"/>
      <c r="H3" s="3"/>
      <c r="I3" s="3"/>
      <c r="J3" s="3"/>
      <c r="K3" s="3" t="s">
        <v>184</v>
      </c>
      <c r="L3" s="3"/>
      <c r="M3" s="13"/>
      <c r="N3" s="3" t="s">
        <v>21</v>
      </c>
      <c r="O3" s="3"/>
      <c r="P3" s="3"/>
      <c r="Q3" s="3"/>
      <c r="R3" s="3"/>
      <c r="V3" s="1" t="s">
        <v>47</v>
      </c>
      <c r="W3" s="1">
        <v>2</v>
      </c>
      <c r="X3" s="1" t="s">
        <v>45</v>
      </c>
      <c r="Y3" s="1">
        <v>2</v>
      </c>
      <c r="Z3" s="1" t="s">
        <v>34</v>
      </c>
      <c r="AA3" s="1">
        <v>2</v>
      </c>
    </row>
    <row r="4" spans="1:27" ht="18.600000000000001" customHeight="1">
      <c r="A4" s="15">
        <v>2</v>
      </c>
      <c r="B4" s="3"/>
      <c r="C4" s="3"/>
      <c r="D4" s="3" t="s">
        <v>193</v>
      </c>
      <c r="E4" s="3" t="s">
        <v>23</v>
      </c>
      <c r="F4" s="3"/>
      <c r="G4" s="3"/>
      <c r="H4" s="3"/>
      <c r="I4" s="3"/>
      <c r="J4" s="3"/>
      <c r="K4" s="3" t="s">
        <v>152</v>
      </c>
      <c r="L4" s="3"/>
      <c r="M4" s="13"/>
      <c r="N4" s="3" t="s">
        <v>194</v>
      </c>
      <c r="O4" s="3"/>
      <c r="P4" s="3"/>
      <c r="Q4" s="3"/>
      <c r="R4" s="3"/>
      <c r="T4" s="17"/>
      <c r="U4" s="17"/>
      <c r="V4" s="1" t="s">
        <v>2</v>
      </c>
      <c r="W4" s="1">
        <v>2</v>
      </c>
      <c r="X4" s="1" t="s">
        <v>46</v>
      </c>
      <c r="Y4" s="1">
        <v>3</v>
      </c>
      <c r="Z4" s="1" t="s">
        <v>35</v>
      </c>
      <c r="AA4" s="1">
        <v>2</v>
      </c>
    </row>
    <row r="5" spans="1:27" ht="18.600000000000001" customHeight="1">
      <c r="A5" s="15">
        <v>3</v>
      </c>
      <c r="B5" s="3"/>
      <c r="C5" s="3"/>
      <c r="D5" s="3" t="s">
        <v>186</v>
      </c>
      <c r="E5" s="3" t="s">
        <v>168</v>
      </c>
      <c r="F5" s="3"/>
      <c r="G5" s="3"/>
      <c r="H5" s="3"/>
      <c r="I5" s="3"/>
      <c r="J5" s="3"/>
      <c r="K5" s="3" t="s">
        <v>187</v>
      </c>
      <c r="L5" s="3"/>
      <c r="M5" s="13"/>
      <c r="N5" s="3" t="s">
        <v>189</v>
      </c>
      <c r="O5" s="3"/>
      <c r="P5" s="3"/>
      <c r="Q5" s="3"/>
      <c r="R5" s="3"/>
      <c r="T5" s="17"/>
      <c r="U5" s="17"/>
      <c r="V5" s="1" t="s">
        <v>14</v>
      </c>
      <c r="W5" s="1">
        <v>3</v>
      </c>
      <c r="X5" s="1" t="s">
        <v>6</v>
      </c>
      <c r="Y5" s="1">
        <v>2</v>
      </c>
      <c r="Z5" s="1" t="s">
        <v>8</v>
      </c>
      <c r="AA5" s="1">
        <v>3</v>
      </c>
    </row>
    <row r="6" spans="1:27" ht="18.600000000000001" customHeight="1">
      <c r="A6" s="15" t="s">
        <v>20</v>
      </c>
      <c r="B6" s="3" t="s">
        <v>170</v>
      </c>
      <c r="C6" s="3" t="s">
        <v>13</v>
      </c>
      <c r="D6" s="3" t="s">
        <v>13</v>
      </c>
      <c r="E6" s="3" t="s">
        <v>13</v>
      </c>
      <c r="F6" s="3" t="s">
        <v>171</v>
      </c>
      <c r="G6" s="3" t="s">
        <v>13</v>
      </c>
      <c r="H6" s="3" t="s">
        <v>13</v>
      </c>
      <c r="I6" s="3" t="s">
        <v>13</v>
      </c>
      <c r="J6" s="3" t="s">
        <v>13</v>
      </c>
      <c r="K6" s="3" t="s">
        <v>13</v>
      </c>
      <c r="L6" s="3"/>
      <c r="M6" s="13"/>
      <c r="N6" s="3" t="s">
        <v>171</v>
      </c>
      <c r="O6" s="3" t="s">
        <v>6</v>
      </c>
      <c r="P6" s="3" t="s">
        <v>13</v>
      </c>
      <c r="Q6" s="3" t="s">
        <v>13</v>
      </c>
      <c r="R6" s="3" t="s">
        <v>13</v>
      </c>
      <c r="T6" s="17"/>
      <c r="U6" s="17"/>
      <c r="V6" s="1" t="s">
        <v>7</v>
      </c>
      <c r="W6" s="1">
        <v>3</v>
      </c>
      <c r="X6" s="1" t="s">
        <v>25</v>
      </c>
      <c r="Y6" s="1">
        <v>2</v>
      </c>
      <c r="Z6" s="1" t="s">
        <v>17</v>
      </c>
      <c r="AA6" s="1">
        <v>2</v>
      </c>
    </row>
    <row r="7" spans="1:27" ht="18.600000000000001" customHeight="1">
      <c r="A7" s="15" t="s">
        <v>0</v>
      </c>
      <c r="B7" s="3" t="s">
        <v>9</v>
      </c>
      <c r="C7" s="3" t="s">
        <v>13</v>
      </c>
      <c r="D7" s="3" t="s">
        <v>13</v>
      </c>
      <c r="E7" s="3" t="s">
        <v>114</v>
      </c>
      <c r="F7" s="3" t="s">
        <v>115</v>
      </c>
      <c r="G7" s="3" t="s">
        <v>13</v>
      </c>
      <c r="H7" s="3" t="s">
        <v>13</v>
      </c>
      <c r="I7" s="3" t="s">
        <v>9</v>
      </c>
      <c r="J7" s="3" t="s">
        <v>13</v>
      </c>
      <c r="K7" s="3" t="s">
        <v>13</v>
      </c>
      <c r="L7" s="3"/>
      <c r="M7" s="13"/>
      <c r="N7" s="3" t="s">
        <v>115</v>
      </c>
      <c r="O7" s="3" t="s">
        <v>13</v>
      </c>
      <c r="P7" s="3" t="s">
        <v>13</v>
      </c>
      <c r="Q7" s="3" t="s">
        <v>13</v>
      </c>
      <c r="R7" s="3" t="s">
        <v>9</v>
      </c>
      <c r="T7" s="17"/>
      <c r="U7" s="17"/>
      <c r="V7" s="1" t="s">
        <v>21</v>
      </c>
      <c r="W7" s="1">
        <v>3</v>
      </c>
      <c r="X7" s="1" t="s">
        <v>23</v>
      </c>
      <c r="Y7" s="1">
        <v>2</v>
      </c>
      <c r="Z7" s="1" t="s">
        <v>38</v>
      </c>
      <c r="AA7" s="1">
        <v>2</v>
      </c>
    </row>
    <row r="8" spans="1:27" ht="18.600000000000001" customHeight="1">
      <c r="A8" s="15" t="s">
        <v>1</v>
      </c>
      <c r="B8" s="3" t="s">
        <v>10</v>
      </c>
      <c r="C8" s="3"/>
      <c r="D8" s="3"/>
      <c r="E8" s="3" t="s">
        <v>166</v>
      </c>
      <c r="F8" s="3" t="s">
        <v>13</v>
      </c>
      <c r="G8" s="3" t="s">
        <v>13</v>
      </c>
      <c r="H8" s="3" t="s">
        <v>13</v>
      </c>
      <c r="I8" s="3" t="s">
        <v>13</v>
      </c>
      <c r="J8" s="3" t="s">
        <v>215</v>
      </c>
      <c r="K8" s="3" t="s">
        <v>13</v>
      </c>
      <c r="L8" s="3"/>
      <c r="M8" s="13"/>
      <c r="N8" s="3" t="s">
        <v>10</v>
      </c>
      <c r="O8" s="3" t="s">
        <v>13</v>
      </c>
      <c r="P8" s="3" t="s">
        <v>13</v>
      </c>
      <c r="Q8" s="3" t="s">
        <v>13</v>
      </c>
      <c r="R8" s="3" t="s">
        <v>13</v>
      </c>
      <c r="T8" s="17"/>
      <c r="V8" s="1" t="s">
        <v>26</v>
      </c>
      <c r="W8" s="1">
        <v>2</v>
      </c>
      <c r="X8" s="1" t="s">
        <v>27</v>
      </c>
      <c r="Y8" s="1">
        <v>2</v>
      </c>
      <c r="Z8" s="1" t="s">
        <v>36</v>
      </c>
      <c r="AA8" s="1">
        <v>2</v>
      </c>
    </row>
    <row r="9" spans="1:27" ht="18.600000000000001" customHeight="1">
      <c r="A9" s="12" t="s">
        <v>163</v>
      </c>
      <c r="B9" s="11">
        <v>43287</v>
      </c>
      <c r="C9" s="9">
        <v>43288</v>
      </c>
      <c r="D9" s="9">
        <v>43289</v>
      </c>
      <c r="E9" s="11">
        <v>43290</v>
      </c>
      <c r="F9" s="11">
        <v>43291</v>
      </c>
      <c r="G9" s="11">
        <v>43292</v>
      </c>
      <c r="H9" s="11">
        <v>43293</v>
      </c>
      <c r="I9" s="11">
        <v>43294</v>
      </c>
      <c r="J9" s="9">
        <v>43295</v>
      </c>
      <c r="K9" s="9">
        <v>43296</v>
      </c>
      <c r="L9" s="11">
        <v>43297</v>
      </c>
      <c r="M9" s="11">
        <v>43298</v>
      </c>
      <c r="N9" s="11">
        <v>43299</v>
      </c>
      <c r="O9" s="11">
        <v>43300</v>
      </c>
      <c r="P9" s="11">
        <v>43301</v>
      </c>
      <c r="Q9" s="3"/>
      <c r="R9" s="3"/>
      <c r="T9" s="17"/>
      <c r="V9" s="1" t="s">
        <v>28</v>
      </c>
      <c r="W9" s="1">
        <v>2</v>
      </c>
      <c r="X9" s="1" t="s">
        <v>16</v>
      </c>
      <c r="Y9" s="1">
        <v>2</v>
      </c>
      <c r="Z9" s="1" t="s">
        <v>37</v>
      </c>
      <c r="AA9" s="1">
        <v>3</v>
      </c>
    </row>
    <row r="10" spans="1:27" ht="18.600000000000001" customHeight="1">
      <c r="A10" s="13">
        <v>1</v>
      </c>
      <c r="B10" s="3"/>
      <c r="C10" s="3" t="s">
        <v>181</v>
      </c>
      <c r="D10" s="3" t="s">
        <v>26</v>
      </c>
      <c r="E10" s="3"/>
      <c r="F10" s="3"/>
      <c r="G10" s="3"/>
      <c r="H10" s="3"/>
      <c r="I10" s="3"/>
      <c r="J10" s="3" t="s">
        <v>185</v>
      </c>
      <c r="K10" s="3" t="s">
        <v>178</v>
      </c>
      <c r="L10" s="3"/>
      <c r="M10" s="3"/>
      <c r="N10" s="3"/>
      <c r="O10" s="3"/>
      <c r="P10" s="3"/>
      <c r="Q10" s="3"/>
      <c r="R10" s="3"/>
      <c r="T10" s="17"/>
      <c r="V10" s="1" t="s">
        <v>108</v>
      </c>
      <c r="W10" s="1">
        <f>SUM(W3:W9)</f>
        <v>17</v>
      </c>
      <c r="Y10" s="1">
        <f>SUM(Y3:Y9)</f>
        <v>15</v>
      </c>
      <c r="AA10" s="1">
        <f>SUM(AA3:AA9)</f>
        <v>16</v>
      </c>
    </row>
    <row r="11" spans="1:27" ht="18.600000000000001" customHeight="1">
      <c r="A11" s="13">
        <v>2</v>
      </c>
      <c r="B11" s="3"/>
      <c r="C11" s="3" t="s">
        <v>195</v>
      </c>
      <c r="D11" s="3" t="s">
        <v>196</v>
      </c>
      <c r="E11" s="3"/>
      <c r="F11" s="3"/>
      <c r="G11" s="3"/>
      <c r="H11" s="3"/>
      <c r="I11" s="3"/>
      <c r="J11" s="3" t="s">
        <v>45</v>
      </c>
      <c r="K11" s="3" t="s">
        <v>204</v>
      </c>
      <c r="L11" s="3"/>
      <c r="M11" s="3"/>
      <c r="N11" s="3"/>
      <c r="O11" s="3"/>
      <c r="P11" s="3"/>
      <c r="Q11" s="3"/>
      <c r="R11" s="3"/>
      <c r="T11" s="17"/>
    </row>
    <row r="12" spans="1:27" ht="18.600000000000001" customHeight="1">
      <c r="A12" s="13">
        <v>3</v>
      </c>
      <c r="B12" s="18"/>
      <c r="C12" s="3" t="s">
        <v>168</v>
      </c>
      <c r="D12" s="3" t="s">
        <v>188</v>
      </c>
      <c r="E12" s="3"/>
      <c r="F12" s="3"/>
      <c r="G12" s="3"/>
      <c r="H12" s="3"/>
      <c r="I12" s="3"/>
      <c r="J12" s="3" t="s">
        <v>191</v>
      </c>
      <c r="K12" s="3" t="s">
        <v>190</v>
      </c>
      <c r="L12" s="3"/>
      <c r="M12" s="3"/>
      <c r="N12" s="3"/>
      <c r="O12" s="3"/>
      <c r="P12" s="3"/>
      <c r="Q12" s="3"/>
      <c r="R12" s="3"/>
      <c r="T12" s="17"/>
      <c r="X12" s="1" t="s">
        <v>116</v>
      </c>
    </row>
    <row r="13" spans="1:27" ht="18.600000000000001" customHeight="1">
      <c r="A13" s="13" t="s">
        <v>20</v>
      </c>
      <c r="B13" s="3" t="s">
        <v>6</v>
      </c>
      <c r="C13" s="3" t="s">
        <v>13</v>
      </c>
      <c r="D13" s="3" t="s">
        <v>13</v>
      </c>
      <c r="E13" s="3" t="s">
        <v>28</v>
      </c>
      <c r="F13" s="3" t="s">
        <v>13</v>
      </c>
      <c r="G13" s="3" t="s">
        <v>13</v>
      </c>
      <c r="H13" s="3" t="s">
        <v>13</v>
      </c>
      <c r="I13" s="3" t="s">
        <v>13</v>
      </c>
      <c r="J13" s="3" t="s">
        <v>13</v>
      </c>
      <c r="K13" s="3" t="s">
        <v>13</v>
      </c>
      <c r="L13" s="3" t="s">
        <v>172</v>
      </c>
      <c r="M13" s="3" t="s">
        <v>13</v>
      </c>
      <c r="N13" s="3" t="s">
        <v>13</v>
      </c>
      <c r="O13" s="3" t="s">
        <v>13</v>
      </c>
      <c r="P13" s="3" t="s">
        <v>13</v>
      </c>
      <c r="Q13" s="3"/>
      <c r="R13" s="3"/>
      <c r="T13" s="17"/>
      <c r="V13" s="1" t="s">
        <v>63</v>
      </c>
      <c r="X13" s="1" t="s">
        <v>64</v>
      </c>
      <c r="Z13" s="1" t="s">
        <v>65</v>
      </c>
    </row>
    <row r="14" spans="1:27" ht="18.600000000000001" customHeight="1">
      <c r="A14" s="13" t="s">
        <v>0</v>
      </c>
      <c r="B14" s="3" t="s">
        <v>9</v>
      </c>
      <c r="C14" s="3" t="s">
        <v>13</v>
      </c>
      <c r="D14" s="3" t="s">
        <v>114</v>
      </c>
      <c r="E14" s="3" t="s">
        <v>115</v>
      </c>
      <c r="F14" s="3" t="s">
        <v>13</v>
      </c>
      <c r="G14" s="3" t="s">
        <v>13</v>
      </c>
      <c r="H14" s="3" t="s">
        <v>9</v>
      </c>
      <c r="I14" s="3" t="s">
        <v>13</v>
      </c>
      <c r="J14" s="3" t="s">
        <v>13</v>
      </c>
      <c r="K14" s="3" t="s">
        <v>114</v>
      </c>
      <c r="L14" s="3" t="s">
        <v>115</v>
      </c>
      <c r="M14" s="3" t="s">
        <v>13</v>
      </c>
      <c r="N14" s="3" t="s">
        <v>13</v>
      </c>
      <c r="O14" s="3" t="s">
        <v>9</v>
      </c>
      <c r="P14" s="3" t="s">
        <v>13</v>
      </c>
      <c r="Q14" s="3"/>
      <c r="R14" s="3"/>
      <c r="T14" s="17"/>
      <c r="V14" s="1" t="s">
        <v>47</v>
      </c>
      <c r="W14" s="1">
        <v>3</v>
      </c>
      <c r="X14" s="1" t="s">
        <v>45</v>
      </c>
      <c r="Y14" s="1">
        <v>3</v>
      </c>
      <c r="Z14" s="1" t="s">
        <v>34</v>
      </c>
      <c r="AA14" s="1">
        <v>3</v>
      </c>
    </row>
    <row r="15" spans="1:27" ht="18.600000000000001" customHeight="1">
      <c r="A15" s="13" t="s">
        <v>1</v>
      </c>
      <c r="B15" s="3" t="s">
        <v>213</v>
      </c>
      <c r="C15" s="3" t="s">
        <v>13</v>
      </c>
      <c r="D15" s="3" t="s">
        <v>166</v>
      </c>
      <c r="E15" s="3" t="s">
        <v>13</v>
      </c>
      <c r="F15" s="3" t="s">
        <v>13</v>
      </c>
      <c r="G15" s="3" t="s">
        <v>13</v>
      </c>
      <c r="H15" s="3" t="s">
        <v>13</v>
      </c>
      <c r="I15" s="3" t="s">
        <v>213</v>
      </c>
      <c r="J15" s="3" t="s">
        <v>13</v>
      </c>
      <c r="K15" s="3" t="s">
        <v>10</v>
      </c>
      <c r="L15" s="3" t="s">
        <v>13</v>
      </c>
      <c r="M15" s="3" t="s">
        <v>13</v>
      </c>
      <c r="N15" s="3" t="s">
        <v>13</v>
      </c>
      <c r="O15" s="3" t="s">
        <v>13</v>
      </c>
      <c r="P15" s="3" t="s">
        <v>213</v>
      </c>
      <c r="Q15" s="3"/>
      <c r="R15" s="3"/>
      <c r="T15" s="17"/>
      <c r="V15" s="1" t="s">
        <v>2</v>
      </c>
      <c r="W15" s="1">
        <v>3</v>
      </c>
      <c r="X15" s="1" t="s">
        <v>46</v>
      </c>
      <c r="Y15" s="1">
        <v>3</v>
      </c>
      <c r="Z15" s="1" t="s">
        <v>35</v>
      </c>
      <c r="AA15" s="1">
        <v>3</v>
      </c>
    </row>
    <row r="16" spans="1:27" ht="18.600000000000001" customHeight="1">
      <c r="A16" s="20" t="s">
        <v>128</v>
      </c>
      <c r="B16" s="4"/>
      <c r="C16" s="4"/>
      <c r="D16" s="4"/>
      <c r="E16" s="4"/>
      <c r="F16" s="4"/>
      <c r="G16" s="4"/>
      <c r="H16" s="21" t="s">
        <v>111</v>
      </c>
      <c r="I16" s="21"/>
      <c r="J16" s="21"/>
      <c r="K16" s="21"/>
      <c r="L16" s="21"/>
      <c r="M16" s="21"/>
      <c r="N16" s="21"/>
      <c r="O16" s="21"/>
      <c r="P16" s="4"/>
      <c r="Q16" s="4"/>
      <c r="R16" s="5"/>
      <c r="T16" s="17"/>
      <c r="V16" s="1" t="s">
        <v>14</v>
      </c>
      <c r="W16" s="1">
        <v>2</v>
      </c>
      <c r="X16" s="1" t="s">
        <v>6</v>
      </c>
      <c r="Y16" s="1">
        <v>3</v>
      </c>
      <c r="Z16" s="1" t="s">
        <v>8</v>
      </c>
      <c r="AA16" s="1">
        <v>2</v>
      </c>
    </row>
    <row r="17" spans="1:29" ht="18.600000000000001" customHeight="1">
      <c r="A17" s="12" t="s">
        <v>163</v>
      </c>
      <c r="B17" s="9">
        <v>43302</v>
      </c>
      <c r="C17" s="9">
        <v>43303</v>
      </c>
      <c r="D17" s="11">
        <v>43304</v>
      </c>
      <c r="E17" s="11">
        <v>43305</v>
      </c>
      <c r="F17" s="11">
        <v>43306</v>
      </c>
      <c r="G17" s="11">
        <v>43307</v>
      </c>
      <c r="H17" s="11">
        <v>43308</v>
      </c>
      <c r="I17" s="9">
        <v>43309</v>
      </c>
      <c r="J17" s="9">
        <v>43310</v>
      </c>
      <c r="K17" s="11">
        <v>43311</v>
      </c>
      <c r="L17" s="11">
        <v>43312</v>
      </c>
      <c r="M17" s="14" t="s">
        <v>164</v>
      </c>
      <c r="N17" s="16">
        <v>43313</v>
      </c>
      <c r="O17" s="16">
        <v>43314</v>
      </c>
      <c r="P17" s="16">
        <v>43315</v>
      </c>
      <c r="Q17" s="7">
        <v>43316</v>
      </c>
      <c r="R17" s="7">
        <v>43317</v>
      </c>
      <c r="T17" s="17"/>
      <c r="V17" s="1" t="s">
        <v>7</v>
      </c>
      <c r="W17" s="1">
        <v>3</v>
      </c>
      <c r="X17" s="1" t="s">
        <v>25</v>
      </c>
      <c r="Y17" s="1">
        <v>2</v>
      </c>
      <c r="Z17" s="1" t="s">
        <v>17</v>
      </c>
      <c r="AA17" s="1">
        <v>3</v>
      </c>
    </row>
    <row r="18" spans="1:29" ht="18.600000000000001" customHeight="1">
      <c r="A18" s="13">
        <v>1</v>
      </c>
      <c r="B18" s="3" t="s">
        <v>179</v>
      </c>
      <c r="C18" s="3" t="s">
        <v>182</v>
      </c>
      <c r="D18" s="3"/>
      <c r="E18" s="3"/>
      <c r="F18" s="3"/>
      <c r="G18" s="3"/>
      <c r="H18" s="3"/>
      <c r="I18" s="3" t="s">
        <v>180</v>
      </c>
      <c r="J18" s="3" t="s">
        <v>183</v>
      </c>
      <c r="K18" s="3"/>
      <c r="L18" s="3"/>
      <c r="M18" s="15"/>
      <c r="N18" s="3"/>
      <c r="O18" s="3"/>
      <c r="P18" s="3"/>
      <c r="Q18" s="3" t="s">
        <v>181</v>
      </c>
      <c r="R18" s="3" t="s">
        <v>185</v>
      </c>
      <c r="T18" s="17"/>
      <c r="V18" s="1" t="s">
        <v>21</v>
      </c>
      <c r="W18" s="1">
        <v>2</v>
      </c>
      <c r="X18" s="1" t="s">
        <v>23</v>
      </c>
      <c r="Y18" s="1">
        <v>3</v>
      </c>
      <c r="Z18" s="1" t="s">
        <v>38</v>
      </c>
      <c r="AA18" s="1">
        <v>3</v>
      </c>
    </row>
    <row r="19" spans="1:29" ht="18.600000000000001" customHeight="1">
      <c r="A19" s="13">
        <v>2</v>
      </c>
      <c r="B19" s="3" t="s">
        <v>112</v>
      </c>
      <c r="C19" s="3" t="s">
        <v>6</v>
      </c>
      <c r="D19" s="3"/>
      <c r="E19" s="3"/>
      <c r="F19" s="3"/>
      <c r="G19" s="3"/>
      <c r="H19" s="3"/>
      <c r="I19" s="3" t="s">
        <v>25</v>
      </c>
      <c r="J19" s="3" t="s">
        <v>153</v>
      </c>
      <c r="K19" s="3"/>
      <c r="L19" s="3"/>
      <c r="M19" s="15"/>
      <c r="N19" s="3"/>
      <c r="O19" s="3"/>
      <c r="P19" s="3"/>
      <c r="Q19" s="3" t="s">
        <v>152</v>
      </c>
      <c r="R19" s="3" t="s">
        <v>197</v>
      </c>
      <c r="T19" s="17"/>
      <c r="V19" s="1" t="s">
        <v>26</v>
      </c>
      <c r="W19" s="1">
        <v>2</v>
      </c>
      <c r="X19" s="1" t="s">
        <v>16</v>
      </c>
      <c r="Y19" s="1">
        <v>2</v>
      </c>
      <c r="Z19" s="1" t="s">
        <v>36</v>
      </c>
      <c r="AA19" s="1">
        <v>3</v>
      </c>
    </row>
    <row r="20" spans="1:29" ht="18.600000000000001" customHeight="1">
      <c r="A20" s="13">
        <v>3</v>
      </c>
      <c r="B20" s="3" t="s">
        <v>187</v>
      </c>
      <c r="C20" s="3" t="s">
        <v>186</v>
      </c>
      <c r="D20" s="3"/>
      <c r="E20" s="3"/>
      <c r="F20" s="3"/>
      <c r="G20" s="3"/>
      <c r="H20" s="19"/>
      <c r="I20" s="3" t="s">
        <v>168</v>
      </c>
      <c r="J20" s="3" t="s">
        <v>189</v>
      </c>
      <c r="K20" s="3"/>
      <c r="L20" s="3"/>
      <c r="M20" s="15"/>
      <c r="N20" s="3"/>
      <c r="O20" s="3"/>
      <c r="P20" s="3"/>
      <c r="Q20" s="3" t="s">
        <v>190</v>
      </c>
      <c r="R20" s="3" t="s">
        <v>188</v>
      </c>
      <c r="T20" s="17"/>
      <c r="V20" s="1" t="s">
        <v>28</v>
      </c>
      <c r="W20" s="1">
        <v>3</v>
      </c>
      <c r="X20" s="1" t="s">
        <v>152</v>
      </c>
      <c r="Y20" s="1">
        <v>2</v>
      </c>
      <c r="Z20" s="1" t="s">
        <v>37</v>
      </c>
      <c r="AA20" s="1">
        <v>2</v>
      </c>
    </row>
    <row r="21" spans="1:29" ht="18.600000000000001" customHeight="1">
      <c r="A21" s="13" t="s">
        <v>20</v>
      </c>
      <c r="B21" s="3" t="s">
        <v>172</v>
      </c>
      <c r="C21" s="3" t="s">
        <v>13</v>
      </c>
      <c r="D21" s="3" t="s">
        <v>173</v>
      </c>
      <c r="E21" s="3" t="s">
        <v>13</v>
      </c>
      <c r="F21" s="3" t="s">
        <v>13</v>
      </c>
      <c r="G21" s="3" t="s">
        <v>13</v>
      </c>
      <c r="H21" s="3" t="s">
        <v>13</v>
      </c>
      <c r="I21" s="3" t="s">
        <v>13</v>
      </c>
      <c r="J21" s="3" t="s">
        <v>13</v>
      </c>
      <c r="K21" s="3" t="s">
        <v>174</v>
      </c>
      <c r="L21" s="3" t="s">
        <v>13</v>
      </c>
      <c r="M21" s="15"/>
      <c r="N21" s="3" t="s">
        <v>174</v>
      </c>
      <c r="O21" s="3" t="s">
        <v>13</v>
      </c>
      <c r="P21" s="3" t="s">
        <v>13</v>
      </c>
      <c r="Q21" s="3" t="s">
        <v>13</v>
      </c>
      <c r="R21" s="3" t="s">
        <v>13</v>
      </c>
      <c r="T21" s="17"/>
      <c r="V21" s="1" t="s">
        <v>27</v>
      </c>
      <c r="W21" s="1">
        <v>2</v>
      </c>
      <c r="X21" s="1" t="s">
        <v>153</v>
      </c>
      <c r="Y21" s="1">
        <v>2</v>
      </c>
      <c r="Z21" s="1" t="s">
        <v>112</v>
      </c>
      <c r="AA21" s="1">
        <v>1</v>
      </c>
    </row>
    <row r="22" spans="1:29" ht="18.600000000000001" customHeight="1">
      <c r="A22" s="13" t="s">
        <v>0</v>
      </c>
      <c r="B22" s="3" t="s">
        <v>9</v>
      </c>
      <c r="C22" s="3" t="s">
        <v>114</v>
      </c>
      <c r="D22" s="3" t="s">
        <v>115</v>
      </c>
      <c r="E22" s="3" t="s">
        <v>13</v>
      </c>
      <c r="F22" s="3" t="s">
        <v>13</v>
      </c>
      <c r="G22" s="3" t="s">
        <v>9</v>
      </c>
      <c r="H22" s="3" t="s">
        <v>13</v>
      </c>
      <c r="I22" s="3" t="s">
        <v>13</v>
      </c>
      <c r="J22" s="3" t="s">
        <v>114</v>
      </c>
      <c r="K22" s="3" t="s">
        <v>115</v>
      </c>
      <c r="L22" s="3" t="s">
        <v>13</v>
      </c>
      <c r="M22" s="15"/>
      <c r="N22" s="3" t="s">
        <v>115</v>
      </c>
      <c r="O22" s="3" t="s">
        <v>9</v>
      </c>
      <c r="P22" s="3" t="s">
        <v>13</v>
      </c>
      <c r="Q22" s="3" t="s">
        <v>13</v>
      </c>
      <c r="R22" s="3" t="s">
        <v>114</v>
      </c>
      <c r="T22" s="17"/>
      <c r="V22" s="1" t="s">
        <v>161</v>
      </c>
      <c r="W22" s="1">
        <f>SUM(W14:W21)</f>
        <v>20</v>
      </c>
      <c r="Y22" s="1">
        <f>SUM(Y14:Y21)</f>
        <v>20</v>
      </c>
      <c r="AA22" s="1">
        <f>SUM(AA14:AA21)</f>
        <v>20</v>
      </c>
    </row>
    <row r="23" spans="1:29" ht="18.600000000000001" customHeight="1">
      <c r="A23" s="13" t="s">
        <v>1</v>
      </c>
      <c r="B23" s="3" t="s">
        <v>213</v>
      </c>
      <c r="C23" s="3" t="s">
        <v>166</v>
      </c>
      <c r="D23" s="3" t="s">
        <v>13</v>
      </c>
      <c r="E23" s="3" t="s">
        <v>13</v>
      </c>
      <c r="F23" s="3" t="s">
        <v>13</v>
      </c>
      <c r="G23" s="3" t="s">
        <v>13</v>
      </c>
      <c r="H23" s="3" t="s">
        <v>213</v>
      </c>
      <c r="I23" s="3" t="s">
        <v>13</v>
      </c>
      <c r="J23" s="3" t="s">
        <v>10</v>
      </c>
      <c r="K23" s="3" t="s">
        <v>13</v>
      </c>
      <c r="L23" s="3" t="s">
        <v>13</v>
      </c>
      <c r="M23" s="15"/>
      <c r="N23" s="3" t="s">
        <v>10</v>
      </c>
      <c r="O23" s="3" t="s">
        <v>13</v>
      </c>
      <c r="P23" s="3" t="s">
        <v>213</v>
      </c>
      <c r="Q23" s="3" t="s">
        <v>13</v>
      </c>
      <c r="R23" s="3" t="s">
        <v>166</v>
      </c>
      <c r="T23" s="17"/>
    </row>
    <row r="24" spans="1:29" ht="18.600000000000001" customHeight="1">
      <c r="A24" s="2" t="s">
        <v>164</v>
      </c>
      <c r="B24" s="16">
        <v>43318</v>
      </c>
      <c r="C24" s="16">
        <v>43319</v>
      </c>
      <c r="D24" s="16">
        <v>43320</v>
      </c>
      <c r="E24" s="16">
        <v>43321</v>
      </c>
      <c r="F24" s="16">
        <v>43322</v>
      </c>
      <c r="G24" s="7">
        <v>43323</v>
      </c>
      <c r="H24" s="7">
        <v>43324</v>
      </c>
      <c r="I24" s="7">
        <v>43325</v>
      </c>
      <c r="J24" s="7">
        <v>43326</v>
      </c>
      <c r="K24" s="7">
        <v>43327</v>
      </c>
      <c r="L24" s="16">
        <v>43328</v>
      </c>
      <c r="M24" s="16">
        <v>43329</v>
      </c>
      <c r="N24" s="7">
        <v>43330</v>
      </c>
      <c r="O24" s="7">
        <v>43331</v>
      </c>
      <c r="P24" s="16">
        <v>43332</v>
      </c>
      <c r="Q24" s="3"/>
      <c r="R24" s="3"/>
      <c r="T24" s="17"/>
      <c r="X24" s="1" t="s">
        <v>167</v>
      </c>
    </row>
    <row r="25" spans="1:29" ht="18.600000000000001" customHeight="1">
      <c r="A25" s="15">
        <v>1</v>
      </c>
      <c r="B25" s="3"/>
      <c r="C25" s="3"/>
      <c r="D25" s="3"/>
      <c r="E25" s="3"/>
      <c r="F25" s="3"/>
      <c r="G25" s="3" t="s">
        <v>178</v>
      </c>
      <c r="H25" s="3" t="s">
        <v>184</v>
      </c>
      <c r="I25" s="3" t="s">
        <v>182</v>
      </c>
      <c r="J25" s="3" t="s">
        <v>180</v>
      </c>
      <c r="K25" s="3" t="s">
        <v>179</v>
      </c>
      <c r="L25" s="3"/>
      <c r="M25" s="3"/>
      <c r="N25" s="3" t="s">
        <v>200</v>
      </c>
      <c r="O25" s="3" t="s">
        <v>199</v>
      </c>
      <c r="P25" s="3"/>
      <c r="Q25" s="3"/>
      <c r="R25" s="3"/>
      <c r="T25" s="17"/>
      <c r="V25" s="1" t="s">
        <v>63</v>
      </c>
      <c r="X25" s="1" t="s">
        <v>64</v>
      </c>
      <c r="Z25" s="1" t="s">
        <v>65</v>
      </c>
      <c r="AB25" s="1" t="s">
        <v>169</v>
      </c>
    </row>
    <row r="26" spans="1:29" ht="18.600000000000001" customHeight="1">
      <c r="A26" s="15">
        <v>2</v>
      </c>
      <c r="B26" s="3"/>
      <c r="C26" s="3"/>
      <c r="D26" s="3"/>
      <c r="E26" s="3"/>
      <c r="F26" s="3"/>
      <c r="G26" s="3" t="s">
        <v>201</v>
      </c>
      <c r="H26" s="3" t="s">
        <v>204</v>
      </c>
      <c r="I26" s="3" t="s">
        <v>206</v>
      </c>
      <c r="J26" s="3" t="s">
        <v>198</v>
      </c>
      <c r="K26" s="3" t="s">
        <v>202</v>
      </c>
      <c r="L26" s="3"/>
      <c r="M26" s="3"/>
      <c r="N26" s="3" t="s">
        <v>205</v>
      </c>
      <c r="O26" s="3" t="s">
        <v>203</v>
      </c>
      <c r="P26" s="3"/>
      <c r="Q26" s="3"/>
      <c r="R26" s="3"/>
      <c r="T26" s="17"/>
      <c r="V26" s="1" t="s">
        <v>47</v>
      </c>
      <c r="W26" s="1">
        <v>2</v>
      </c>
      <c r="X26" s="1" t="s">
        <v>45</v>
      </c>
      <c r="Y26" s="1">
        <v>3</v>
      </c>
      <c r="Z26" s="1" t="s">
        <v>34</v>
      </c>
      <c r="AA26" s="1">
        <v>3</v>
      </c>
      <c r="AB26" s="1" t="s">
        <v>170</v>
      </c>
      <c r="AC26" s="1">
        <v>1</v>
      </c>
    </row>
    <row r="27" spans="1:29" ht="18.600000000000001" customHeight="1">
      <c r="A27" s="15">
        <v>3</v>
      </c>
      <c r="B27" s="3"/>
      <c r="C27" s="3"/>
      <c r="D27" s="3"/>
      <c r="E27" s="3"/>
      <c r="F27" s="3"/>
      <c r="G27" s="3" t="s">
        <v>192</v>
      </c>
      <c r="H27" s="3" t="s">
        <v>16</v>
      </c>
      <c r="I27" s="3" t="s">
        <v>17</v>
      </c>
      <c r="J27" s="3" t="s">
        <v>187</v>
      </c>
      <c r="K27" s="3" t="s">
        <v>189</v>
      </c>
      <c r="L27" s="3"/>
      <c r="M27" s="19"/>
      <c r="N27" s="3" t="s">
        <v>36</v>
      </c>
      <c r="O27" s="3" t="s">
        <v>208</v>
      </c>
      <c r="P27" s="3"/>
      <c r="Q27" s="3"/>
      <c r="R27" s="3"/>
      <c r="T27" s="17"/>
      <c r="V27" s="1" t="s">
        <v>2</v>
      </c>
      <c r="W27" s="1">
        <v>3</v>
      </c>
      <c r="X27" s="1" t="s">
        <v>46</v>
      </c>
      <c r="Y27" s="1">
        <v>2</v>
      </c>
      <c r="Z27" s="1" t="s">
        <v>35</v>
      </c>
      <c r="AA27" s="1">
        <v>3</v>
      </c>
      <c r="AB27" s="1" t="s">
        <v>171</v>
      </c>
      <c r="AC27" s="1">
        <v>1</v>
      </c>
    </row>
    <row r="28" spans="1:29" ht="18.600000000000001" customHeight="1">
      <c r="A28" s="15" t="s">
        <v>20</v>
      </c>
      <c r="B28" s="3" t="s">
        <v>175</v>
      </c>
      <c r="C28" s="3" t="s">
        <v>13</v>
      </c>
      <c r="D28" s="3" t="s">
        <v>13</v>
      </c>
      <c r="E28" s="3" t="s">
        <v>13</v>
      </c>
      <c r="F28" s="3" t="s">
        <v>13</v>
      </c>
      <c r="G28" s="3" t="s">
        <v>13</v>
      </c>
      <c r="H28" s="3" t="s">
        <v>13</v>
      </c>
      <c r="I28" s="3" t="s">
        <v>176</v>
      </c>
      <c r="J28" s="3" t="s">
        <v>13</v>
      </c>
      <c r="K28" s="3" t="s">
        <v>13</v>
      </c>
      <c r="L28" s="3" t="s">
        <v>13</v>
      </c>
      <c r="M28" s="3" t="s">
        <v>13</v>
      </c>
      <c r="N28" s="3" t="s">
        <v>13</v>
      </c>
      <c r="O28" s="3" t="s">
        <v>13</v>
      </c>
      <c r="P28" s="3" t="s">
        <v>170</v>
      </c>
      <c r="Q28" s="3"/>
      <c r="R28" s="3"/>
      <c r="T28" s="17"/>
      <c r="V28" s="1" t="s">
        <v>14</v>
      </c>
      <c r="W28" s="1">
        <v>3</v>
      </c>
      <c r="X28" s="1" t="s">
        <v>6</v>
      </c>
      <c r="Y28" s="1">
        <v>2</v>
      </c>
      <c r="Z28" s="1" t="s">
        <v>8</v>
      </c>
      <c r="AA28" s="1">
        <v>3</v>
      </c>
      <c r="AB28" s="1" t="s">
        <v>6</v>
      </c>
      <c r="AC28" s="1">
        <v>1</v>
      </c>
    </row>
    <row r="29" spans="1:29" ht="18.600000000000001" customHeight="1">
      <c r="A29" s="15" t="s">
        <v>0</v>
      </c>
      <c r="B29" s="3" t="s">
        <v>115</v>
      </c>
      <c r="C29" s="3" t="s">
        <v>13</v>
      </c>
      <c r="D29" s="3" t="s">
        <v>13</v>
      </c>
      <c r="E29" s="3"/>
      <c r="F29" s="3" t="s">
        <v>214</v>
      </c>
      <c r="G29" s="3"/>
      <c r="H29" s="3" t="s">
        <v>115</v>
      </c>
      <c r="I29" s="3" t="s">
        <v>13</v>
      </c>
      <c r="J29" s="3" t="s">
        <v>13</v>
      </c>
      <c r="K29" s="3" t="s">
        <v>13</v>
      </c>
      <c r="L29" s="3"/>
      <c r="M29" s="3" t="s">
        <v>9</v>
      </c>
      <c r="N29" s="3" t="s">
        <v>13</v>
      </c>
      <c r="O29" s="3" t="s">
        <v>114</v>
      </c>
      <c r="P29" s="3" t="s">
        <v>115</v>
      </c>
      <c r="Q29" s="3"/>
      <c r="R29" s="3"/>
      <c r="T29" s="17"/>
      <c r="V29" s="1" t="s">
        <v>7</v>
      </c>
      <c r="W29" s="1">
        <v>3</v>
      </c>
      <c r="X29" s="1" t="s">
        <v>25</v>
      </c>
      <c r="Y29" s="1">
        <v>3</v>
      </c>
      <c r="Z29" s="1" t="s">
        <v>17</v>
      </c>
      <c r="AA29" s="1">
        <v>2</v>
      </c>
      <c r="AB29" s="1" t="s">
        <v>28</v>
      </c>
      <c r="AC29" s="1">
        <v>1</v>
      </c>
    </row>
    <row r="30" spans="1:29" ht="18.600000000000001" customHeight="1">
      <c r="A30" s="15" t="s">
        <v>1</v>
      </c>
      <c r="B30" s="3" t="s">
        <v>166</v>
      </c>
      <c r="C30" s="3" t="s">
        <v>13</v>
      </c>
      <c r="D30" s="3" t="s">
        <v>13</v>
      </c>
      <c r="E30" s="3" t="s">
        <v>13</v>
      </c>
      <c r="F30" s="3" t="s">
        <v>213</v>
      </c>
      <c r="G30" s="3" t="s">
        <v>13</v>
      </c>
      <c r="H30" s="3" t="s">
        <v>212</v>
      </c>
      <c r="I30" s="3" t="s">
        <v>13</v>
      </c>
      <c r="J30" s="3"/>
      <c r="K30" s="3"/>
      <c r="L30" s="3" t="s">
        <v>177</v>
      </c>
      <c r="M30" s="3" t="s">
        <v>213</v>
      </c>
      <c r="N30" s="3" t="s">
        <v>13</v>
      </c>
      <c r="O30" s="3" t="s">
        <v>166</v>
      </c>
      <c r="P30" s="3" t="s">
        <v>13</v>
      </c>
      <c r="Q30" s="3"/>
      <c r="R30" s="3"/>
      <c r="V30" s="1" t="s">
        <v>21</v>
      </c>
      <c r="W30" s="1">
        <v>3</v>
      </c>
      <c r="X30" s="1" t="s">
        <v>23</v>
      </c>
      <c r="Y30" s="1">
        <v>3</v>
      </c>
      <c r="Z30" s="1" t="s">
        <v>38</v>
      </c>
      <c r="AA30" s="1">
        <v>2</v>
      </c>
      <c r="AB30" s="1" t="s">
        <v>172</v>
      </c>
      <c r="AC30" s="1">
        <v>1</v>
      </c>
    </row>
    <row r="31" spans="1:29" ht="12.75" customHeight="1">
      <c r="Q31" s="145" t="s">
        <v>82</v>
      </c>
      <c r="R31" s="145"/>
      <c r="T31" s="17"/>
      <c r="V31" s="1" t="s">
        <v>26</v>
      </c>
      <c r="W31" s="1">
        <v>2</v>
      </c>
      <c r="X31" s="1" t="s">
        <v>16</v>
      </c>
      <c r="Y31" s="1">
        <v>1</v>
      </c>
      <c r="Z31" s="1" t="s">
        <v>36</v>
      </c>
      <c r="AA31" s="1">
        <v>3</v>
      </c>
      <c r="AB31" s="1" t="s">
        <v>173</v>
      </c>
      <c r="AC31" s="1">
        <v>1</v>
      </c>
    </row>
    <row r="32" spans="1:29">
      <c r="T32" s="17"/>
      <c r="V32" s="1" t="s">
        <v>28</v>
      </c>
      <c r="W32" s="1">
        <v>2</v>
      </c>
      <c r="X32" s="1" t="s">
        <v>152</v>
      </c>
      <c r="Y32" s="1">
        <v>3</v>
      </c>
      <c r="Z32" s="1" t="s">
        <v>37</v>
      </c>
      <c r="AA32" s="1">
        <v>2</v>
      </c>
      <c r="AB32" s="1" t="s">
        <v>174</v>
      </c>
      <c r="AC32" s="1">
        <v>1</v>
      </c>
    </row>
    <row r="33" spans="20:29">
      <c r="T33" s="17"/>
      <c r="V33" s="1" t="s">
        <v>27</v>
      </c>
      <c r="W33" s="1">
        <v>3</v>
      </c>
      <c r="X33" s="1" t="s">
        <v>153</v>
      </c>
      <c r="Y33" s="1">
        <v>2</v>
      </c>
      <c r="Z33" s="1" t="s">
        <v>112</v>
      </c>
      <c r="AA33" s="1">
        <v>1</v>
      </c>
      <c r="AB33" s="1" t="s">
        <v>175</v>
      </c>
      <c r="AC33" s="1">
        <v>1</v>
      </c>
    </row>
    <row r="34" spans="20:29">
      <c r="T34" s="17"/>
      <c r="X34" s="1" t="s">
        <v>208</v>
      </c>
      <c r="Y34" s="1">
        <v>2</v>
      </c>
      <c r="Z34" s="1" t="s">
        <v>209</v>
      </c>
      <c r="AA34" s="1">
        <v>1</v>
      </c>
      <c r="AB34" s="1" t="s">
        <v>176</v>
      </c>
      <c r="AC34" s="1">
        <v>1</v>
      </c>
    </row>
    <row r="35" spans="20:29">
      <c r="T35" s="17"/>
      <c r="Z35" s="1" t="s">
        <v>210</v>
      </c>
      <c r="AA35" s="1">
        <v>1</v>
      </c>
    </row>
    <row r="36" spans="20:29">
      <c r="T36" s="17"/>
      <c r="V36" s="1" t="s">
        <v>207</v>
      </c>
      <c r="W36" s="1">
        <f>SUM(W26:W35)</f>
        <v>21</v>
      </c>
      <c r="Y36" s="1">
        <f>SUM(Y26:Y35)</f>
        <v>21</v>
      </c>
      <c r="AA36" s="1">
        <f>SUM(AA26:AA35)</f>
        <v>21</v>
      </c>
    </row>
    <row r="37" spans="20:29">
      <c r="T37" s="17"/>
    </row>
    <row r="38" spans="20:29">
      <c r="T38" s="17"/>
    </row>
    <row r="41" spans="20:29">
      <c r="T41" s="17"/>
    </row>
    <row r="42" spans="20:29">
      <c r="T42" s="17"/>
    </row>
    <row r="43" spans="20:29">
      <c r="T43" s="17"/>
    </row>
    <row r="44" spans="20:29">
      <c r="T44" s="17"/>
    </row>
    <row r="46" spans="20:29">
      <c r="T46" s="17"/>
    </row>
    <row r="47" spans="20:29">
      <c r="T47" s="17"/>
    </row>
    <row r="48" spans="20:29">
      <c r="T48" s="17"/>
    </row>
  </sheetData>
  <mergeCells count="2">
    <mergeCell ref="A1:R1"/>
    <mergeCell ref="Q31:R31"/>
  </mergeCells>
  <phoneticPr fontId="2"/>
  <pageMargins left="0.70866141732283472" right="0.70866141732283472" top="0" bottom="0.19685039370078741" header="0.31496062992125984" footer="0.31496062992125984"/>
  <pageSetup paperSize="9" orientation="landscape" r:id="rId1"/>
  <drawing r:id="rId2"/>
  <legacyDrawing r:id="rId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2"/>
  <dimension ref="A1:AA48"/>
  <sheetViews>
    <sheetView workbookViewId="0">
      <selection activeCell="A24" sqref="A24"/>
    </sheetView>
  </sheetViews>
  <sheetFormatPr defaultColWidth="9" defaultRowHeight="18.75"/>
  <cols>
    <col min="1" max="18" width="6.625" style="1" customWidth="1"/>
    <col min="19" max="19" width="3.625" style="1" customWidth="1"/>
    <col min="20" max="20" width="6.625" style="1" customWidth="1"/>
    <col min="21" max="21" width="3.625" style="1" customWidth="1"/>
    <col min="22" max="37" width="6.625" style="1" customWidth="1"/>
    <col min="38" max="38" width="3.625" style="1" customWidth="1"/>
    <col min="39" max="16384" width="9" style="1"/>
  </cols>
  <sheetData>
    <row r="1" spans="1:27">
      <c r="A1" s="156" t="s">
        <v>117</v>
      </c>
      <c r="B1" s="156"/>
      <c r="C1" s="156"/>
      <c r="D1" s="156"/>
      <c r="E1" s="156"/>
      <c r="F1" s="156"/>
      <c r="G1" s="156"/>
      <c r="H1" s="156"/>
      <c r="I1" s="156"/>
      <c r="J1" s="156"/>
      <c r="K1" s="156"/>
      <c r="L1" s="156"/>
      <c r="M1" s="156"/>
      <c r="N1" s="156"/>
      <c r="O1" s="156"/>
      <c r="P1" s="156"/>
      <c r="Q1" s="156"/>
      <c r="R1" s="156"/>
    </row>
    <row r="2" spans="1:27" ht="18.600000000000001" customHeight="1">
      <c r="A2" s="2" t="s">
        <v>118</v>
      </c>
      <c r="B2" s="7">
        <v>43211</v>
      </c>
      <c r="C2" s="7">
        <v>43212</v>
      </c>
      <c r="D2" s="6">
        <v>43213</v>
      </c>
      <c r="E2" s="6">
        <v>43214</v>
      </c>
      <c r="F2" s="6">
        <v>43215</v>
      </c>
      <c r="G2" s="6">
        <v>43216</v>
      </c>
      <c r="H2" s="6">
        <v>43217</v>
      </c>
      <c r="I2" s="7">
        <v>43218</v>
      </c>
      <c r="J2" s="7">
        <v>43219</v>
      </c>
      <c r="K2" s="6">
        <v>43220</v>
      </c>
      <c r="L2" s="6"/>
      <c r="M2" s="8" t="s">
        <v>119</v>
      </c>
      <c r="N2" s="11">
        <v>43221</v>
      </c>
      <c r="O2" s="11">
        <v>43222</v>
      </c>
      <c r="P2" s="9">
        <v>43223</v>
      </c>
      <c r="Q2" s="9">
        <v>43224</v>
      </c>
      <c r="R2" s="9">
        <v>43225</v>
      </c>
      <c r="T2" s="1" t="s">
        <v>17</v>
      </c>
      <c r="X2" s="1" t="s">
        <v>79</v>
      </c>
    </row>
    <row r="3" spans="1:27" ht="18.600000000000001" customHeight="1">
      <c r="A3" s="15">
        <v>1</v>
      </c>
      <c r="B3" s="3" t="s">
        <v>146</v>
      </c>
      <c r="C3" s="3" t="s">
        <v>144</v>
      </c>
      <c r="D3" s="3"/>
      <c r="E3" s="3"/>
      <c r="F3" s="3"/>
      <c r="G3" s="3"/>
      <c r="H3" s="3"/>
      <c r="I3" s="3" t="s">
        <v>139</v>
      </c>
      <c r="J3" s="3" t="s">
        <v>145</v>
      </c>
      <c r="K3" s="3"/>
      <c r="L3" s="3"/>
      <c r="M3" s="13"/>
      <c r="N3" s="3"/>
      <c r="O3" s="3"/>
      <c r="P3" s="3" t="s">
        <v>148</v>
      </c>
      <c r="Q3" s="3" t="s">
        <v>26</v>
      </c>
      <c r="R3" s="3" t="s">
        <v>7</v>
      </c>
      <c r="T3" s="1" t="s">
        <v>48</v>
      </c>
      <c r="V3" s="1" t="s">
        <v>63</v>
      </c>
      <c r="X3" s="1" t="s">
        <v>64</v>
      </c>
      <c r="Z3" s="1" t="s">
        <v>65</v>
      </c>
    </row>
    <row r="4" spans="1:27" ht="18.600000000000001" customHeight="1">
      <c r="A4" s="15">
        <v>2</v>
      </c>
      <c r="B4" s="3" t="s">
        <v>23</v>
      </c>
      <c r="C4" s="3" t="s">
        <v>138</v>
      </c>
      <c r="D4" s="3"/>
      <c r="E4" s="3"/>
      <c r="F4" s="3"/>
      <c r="G4" s="3"/>
      <c r="H4" s="3"/>
      <c r="I4" s="3" t="s">
        <v>93</v>
      </c>
      <c r="J4" s="3" t="s">
        <v>149</v>
      </c>
      <c r="K4" s="3"/>
      <c r="L4" s="3"/>
      <c r="M4" s="13"/>
      <c r="N4" s="3"/>
      <c r="O4" s="3"/>
      <c r="P4" s="3" t="s">
        <v>137</v>
      </c>
      <c r="Q4" s="3" t="s">
        <v>154</v>
      </c>
      <c r="R4" s="3" t="s">
        <v>158</v>
      </c>
      <c r="T4" s="17">
        <v>43225</v>
      </c>
      <c r="U4" s="17"/>
      <c r="V4" s="1" t="s">
        <v>47</v>
      </c>
      <c r="W4" s="1">
        <v>3</v>
      </c>
      <c r="X4" s="1" t="s">
        <v>45</v>
      </c>
      <c r="Y4" s="1">
        <v>3</v>
      </c>
      <c r="Z4" s="1" t="s">
        <v>34</v>
      </c>
      <c r="AA4" s="1">
        <v>3</v>
      </c>
    </row>
    <row r="5" spans="1:27" ht="18.600000000000001" customHeight="1">
      <c r="A5" s="15">
        <v>3</v>
      </c>
      <c r="B5" s="3" t="s">
        <v>34</v>
      </c>
      <c r="C5" s="3" t="s">
        <v>38</v>
      </c>
      <c r="D5" s="3"/>
      <c r="E5" s="3"/>
      <c r="F5" s="3"/>
      <c r="G5" s="3"/>
      <c r="H5" s="3"/>
      <c r="I5" s="3" t="s">
        <v>36</v>
      </c>
      <c r="J5" s="3" t="s">
        <v>134</v>
      </c>
      <c r="K5" s="3"/>
      <c r="L5" s="3"/>
      <c r="M5" s="13"/>
      <c r="N5" s="3"/>
      <c r="O5" s="3"/>
      <c r="P5" s="3" t="s">
        <v>135</v>
      </c>
      <c r="Q5" s="3" t="s">
        <v>112</v>
      </c>
      <c r="R5" s="3" t="s">
        <v>37</v>
      </c>
      <c r="T5" s="17">
        <v>43226</v>
      </c>
      <c r="U5" s="17"/>
      <c r="V5" s="1" t="s">
        <v>2</v>
      </c>
      <c r="W5" s="1">
        <v>3</v>
      </c>
      <c r="X5" s="1" t="s">
        <v>46</v>
      </c>
      <c r="Y5" s="1">
        <v>2</v>
      </c>
      <c r="Z5" s="1" t="s">
        <v>35</v>
      </c>
      <c r="AA5" s="1">
        <v>3</v>
      </c>
    </row>
    <row r="6" spans="1:27" ht="18.600000000000001" customHeight="1">
      <c r="A6" s="15" t="s">
        <v>20</v>
      </c>
      <c r="B6" s="3" t="s">
        <v>137</v>
      </c>
      <c r="C6" s="3" t="s">
        <v>13</v>
      </c>
      <c r="D6" s="3" t="s">
        <v>136</v>
      </c>
      <c r="E6" s="3" t="s">
        <v>13</v>
      </c>
      <c r="F6" s="3" t="s">
        <v>13</v>
      </c>
      <c r="G6" s="3" t="s">
        <v>13</v>
      </c>
      <c r="H6" s="3" t="s">
        <v>13</v>
      </c>
      <c r="I6" s="3" t="s">
        <v>13</v>
      </c>
      <c r="J6" s="3" t="s">
        <v>13</v>
      </c>
      <c r="K6" s="3" t="s">
        <v>138</v>
      </c>
      <c r="L6" s="3"/>
      <c r="M6" s="13"/>
      <c r="N6" s="3" t="s">
        <v>138</v>
      </c>
      <c r="O6" s="3" t="s">
        <v>13</v>
      </c>
      <c r="P6" s="3" t="s">
        <v>13</v>
      </c>
      <c r="Q6" s="3" t="s">
        <v>13</v>
      </c>
      <c r="R6" s="3" t="s">
        <v>13</v>
      </c>
      <c r="T6" s="17" t="s">
        <v>121</v>
      </c>
      <c r="U6" s="17"/>
      <c r="V6" s="1" t="s">
        <v>14</v>
      </c>
      <c r="W6" s="1">
        <v>2</v>
      </c>
      <c r="X6" s="1" t="s">
        <v>6</v>
      </c>
      <c r="Y6" s="1">
        <v>3</v>
      </c>
      <c r="Z6" s="1" t="s">
        <v>8</v>
      </c>
      <c r="AA6" s="1">
        <v>2</v>
      </c>
    </row>
    <row r="7" spans="1:27" ht="18.600000000000001" customHeight="1">
      <c r="A7" s="15" t="s">
        <v>0</v>
      </c>
      <c r="B7" s="3" t="s">
        <v>122</v>
      </c>
      <c r="C7" s="3" t="s">
        <v>123</v>
      </c>
      <c r="D7" s="3" t="s">
        <v>124</v>
      </c>
      <c r="E7" s="3" t="s">
        <v>125</v>
      </c>
      <c r="F7" s="3" t="s">
        <v>125</v>
      </c>
      <c r="G7" s="3" t="s">
        <v>122</v>
      </c>
      <c r="H7" s="3" t="s">
        <v>125</v>
      </c>
      <c r="I7" s="3" t="s">
        <v>125</v>
      </c>
      <c r="J7" s="3" t="s">
        <v>123</v>
      </c>
      <c r="K7" s="3" t="s">
        <v>124</v>
      </c>
      <c r="L7" s="3"/>
      <c r="M7" s="13"/>
      <c r="N7" s="3" t="s">
        <v>124</v>
      </c>
      <c r="O7" s="3" t="s">
        <v>125</v>
      </c>
      <c r="P7" s="3" t="s">
        <v>122</v>
      </c>
      <c r="Q7" s="3" t="s">
        <v>125</v>
      </c>
      <c r="R7" s="3" t="s">
        <v>125</v>
      </c>
      <c r="T7" s="17" t="s">
        <v>48</v>
      </c>
      <c r="U7" s="17"/>
      <c r="V7" s="1" t="s">
        <v>7</v>
      </c>
      <c r="W7" s="1">
        <v>3</v>
      </c>
      <c r="X7" s="1" t="s">
        <v>25</v>
      </c>
      <c r="Y7" s="1">
        <v>2</v>
      </c>
      <c r="Z7" s="1" t="s">
        <v>17</v>
      </c>
      <c r="AA7" s="1">
        <v>3</v>
      </c>
    </row>
    <row r="8" spans="1:27" ht="18.600000000000001" customHeight="1">
      <c r="A8" s="15" t="s">
        <v>1</v>
      </c>
      <c r="B8" s="3"/>
      <c r="C8" s="3" t="s">
        <v>127</v>
      </c>
      <c r="D8" s="3" t="s">
        <v>125</v>
      </c>
      <c r="E8" s="3" t="s">
        <v>125</v>
      </c>
      <c r="F8" s="3" t="s">
        <v>125</v>
      </c>
      <c r="G8" s="3" t="s">
        <v>125</v>
      </c>
      <c r="H8" s="3"/>
      <c r="I8" s="3"/>
      <c r="J8" s="3"/>
      <c r="K8" s="3"/>
      <c r="L8" s="3"/>
      <c r="M8" s="13"/>
      <c r="N8" s="3"/>
      <c r="O8" s="3"/>
      <c r="P8" s="3"/>
      <c r="Q8" s="3"/>
      <c r="R8" s="3"/>
      <c r="T8" s="17">
        <v>43223</v>
      </c>
      <c r="V8" s="1" t="s">
        <v>21</v>
      </c>
      <c r="W8" s="1">
        <v>2</v>
      </c>
      <c r="X8" s="1" t="s">
        <v>23</v>
      </c>
      <c r="Y8" s="1">
        <v>2</v>
      </c>
      <c r="Z8" s="1" t="s">
        <v>38</v>
      </c>
      <c r="AA8" s="1">
        <v>2</v>
      </c>
    </row>
    <row r="9" spans="1:27" ht="18.600000000000001" customHeight="1">
      <c r="A9" s="12" t="s">
        <v>119</v>
      </c>
      <c r="B9" s="9">
        <v>43226</v>
      </c>
      <c r="C9" s="11">
        <v>43227</v>
      </c>
      <c r="D9" s="11">
        <v>43228</v>
      </c>
      <c r="E9" s="11">
        <v>43229</v>
      </c>
      <c r="F9" s="11">
        <v>43230</v>
      </c>
      <c r="G9" s="11">
        <v>43231</v>
      </c>
      <c r="H9" s="9">
        <v>43232</v>
      </c>
      <c r="I9" s="9">
        <v>43233</v>
      </c>
      <c r="J9" s="11">
        <v>43234</v>
      </c>
      <c r="K9" s="11">
        <v>43235</v>
      </c>
      <c r="L9" s="11">
        <v>43236</v>
      </c>
      <c r="M9" s="11">
        <v>43237</v>
      </c>
      <c r="N9" s="11">
        <v>43238</v>
      </c>
      <c r="O9" s="9">
        <v>43239</v>
      </c>
      <c r="P9" s="9">
        <v>43240</v>
      </c>
      <c r="Q9" s="3"/>
      <c r="R9" s="3"/>
      <c r="T9" s="17" t="s">
        <v>129</v>
      </c>
      <c r="V9" s="1" t="s">
        <v>26</v>
      </c>
      <c r="W9" s="1">
        <v>3</v>
      </c>
      <c r="X9" s="1" t="s">
        <v>27</v>
      </c>
      <c r="Y9" s="1">
        <v>3</v>
      </c>
      <c r="Z9" s="1" t="s">
        <v>36</v>
      </c>
      <c r="AA9" s="1">
        <v>3</v>
      </c>
    </row>
    <row r="10" spans="1:27" ht="18.600000000000001" customHeight="1">
      <c r="A10" s="13">
        <v>1</v>
      </c>
      <c r="B10" s="3" t="s">
        <v>142</v>
      </c>
      <c r="C10" s="3"/>
      <c r="D10" s="3"/>
      <c r="E10" s="3"/>
      <c r="F10" s="3"/>
      <c r="G10" s="3"/>
      <c r="H10" s="3" t="s">
        <v>146</v>
      </c>
      <c r="I10" s="3" t="s">
        <v>144</v>
      </c>
      <c r="J10" s="3"/>
      <c r="K10" s="3"/>
      <c r="L10" s="3"/>
      <c r="M10" s="3"/>
      <c r="N10" s="3"/>
      <c r="O10" s="3" t="s">
        <v>145</v>
      </c>
      <c r="P10" s="3" t="s">
        <v>143</v>
      </c>
      <c r="Q10" s="3"/>
      <c r="R10" s="3"/>
      <c r="T10" s="17" t="s">
        <v>48</v>
      </c>
      <c r="V10" s="1" t="s">
        <v>28</v>
      </c>
      <c r="W10" s="1">
        <v>2</v>
      </c>
      <c r="X10" s="1" t="s">
        <v>16</v>
      </c>
      <c r="Y10" s="1">
        <v>3</v>
      </c>
      <c r="Z10" s="1" t="s">
        <v>37</v>
      </c>
      <c r="AA10" s="1">
        <v>2</v>
      </c>
    </row>
    <row r="11" spans="1:27" ht="18.600000000000001" customHeight="1">
      <c r="A11" s="13">
        <v>2</v>
      </c>
      <c r="B11" s="3" t="s">
        <v>155</v>
      </c>
      <c r="C11" s="3"/>
      <c r="D11" s="3"/>
      <c r="E11" s="3"/>
      <c r="F11" s="3"/>
      <c r="G11" s="3"/>
      <c r="H11" s="3" t="s">
        <v>156</v>
      </c>
      <c r="I11" s="3" t="s">
        <v>157</v>
      </c>
      <c r="J11" s="3"/>
      <c r="K11" s="3"/>
      <c r="L11" s="3"/>
      <c r="M11" s="3"/>
      <c r="N11" s="3"/>
      <c r="O11" s="3" t="s">
        <v>159</v>
      </c>
      <c r="P11" s="3" t="s">
        <v>25</v>
      </c>
      <c r="Q11" s="3"/>
      <c r="R11" s="3"/>
      <c r="T11" s="17">
        <v>43254</v>
      </c>
    </row>
    <row r="12" spans="1:27" ht="18.600000000000001" customHeight="1">
      <c r="A12" s="13">
        <v>3</v>
      </c>
      <c r="B12" s="18" t="s">
        <v>8</v>
      </c>
      <c r="C12" s="3"/>
      <c r="D12" s="3"/>
      <c r="E12" s="3"/>
      <c r="F12" s="3"/>
      <c r="G12" s="3"/>
      <c r="H12" s="3" t="s">
        <v>35</v>
      </c>
      <c r="I12" s="3" t="s">
        <v>36</v>
      </c>
      <c r="J12" s="3"/>
      <c r="K12" s="3"/>
      <c r="L12" s="3"/>
      <c r="M12" s="3"/>
      <c r="N12" s="3"/>
      <c r="O12" s="3" t="s">
        <v>133</v>
      </c>
      <c r="P12" s="3" t="s">
        <v>38</v>
      </c>
      <c r="Q12" s="3"/>
      <c r="R12" s="3"/>
      <c r="T12" s="17">
        <v>43268</v>
      </c>
      <c r="X12" s="1" t="s">
        <v>85</v>
      </c>
    </row>
    <row r="13" spans="1:27" ht="18.600000000000001" customHeight="1">
      <c r="A13" s="13" t="s">
        <v>20</v>
      </c>
      <c r="B13" s="3" t="s">
        <v>138</v>
      </c>
      <c r="C13" s="3" t="s">
        <v>139</v>
      </c>
      <c r="D13" s="3" t="s">
        <v>140</v>
      </c>
      <c r="E13" s="3" t="s">
        <v>140</v>
      </c>
      <c r="F13" s="3" t="s">
        <v>140</v>
      </c>
      <c r="G13" s="3" t="s">
        <v>140</v>
      </c>
      <c r="H13" s="3" t="s">
        <v>140</v>
      </c>
      <c r="I13" s="3" t="s">
        <v>140</v>
      </c>
      <c r="J13" s="3" t="s">
        <v>141</v>
      </c>
      <c r="K13" s="3" t="s">
        <v>140</v>
      </c>
      <c r="L13" s="3" t="s">
        <v>140</v>
      </c>
      <c r="M13" s="3" t="s">
        <v>140</v>
      </c>
      <c r="N13" s="3" t="s">
        <v>140</v>
      </c>
      <c r="O13" s="3" t="s">
        <v>140</v>
      </c>
      <c r="P13" s="3" t="s">
        <v>140</v>
      </c>
      <c r="Q13" s="3"/>
      <c r="R13" s="3"/>
      <c r="T13" s="1" t="s">
        <v>130</v>
      </c>
      <c r="V13" s="1" t="s">
        <v>63</v>
      </c>
      <c r="X13" s="1" t="s">
        <v>64</v>
      </c>
      <c r="Z13" s="1" t="s">
        <v>65</v>
      </c>
    </row>
    <row r="14" spans="1:27" ht="18.600000000000001" customHeight="1">
      <c r="A14" s="13" t="s">
        <v>0</v>
      </c>
      <c r="B14" s="3" t="s">
        <v>123</v>
      </c>
      <c r="C14" s="3" t="s">
        <v>124</v>
      </c>
      <c r="D14" s="3" t="s">
        <v>125</v>
      </c>
      <c r="E14" s="3" t="s">
        <v>125</v>
      </c>
      <c r="F14" s="3" t="s">
        <v>122</v>
      </c>
      <c r="G14" s="3" t="s">
        <v>125</v>
      </c>
      <c r="H14" s="3" t="s">
        <v>125</v>
      </c>
      <c r="I14" s="3" t="s">
        <v>123</v>
      </c>
      <c r="J14" s="3" t="s">
        <v>124</v>
      </c>
      <c r="K14" s="3" t="s">
        <v>125</v>
      </c>
      <c r="L14" s="3" t="s">
        <v>125</v>
      </c>
      <c r="M14" s="3" t="s">
        <v>122</v>
      </c>
      <c r="N14" s="3" t="s">
        <v>125</v>
      </c>
      <c r="O14" s="3" t="s">
        <v>125</v>
      </c>
      <c r="P14" s="3" t="s">
        <v>123</v>
      </c>
      <c r="Q14" s="3"/>
      <c r="R14" s="3"/>
      <c r="T14" s="1" t="s">
        <v>48</v>
      </c>
      <c r="V14" s="1" t="s">
        <v>47</v>
      </c>
      <c r="W14" s="1">
        <v>2</v>
      </c>
      <c r="X14" s="1" t="s">
        <v>45</v>
      </c>
      <c r="Y14" s="1">
        <v>2</v>
      </c>
      <c r="Z14" s="1" t="s">
        <v>34</v>
      </c>
      <c r="AA14" s="1">
        <v>2</v>
      </c>
    </row>
    <row r="15" spans="1:27" ht="18.600000000000001" customHeight="1">
      <c r="A15" s="13" t="s">
        <v>1</v>
      </c>
      <c r="B15" s="3" t="s">
        <v>127</v>
      </c>
      <c r="C15" s="3" t="s">
        <v>125</v>
      </c>
      <c r="D15" s="3" t="s">
        <v>125</v>
      </c>
      <c r="E15" s="3" t="s">
        <v>125</v>
      </c>
      <c r="F15" s="3" t="s">
        <v>125</v>
      </c>
      <c r="G15" s="3"/>
      <c r="H15" s="3"/>
      <c r="I15" s="3"/>
      <c r="J15" s="3"/>
      <c r="K15" s="3"/>
      <c r="L15" s="3"/>
      <c r="M15" s="3"/>
      <c r="N15" s="3"/>
      <c r="O15" s="3"/>
      <c r="P15" s="3" t="s">
        <v>127</v>
      </c>
      <c r="Q15" s="3"/>
      <c r="R15" s="3"/>
      <c r="T15" s="17">
        <v>43247</v>
      </c>
      <c r="V15" s="1" t="s">
        <v>2</v>
      </c>
      <c r="W15" s="1">
        <v>2</v>
      </c>
      <c r="X15" s="1" t="s">
        <v>46</v>
      </c>
      <c r="Y15" s="1">
        <v>3</v>
      </c>
      <c r="Z15" s="1" t="s">
        <v>35</v>
      </c>
      <c r="AA15" s="1">
        <v>2</v>
      </c>
    </row>
    <row r="16" spans="1:27" ht="18.600000000000001" customHeight="1">
      <c r="A16" s="20" t="s">
        <v>128</v>
      </c>
      <c r="B16" s="4"/>
      <c r="C16" s="4"/>
      <c r="D16" s="4"/>
      <c r="E16" s="4"/>
      <c r="F16" s="4"/>
      <c r="G16" s="4"/>
      <c r="H16" s="21" t="s">
        <v>111</v>
      </c>
      <c r="I16" s="21"/>
      <c r="J16" s="21"/>
      <c r="K16" s="21"/>
      <c r="L16" s="21"/>
      <c r="M16" s="21"/>
      <c r="N16" s="21"/>
      <c r="O16" s="21"/>
      <c r="P16" s="4"/>
      <c r="Q16" s="4"/>
      <c r="R16" s="5"/>
      <c r="T16" s="17">
        <v>43268</v>
      </c>
      <c r="V16" s="1" t="s">
        <v>14</v>
      </c>
      <c r="W16" s="1">
        <v>3</v>
      </c>
      <c r="X16" s="1" t="s">
        <v>6</v>
      </c>
      <c r="Y16" s="1">
        <v>2</v>
      </c>
      <c r="Z16" s="1" t="s">
        <v>8</v>
      </c>
      <c r="AA16" s="1">
        <v>3</v>
      </c>
    </row>
    <row r="17" spans="1:27" ht="18.600000000000001" customHeight="1">
      <c r="A17" s="12" t="s">
        <v>119</v>
      </c>
      <c r="B17" s="11">
        <v>43241</v>
      </c>
      <c r="C17" s="11">
        <v>43242</v>
      </c>
      <c r="D17" s="11">
        <v>43243</v>
      </c>
      <c r="E17" s="11">
        <v>43244</v>
      </c>
      <c r="F17" s="11">
        <v>43245</v>
      </c>
      <c r="G17" s="9">
        <v>43246</v>
      </c>
      <c r="H17" s="9">
        <v>43247</v>
      </c>
      <c r="I17" s="11">
        <v>43248</v>
      </c>
      <c r="J17" s="11">
        <v>43249</v>
      </c>
      <c r="K17" s="11">
        <v>43250</v>
      </c>
      <c r="L17" s="11">
        <v>43251</v>
      </c>
      <c r="M17" s="14" t="s">
        <v>120</v>
      </c>
      <c r="N17" s="16">
        <v>43252</v>
      </c>
      <c r="O17" s="7">
        <v>43253</v>
      </c>
      <c r="P17" s="7">
        <v>43254</v>
      </c>
      <c r="Q17" s="16">
        <v>43255</v>
      </c>
      <c r="R17" s="16">
        <v>43256</v>
      </c>
      <c r="T17" s="17">
        <v>43274</v>
      </c>
      <c r="V17" s="1" t="s">
        <v>7</v>
      </c>
      <c r="W17" s="1">
        <v>3</v>
      </c>
      <c r="X17" s="1" t="s">
        <v>25</v>
      </c>
      <c r="Y17" s="1">
        <v>2</v>
      </c>
      <c r="Z17" s="1" t="s">
        <v>17</v>
      </c>
      <c r="AA17" s="1">
        <v>2</v>
      </c>
    </row>
    <row r="18" spans="1:27" ht="18.600000000000001" customHeight="1">
      <c r="A18" s="13">
        <v>1</v>
      </c>
      <c r="B18" s="3"/>
      <c r="C18" s="3"/>
      <c r="D18" s="3"/>
      <c r="E18" s="3"/>
      <c r="F18" s="3"/>
      <c r="G18" s="3" t="s">
        <v>2</v>
      </c>
      <c r="H18" s="3" t="s">
        <v>148</v>
      </c>
      <c r="I18" s="3"/>
      <c r="J18" s="3"/>
      <c r="K18" s="3"/>
      <c r="L18" s="3"/>
      <c r="M18" s="15"/>
      <c r="N18" s="3"/>
      <c r="O18" s="3" t="s">
        <v>147</v>
      </c>
      <c r="P18" s="3" t="s">
        <v>21</v>
      </c>
      <c r="Q18" s="3"/>
      <c r="R18" s="3"/>
      <c r="T18" s="17">
        <v>43275</v>
      </c>
      <c r="V18" s="1" t="s">
        <v>21</v>
      </c>
      <c r="W18" s="1">
        <v>3</v>
      </c>
      <c r="X18" s="1" t="s">
        <v>23</v>
      </c>
      <c r="Y18" s="1">
        <v>2</v>
      </c>
      <c r="Z18" s="1" t="s">
        <v>38</v>
      </c>
      <c r="AA18" s="1">
        <v>2</v>
      </c>
    </row>
    <row r="19" spans="1:27" ht="18.600000000000001" customHeight="1">
      <c r="A19" s="13">
        <v>2</v>
      </c>
      <c r="B19" s="3"/>
      <c r="C19" s="3"/>
      <c r="D19" s="3"/>
      <c r="E19" s="3"/>
      <c r="F19" s="3"/>
      <c r="G19" s="3" t="s">
        <v>155</v>
      </c>
      <c r="H19" s="3" t="s">
        <v>162</v>
      </c>
      <c r="I19" s="3"/>
      <c r="J19" s="3"/>
      <c r="K19" s="3"/>
      <c r="L19" s="3"/>
      <c r="M19" s="15"/>
      <c r="N19" s="3"/>
      <c r="O19" s="3" t="s">
        <v>154</v>
      </c>
      <c r="P19" s="3" t="s">
        <v>158</v>
      </c>
      <c r="Q19" s="3"/>
      <c r="R19" s="3"/>
      <c r="T19" s="17" t="s">
        <v>131</v>
      </c>
      <c r="V19" s="1" t="s">
        <v>26</v>
      </c>
      <c r="W19" s="1">
        <v>2</v>
      </c>
      <c r="X19" s="1" t="s">
        <v>27</v>
      </c>
      <c r="Y19" s="1">
        <v>2</v>
      </c>
      <c r="Z19" s="1" t="s">
        <v>36</v>
      </c>
      <c r="AA19" s="1">
        <v>2</v>
      </c>
    </row>
    <row r="20" spans="1:27" ht="18.600000000000001" customHeight="1">
      <c r="A20" s="13">
        <v>3</v>
      </c>
      <c r="B20" s="3"/>
      <c r="C20" s="3"/>
      <c r="D20" s="3"/>
      <c r="E20" s="3"/>
      <c r="F20" s="3"/>
      <c r="G20" s="3" t="s">
        <v>17</v>
      </c>
      <c r="H20" s="19" t="s">
        <v>37</v>
      </c>
      <c r="I20" s="3"/>
      <c r="J20" s="3"/>
      <c r="K20" s="3"/>
      <c r="L20" s="3"/>
      <c r="M20" s="15"/>
      <c r="N20" s="3"/>
      <c r="O20" s="3" t="s">
        <v>35</v>
      </c>
      <c r="P20" s="3" t="s">
        <v>8</v>
      </c>
      <c r="Q20" s="3"/>
      <c r="R20" s="3"/>
      <c r="T20" s="17" t="s">
        <v>132</v>
      </c>
      <c r="V20" s="1" t="s">
        <v>28</v>
      </c>
      <c r="W20" s="1">
        <v>2</v>
      </c>
      <c r="X20" s="1" t="s">
        <v>16</v>
      </c>
      <c r="Y20" s="1">
        <v>2</v>
      </c>
      <c r="Z20" s="1" t="s">
        <v>37</v>
      </c>
      <c r="AA20" s="1">
        <v>3</v>
      </c>
    </row>
    <row r="21" spans="1:27" ht="18.600000000000001" customHeight="1">
      <c r="A21" s="13" t="s">
        <v>20</v>
      </c>
      <c r="B21" s="3" t="s">
        <v>142</v>
      </c>
      <c r="C21" s="3" t="s">
        <v>13</v>
      </c>
      <c r="D21" s="3" t="s">
        <v>13</v>
      </c>
      <c r="E21" s="3" t="s">
        <v>13</v>
      </c>
      <c r="F21" s="3" t="s">
        <v>13</v>
      </c>
      <c r="G21" s="3" t="s">
        <v>13</v>
      </c>
      <c r="H21" s="3" t="s">
        <v>13</v>
      </c>
      <c r="I21" s="3" t="s">
        <v>25</v>
      </c>
      <c r="J21" s="3" t="s">
        <v>13</v>
      </c>
      <c r="K21" s="3" t="s">
        <v>13</v>
      </c>
      <c r="L21" s="3" t="s">
        <v>13</v>
      </c>
      <c r="M21" s="15"/>
      <c r="N21" s="3" t="s">
        <v>25</v>
      </c>
      <c r="O21" s="3" t="s">
        <v>13</v>
      </c>
      <c r="P21" s="3" t="s">
        <v>13</v>
      </c>
      <c r="Q21" s="3" t="s">
        <v>27</v>
      </c>
      <c r="R21" s="3" t="s">
        <v>13</v>
      </c>
      <c r="T21" s="17" t="s">
        <v>133</v>
      </c>
      <c r="V21" s="1" t="s">
        <v>108</v>
      </c>
      <c r="W21" s="1">
        <f>SUM(W14:W20)</f>
        <v>17</v>
      </c>
      <c r="Y21" s="1">
        <f>SUM(Y14:Y20)</f>
        <v>15</v>
      </c>
      <c r="AA21" s="1">
        <f>SUM(AA14:AA20)</f>
        <v>16</v>
      </c>
    </row>
    <row r="22" spans="1:27" ht="18.600000000000001" customHeight="1">
      <c r="A22" s="13" t="s">
        <v>0</v>
      </c>
      <c r="B22" s="3" t="s">
        <v>124</v>
      </c>
      <c r="C22" s="3" t="s">
        <v>125</v>
      </c>
      <c r="D22" s="3" t="s">
        <v>126</v>
      </c>
      <c r="E22" s="3" t="s">
        <v>122</v>
      </c>
      <c r="F22" s="3" t="s">
        <v>125</v>
      </c>
      <c r="G22" s="3" t="s">
        <v>125</v>
      </c>
      <c r="H22" s="3" t="s">
        <v>123</v>
      </c>
      <c r="I22" s="3" t="s">
        <v>124</v>
      </c>
      <c r="J22" s="3" t="s">
        <v>125</v>
      </c>
      <c r="K22" s="3" t="s">
        <v>126</v>
      </c>
      <c r="L22" s="3" t="s">
        <v>122</v>
      </c>
      <c r="M22" s="15"/>
      <c r="N22" s="3" t="s">
        <v>122</v>
      </c>
      <c r="O22" s="3" t="s">
        <v>125</v>
      </c>
      <c r="P22" s="3" t="s">
        <v>123</v>
      </c>
      <c r="Q22" s="3" t="s">
        <v>124</v>
      </c>
      <c r="R22" s="3" t="s">
        <v>125</v>
      </c>
      <c r="T22" s="17" t="s">
        <v>75</v>
      </c>
      <c r="X22" s="1" t="s">
        <v>116</v>
      </c>
    </row>
    <row r="23" spans="1:27" ht="18.600000000000001" customHeight="1">
      <c r="A23" s="13" t="s">
        <v>1</v>
      </c>
      <c r="B23" s="3" t="s">
        <v>127</v>
      </c>
      <c r="C23" s="3" t="s">
        <v>125</v>
      </c>
      <c r="D23" s="3" t="s">
        <v>125</v>
      </c>
      <c r="E23" s="3" t="s">
        <v>125</v>
      </c>
      <c r="F23" s="3"/>
      <c r="G23" s="3"/>
      <c r="H23" s="3"/>
      <c r="I23" s="3"/>
      <c r="J23" s="3"/>
      <c r="K23" s="3"/>
      <c r="L23" s="3"/>
      <c r="M23" s="15"/>
      <c r="N23" s="3"/>
      <c r="O23" s="3"/>
      <c r="P23" s="3" t="s">
        <v>127</v>
      </c>
      <c r="Q23" s="3" t="s">
        <v>125</v>
      </c>
      <c r="R23" s="3" t="s">
        <v>125</v>
      </c>
      <c r="T23" s="17">
        <v>43211</v>
      </c>
      <c r="V23" s="1" t="s">
        <v>63</v>
      </c>
      <c r="X23" s="1" t="s">
        <v>64</v>
      </c>
      <c r="Z23" s="1" t="s">
        <v>65</v>
      </c>
    </row>
    <row r="24" spans="1:27" ht="18.600000000000001" customHeight="1">
      <c r="A24" s="2" t="s">
        <v>120</v>
      </c>
      <c r="B24" s="16">
        <v>43257</v>
      </c>
      <c r="C24" s="16">
        <v>43258</v>
      </c>
      <c r="D24" s="16">
        <v>43259</v>
      </c>
      <c r="E24" s="7">
        <v>43260</v>
      </c>
      <c r="F24" s="7">
        <v>43261</v>
      </c>
      <c r="G24" s="16">
        <v>43262</v>
      </c>
      <c r="H24" s="16">
        <v>43263</v>
      </c>
      <c r="I24" s="16">
        <v>43264</v>
      </c>
      <c r="J24" s="16">
        <v>43265</v>
      </c>
      <c r="K24" s="16">
        <v>43266</v>
      </c>
      <c r="L24" s="7">
        <v>43267</v>
      </c>
      <c r="M24" s="7">
        <v>43268</v>
      </c>
      <c r="N24" s="16">
        <v>43269</v>
      </c>
      <c r="O24" s="16">
        <v>43270</v>
      </c>
      <c r="P24" s="16">
        <v>43271</v>
      </c>
      <c r="Q24" s="3"/>
      <c r="R24" s="3"/>
      <c r="T24" s="17">
        <v>43239</v>
      </c>
      <c r="V24" s="1" t="s">
        <v>47</v>
      </c>
      <c r="W24" s="1">
        <v>3</v>
      </c>
      <c r="X24" s="1" t="s">
        <v>45</v>
      </c>
      <c r="Y24" s="1">
        <v>3</v>
      </c>
      <c r="Z24" s="1" t="s">
        <v>34</v>
      </c>
      <c r="AA24" s="1">
        <v>3</v>
      </c>
    </row>
    <row r="25" spans="1:27" ht="18.600000000000001" customHeight="1">
      <c r="A25" s="15">
        <v>1</v>
      </c>
      <c r="B25" s="3"/>
      <c r="C25" s="3"/>
      <c r="D25" s="3"/>
      <c r="E25" s="3" t="s">
        <v>142</v>
      </c>
      <c r="F25" s="3" t="s">
        <v>145</v>
      </c>
      <c r="G25" s="3"/>
      <c r="H25" s="3"/>
      <c r="I25" s="3"/>
      <c r="J25" s="3"/>
      <c r="K25" s="3"/>
      <c r="L25" s="3" t="s">
        <v>47</v>
      </c>
      <c r="M25" s="3" t="s">
        <v>7</v>
      </c>
      <c r="N25" s="3"/>
      <c r="O25" s="3"/>
      <c r="P25" s="3"/>
      <c r="Q25" s="3"/>
      <c r="R25" s="3"/>
      <c r="T25" s="17">
        <v>43260</v>
      </c>
      <c r="V25" s="1" t="s">
        <v>2</v>
      </c>
      <c r="W25" s="1">
        <v>3</v>
      </c>
      <c r="X25" s="1" t="s">
        <v>46</v>
      </c>
      <c r="Y25" s="1">
        <v>3</v>
      </c>
      <c r="Z25" s="1" t="s">
        <v>35</v>
      </c>
      <c r="AA25" s="1">
        <v>3</v>
      </c>
    </row>
    <row r="26" spans="1:27" ht="18.600000000000001" customHeight="1">
      <c r="A26" s="15">
        <v>2</v>
      </c>
      <c r="B26" s="3"/>
      <c r="C26" s="3"/>
      <c r="D26" s="3"/>
      <c r="E26" s="3" t="s">
        <v>159</v>
      </c>
      <c r="F26" s="3" t="s">
        <v>157</v>
      </c>
      <c r="G26" s="3"/>
      <c r="H26" s="3"/>
      <c r="I26" s="3"/>
      <c r="J26" s="3"/>
      <c r="K26" s="3"/>
      <c r="L26" s="3" t="s">
        <v>6</v>
      </c>
      <c r="M26" s="3" t="s">
        <v>156</v>
      </c>
      <c r="N26" s="3"/>
      <c r="O26" s="3"/>
      <c r="P26" s="3"/>
      <c r="Q26" s="3"/>
      <c r="R26" s="3"/>
      <c r="T26" s="17" t="s">
        <v>150</v>
      </c>
      <c r="V26" s="1" t="s">
        <v>14</v>
      </c>
      <c r="W26" s="1">
        <v>2</v>
      </c>
      <c r="X26" s="1" t="s">
        <v>6</v>
      </c>
      <c r="Y26" s="1">
        <v>3</v>
      </c>
      <c r="Z26" s="1" t="s">
        <v>8</v>
      </c>
      <c r="AA26" s="1">
        <v>2</v>
      </c>
    </row>
    <row r="27" spans="1:27" ht="18.600000000000001" customHeight="1">
      <c r="A27" s="15">
        <v>3</v>
      </c>
      <c r="B27" s="3"/>
      <c r="C27" s="3"/>
      <c r="D27" s="3"/>
      <c r="E27" s="3" t="s">
        <v>133</v>
      </c>
      <c r="F27" s="3" t="s">
        <v>36</v>
      </c>
      <c r="G27" s="3"/>
      <c r="H27" s="3"/>
      <c r="I27" s="3"/>
      <c r="J27" s="3"/>
      <c r="K27" s="3"/>
      <c r="L27" s="3" t="s">
        <v>38</v>
      </c>
      <c r="M27" s="19" t="s">
        <v>17</v>
      </c>
      <c r="N27" s="3"/>
      <c r="O27" s="3"/>
      <c r="P27" s="3"/>
      <c r="Q27" s="3"/>
      <c r="R27" s="3"/>
      <c r="T27" s="17" t="s">
        <v>48</v>
      </c>
      <c r="V27" s="1" t="s">
        <v>7</v>
      </c>
      <c r="W27" s="1">
        <v>3</v>
      </c>
      <c r="X27" s="1" t="s">
        <v>25</v>
      </c>
      <c r="Y27" s="1">
        <v>2</v>
      </c>
      <c r="Z27" s="1" t="s">
        <v>17</v>
      </c>
      <c r="AA27" s="1">
        <v>3</v>
      </c>
    </row>
    <row r="28" spans="1:27" ht="18.600000000000001" customHeight="1">
      <c r="A28" s="15" t="s">
        <v>20</v>
      </c>
      <c r="B28" s="3" t="s">
        <v>27</v>
      </c>
      <c r="C28" s="3" t="s">
        <v>13</v>
      </c>
      <c r="D28" s="3" t="s">
        <v>13</v>
      </c>
      <c r="E28" s="3" t="s">
        <v>13</v>
      </c>
      <c r="F28" s="3" t="s">
        <v>13</v>
      </c>
      <c r="G28" s="3" t="s">
        <v>26</v>
      </c>
      <c r="H28" s="3" t="s">
        <v>13</v>
      </c>
      <c r="I28" s="3" t="s">
        <v>13</v>
      </c>
      <c r="J28" s="3" t="s">
        <v>13</v>
      </c>
      <c r="K28" s="3" t="s">
        <v>13</v>
      </c>
      <c r="L28" s="3" t="s">
        <v>13</v>
      </c>
      <c r="M28" s="3" t="s">
        <v>13</v>
      </c>
      <c r="N28" s="3" t="s">
        <v>136</v>
      </c>
      <c r="O28" s="3" t="s">
        <v>13</v>
      </c>
      <c r="P28" s="3" t="s">
        <v>13</v>
      </c>
      <c r="Q28" s="3"/>
      <c r="R28" s="3"/>
      <c r="T28" s="17">
        <v>43219</v>
      </c>
      <c r="V28" s="1" t="s">
        <v>21</v>
      </c>
      <c r="W28" s="1">
        <v>2</v>
      </c>
      <c r="X28" s="1" t="s">
        <v>23</v>
      </c>
      <c r="Y28" s="1">
        <v>3</v>
      </c>
      <c r="Z28" s="1" t="s">
        <v>38</v>
      </c>
      <c r="AA28" s="1">
        <v>3</v>
      </c>
    </row>
    <row r="29" spans="1:27" ht="18.600000000000001" customHeight="1">
      <c r="A29" s="15" t="s">
        <v>0</v>
      </c>
      <c r="B29" s="3" t="s">
        <v>124</v>
      </c>
      <c r="C29" s="3" t="s">
        <v>122</v>
      </c>
      <c r="D29" s="3" t="s">
        <v>125</v>
      </c>
      <c r="E29" s="3" t="s">
        <v>125</v>
      </c>
      <c r="F29" s="3" t="s">
        <v>123</v>
      </c>
      <c r="G29" s="3" t="s">
        <v>124</v>
      </c>
      <c r="H29" s="3" t="s">
        <v>125</v>
      </c>
      <c r="I29" s="3" t="s">
        <v>126</v>
      </c>
      <c r="J29" s="3" t="s">
        <v>122</v>
      </c>
      <c r="K29" s="3" t="s">
        <v>125</v>
      </c>
      <c r="L29" s="3" t="s">
        <v>126</v>
      </c>
      <c r="M29" s="3" t="s">
        <v>123</v>
      </c>
      <c r="N29" s="3" t="s">
        <v>124</v>
      </c>
      <c r="O29" s="3" t="s">
        <v>125</v>
      </c>
      <c r="P29" s="3" t="s">
        <v>125</v>
      </c>
      <c r="Q29" s="3"/>
      <c r="R29" s="3"/>
      <c r="T29" s="17" t="s">
        <v>151</v>
      </c>
      <c r="V29" s="1" t="s">
        <v>26</v>
      </c>
      <c r="W29" s="1">
        <v>2</v>
      </c>
      <c r="X29" s="1" t="s">
        <v>16</v>
      </c>
      <c r="Y29" s="1">
        <v>2</v>
      </c>
      <c r="Z29" s="1" t="s">
        <v>36</v>
      </c>
      <c r="AA29" s="1">
        <v>3</v>
      </c>
    </row>
    <row r="30" spans="1:27" ht="18.600000000000001" customHeight="1">
      <c r="A30" s="15" t="s">
        <v>1</v>
      </c>
      <c r="B30" s="3" t="s">
        <v>127</v>
      </c>
      <c r="C30" s="3" t="s">
        <v>125</v>
      </c>
      <c r="D30" s="3"/>
      <c r="E30" s="3"/>
      <c r="F30" s="3"/>
      <c r="G30" s="3"/>
      <c r="H30" s="3"/>
      <c r="I30" s="3"/>
      <c r="J30" s="3"/>
      <c r="K30" s="3"/>
      <c r="L30" s="3"/>
      <c r="M30" s="3" t="s">
        <v>127</v>
      </c>
      <c r="N30" s="3" t="s">
        <v>125</v>
      </c>
      <c r="O30" s="3" t="s">
        <v>125</v>
      </c>
      <c r="P30" s="3" t="s">
        <v>125</v>
      </c>
      <c r="Q30" s="3"/>
      <c r="R30" s="3"/>
      <c r="T30" s="1" t="s">
        <v>36</v>
      </c>
      <c r="V30" s="1" t="s">
        <v>28</v>
      </c>
      <c r="W30" s="1">
        <v>3</v>
      </c>
      <c r="X30" s="1" t="s">
        <v>155</v>
      </c>
      <c r="Y30" s="1">
        <v>2</v>
      </c>
      <c r="Z30" s="1" t="s">
        <v>37</v>
      </c>
      <c r="AA30" s="1">
        <v>2</v>
      </c>
    </row>
    <row r="31" spans="1:27" ht="12.75" customHeight="1">
      <c r="Q31" s="145" t="s">
        <v>82</v>
      </c>
      <c r="R31" s="145"/>
      <c r="T31" s="1" t="s">
        <v>48</v>
      </c>
      <c r="V31" s="1" t="s">
        <v>27</v>
      </c>
      <c r="W31" s="1">
        <v>2</v>
      </c>
      <c r="X31" s="1" t="s">
        <v>154</v>
      </c>
      <c r="Y31" s="1">
        <v>2</v>
      </c>
      <c r="Z31" s="1" t="s">
        <v>160</v>
      </c>
      <c r="AA31" s="1">
        <v>1</v>
      </c>
    </row>
    <row r="32" spans="1:27">
      <c r="T32" s="17">
        <v>43240</v>
      </c>
      <c r="V32" s="1" t="s">
        <v>161</v>
      </c>
      <c r="W32" s="1">
        <f>SUM(W24:W31)</f>
        <v>20</v>
      </c>
      <c r="Y32" s="1">
        <f>SUM(Y24:Y31)</f>
        <v>20</v>
      </c>
      <c r="AA32" s="1">
        <f>SUM(AA24:AA31)</f>
        <v>20</v>
      </c>
    </row>
    <row r="33" spans="20:20">
      <c r="T33" s="17">
        <v>43247</v>
      </c>
    </row>
    <row r="34" spans="20:20">
      <c r="T34" s="17">
        <v>43268</v>
      </c>
    </row>
    <row r="35" spans="20:20">
      <c r="T35" s="1" t="s">
        <v>7</v>
      </c>
    </row>
    <row r="36" spans="20:20">
      <c r="T36" s="1" t="s">
        <v>48</v>
      </c>
    </row>
    <row r="37" spans="20:20">
      <c r="T37" s="17">
        <v>43223</v>
      </c>
    </row>
    <row r="38" spans="20:20">
      <c r="T38" s="17">
        <v>43224</v>
      </c>
    </row>
    <row r="39" spans="20:20">
      <c r="T39" s="1" t="s">
        <v>152</v>
      </c>
    </row>
    <row r="40" spans="20:20">
      <c r="T40" s="1" t="s">
        <v>48</v>
      </c>
    </row>
    <row r="41" spans="20:20">
      <c r="T41" s="17">
        <v>43223</v>
      </c>
    </row>
    <row r="42" spans="20:20">
      <c r="T42" s="17">
        <v>43224</v>
      </c>
    </row>
    <row r="43" spans="20:20">
      <c r="T43" s="17">
        <v>43225</v>
      </c>
    </row>
    <row r="44" spans="20:20">
      <c r="T44" s="17" t="s">
        <v>153</v>
      </c>
    </row>
    <row r="45" spans="20:20">
      <c r="T45" s="1" t="s">
        <v>75</v>
      </c>
    </row>
    <row r="46" spans="20:20">
      <c r="T46" s="17">
        <v>43223</v>
      </c>
    </row>
    <row r="47" spans="20:20">
      <c r="T47" s="17">
        <v>43224</v>
      </c>
    </row>
    <row r="48" spans="20:20">
      <c r="T48" s="17">
        <v>43225</v>
      </c>
    </row>
  </sheetData>
  <mergeCells count="2">
    <mergeCell ref="A1:R1"/>
    <mergeCell ref="Q31:R31"/>
  </mergeCells>
  <phoneticPr fontId="2"/>
  <pageMargins left="0.70866141732283472" right="0.70866141732283472" top="0" bottom="0.19685039370078741" header="0.31496062992125984" footer="0.31496062992125984"/>
  <pageSetup paperSize="9" orientation="landscape" r:id="rId1"/>
  <drawing r:id="rId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3"/>
  <dimension ref="A1:AC31"/>
  <sheetViews>
    <sheetView topLeftCell="A13" workbookViewId="0">
      <selection activeCell="A21" sqref="A21"/>
    </sheetView>
  </sheetViews>
  <sheetFormatPr defaultColWidth="9" defaultRowHeight="18.75"/>
  <cols>
    <col min="1" max="18" width="6.625" style="1" customWidth="1"/>
    <col min="19" max="19" width="3.625" style="1" customWidth="1"/>
    <col min="20" max="20" width="6.625" style="1" customWidth="1"/>
    <col min="21" max="21" width="3.625" style="1" customWidth="1"/>
    <col min="22" max="37" width="6.625" style="1" customWidth="1"/>
    <col min="38" max="38" width="3.625" style="1" customWidth="1"/>
    <col min="39" max="16384" width="9" style="1"/>
  </cols>
  <sheetData>
    <row r="1" spans="1:27">
      <c r="A1" s="156" t="s">
        <v>92</v>
      </c>
      <c r="B1" s="156"/>
      <c r="C1" s="156"/>
      <c r="D1" s="156"/>
      <c r="E1" s="156"/>
      <c r="F1" s="156"/>
      <c r="G1" s="156"/>
      <c r="H1" s="156"/>
      <c r="I1" s="156"/>
      <c r="J1" s="156"/>
      <c r="K1" s="156"/>
      <c r="L1" s="156"/>
      <c r="M1" s="156"/>
      <c r="N1" s="156"/>
      <c r="O1" s="156"/>
      <c r="P1" s="156"/>
      <c r="Q1" s="156"/>
      <c r="R1" s="156"/>
    </row>
    <row r="2" spans="1:27" ht="18.600000000000001" customHeight="1">
      <c r="A2" s="2" t="s">
        <v>86</v>
      </c>
      <c r="B2" s="6">
        <v>43152</v>
      </c>
      <c r="C2" s="6">
        <v>43153</v>
      </c>
      <c r="D2" s="6">
        <v>43154</v>
      </c>
      <c r="E2" s="7">
        <v>43155</v>
      </c>
      <c r="F2" s="7">
        <v>43156</v>
      </c>
      <c r="G2" s="6">
        <v>43157</v>
      </c>
      <c r="H2" s="6">
        <v>43158</v>
      </c>
      <c r="I2" s="6">
        <v>43159</v>
      </c>
      <c r="J2" s="6"/>
      <c r="K2" s="6"/>
      <c r="L2" s="6"/>
      <c r="M2" s="8" t="s">
        <v>87</v>
      </c>
      <c r="N2" s="11">
        <v>43160</v>
      </c>
      <c r="O2" s="11">
        <v>43161</v>
      </c>
      <c r="P2" s="9">
        <v>43162</v>
      </c>
      <c r="Q2" s="9">
        <v>43163</v>
      </c>
      <c r="R2" s="11">
        <v>43164</v>
      </c>
      <c r="T2" s="1" t="s">
        <v>48</v>
      </c>
      <c r="X2" s="1" t="s">
        <v>78</v>
      </c>
    </row>
    <row r="3" spans="1:27" ht="18.600000000000001" customHeight="1">
      <c r="A3" s="15">
        <v>1</v>
      </c>
      <c r="B3" s="3"/>
      <c r="C3" s="3"/>
      <c r="D3" s="3"/>
      <c r="E3" s="3" t="s">
        <v>21</v>
      </c>
      <c r="F3" s="3" t="s">
        <v>14</v>
      </c>
      <c r="G3" s="3"/>
      <c r="H3" s="3"/>
      <c r="I3" s="3"/>
      <c r="J3" s="3"/>
      <c r="K3" s="3"/>
      <c r="L3" s="3"/>
      <c r="M3" s="13"/>
      <c r="N3" s="3"/>
      <c r="O3" s="3"/>
      <c r="P3" s="3" t="s">
        <v>7</v>
      </c>
      <c r="Q3" s="3" t="s">
        <v>28</v>
      </c>
      <c r="R3" s="3"/>
      <c r="T3" s="1" t="s">
        <v>89</v>
      </c>
      <c r="V3" s="1" t="s">
        <v>63</v>
      </c>
      <c r="X3" s="1" t="s">
        <v>64</v>
      </c>
      <c r="Z3" s="1" t="s">
        <v>65</v>
      </c>
    </row>
    <row r="4" spans="1:27" ht="18.600000000000001" customHeight="1">
      <c r="A4" s="15">
        <v>2</v>
      </c>
      <c r="B4" s="3"/>
      <c r="C4" s="3"/>
      <c r="D4" s="3"/>
      <c r="E4" s="3" t="s">
        <v>27</v>
      </c>
      <c r="F4" s="3" t="s">
        <v>23</v>
      </c>
      <c r="G4" s="3"/>
      <c r="H4" s="3"/>
      <c r="I4" s="3"/>
      <c r="J4" s="3"/>
      <c r="K4" s="3"/>
      <c r="L4" s="3"/>
      <c r="M4" s="13"/>
      <c r="N4" s="3"/>
      <c r="O4" s="3"/>
      <c r="P4" s="3" t="s">
        <v>46</v>
      </c>
      <c r="Q4" s="3" t="s">
        <v>25</v>
      </c>
      <c r="R4" s="3"/>
      <c r="T4" s="17">
        <v>43156</v>
      </c>
      <c r="U4" s="17"/>
      <c r="V4" s="1" t="s">
        <v>47</v>
      </c>
      <c r="W4" s="1">
        <v>3</v>
      </c>
      <c r="X4" s="1" t="s">
        <v>45</v>
      </c>
      <c r="Y4" s="1">
        <v>3</v>
      </c>
      <c r="Z4" s="1" t="s">
        <v>34</v>
      </c>
      <c r="AA4" s="1">
        <v>3</v>
      </c>
    </row>
    <row r="5" spans="1:27" ht="18.600000000000001" customHeight="1">
      <c r="A5" s="15">
        <v>3</v>
      </c>
      <c r="B5" s="3"/>
      <c r="C5" s="3"/>
      <c r="D5" s="3"/>
      <c r="E5" s="3" t="s">
        <v>101</v>
      </c>
      <c r="F5" s="3" t="s">
        <v>100</v>
      </c>
      <c r="G5" s="3"/>
      <c r="H5" s="3"/>
      <c r="I5" s="3"/>
      <c r="J5" s="3"/>
      <c r="K5" s="3"/>
      <c r="L5" s="3"/>
      <c r="M5" s="13"/>
      <c r="N5" s="3"/>
      <c r="O5" s="3"/>
      <c r="P5" s="3" t="s">
        <v>99</v>
      </c>
      <c r="Q5" s="3" t="s">
        <v>102</v>
      </c>
      <c r="R5" s="3"/>
      <c r="T5" s="17" t="s">
        <v>90</v>
      </c>
      <c r="U5" s="17"/>
      <c r="V5" s="1" t="s">
        <v>2</v>
      </c>
      <c r="W5" s="1">
        <v>4</v>
      </c>
      <c r="X5" s="1" t="s">
        <v>46</v>
      </c>
      <c r="Y5" s="1">
        <v>3</v>
      </c>
      <c r="Z5" s="1" t="s">
        <v>35</v>
      </c>
      <c r="AA5" s="1">
        <v>2</v>
      </c>
    </row>
    <row r="6" spans="1:27" ht="18.600000000000001" customHeight="1">
      <c r="A6" s="15" t="s">
        <v>20</v>
      </c>
      <c r="B6" s="3" t="s">
        <v>16</v>
      </c>
      <c r="C6" s="3" t="s">
        <v>13</v>
      </c>
      <c r="D6" s="3" t="s">
        <v>13</v>
      </c>
      <c r="E6" s="3" t="s">
        <v>13</v>
      </c>
      <c r="F6" s="3" t="s">
        <v>13</v>
      </c>
      <c r="G6" s="3" t="s">
        <v>6</v>
      </c>
      <c r="H6" s="3" t="s">
        <v>13</v>
      </c>
      <c r="I6" s="3" t="s">
        <v>13</v>
      </c>
      <c r="J6" s="3"/>
      <c r="K6" s="3"/>
      <c r="L6" s="3"/>
      <c r="M6" s="13"/>
      <c r="N6" s="3" t="s">
        <v>6</v>
      </c>
      <c r="O6" s="3" t="s">
        <v>13</v>
      </c>
      <c r="P6" s="3" t="s">
        <v>13</v>
      </c>
      <c r="Q6" s="3" t="s">
        <v>13</v>
      </c>
      <c r="R6" s="3" t="s">
        <v>21</v>
      </c>
      <c r="T6" s="17"/>
      <c r="U6" s="17"/>
      <c r="V6" s="1" t="s">
        <v>14</v>
      </c>
      <c r="W6" s="1">
        <v>2</v>
      </c>
      <c r="X6" s="1" t="s">
        <v>6</v>
      </c>
      <c r="Y6" s="1">
        <v>3</v>
      </c>
      <c r="Z6" s="1" t="s">
        <v>8</v>
      </c>
      <c r="AA6" s="1">
        <v>3</v>
      </c>
    </row>
    <row r="7" spans="1:27" ht="18.600000000000001" customHeight="1">
      <c r="A7" s="15" t="s">
        <v>0</v>
      </c>
      <c r="B7" s="3"/>
      <c r="C7" s="3" t="s">
        <v>9</v>
      </c>
      <c r="D7" s="3" t="s">
        <v>13</v>
      </c>
      <c r="E7" s="3" t="s">
        <v>13</v>
      </c>
      <c r="F7" s="3" t="s">
        <v>13</v>
      </c>
      <c r="G7" s="3"/>
      <c r="H7" s="3"/>
      <c r="I7" s="3"/>
      <c r="J7" s="3"/>
      <c r="K7" s="3"/>
      <c r="L7" s="3"/>
      <c r="M7" s="13"/>
      <c r="N7" s="3" t="s">
        <v>9</v>
      </c>
      <c r="O7" s="3" t="s">
        <v>13</v>
      </c>
      <c r="P7" s="3" t="s">
        <v>13</v>
      </c>
      <c r="Q7" s="3" t="s">
        <v>13</v>
      </c>
      <c r="R7" s="3"/>
      <c r="T7" s="1" t="s">
        <v>48</v>
      </c>
      <c r="U7" s="17"/>
      <c r="V7" s="1" t="s">
        <v>7</v>
      </c>
      <c r="W7" s="1">
        <v>3</v>
      </c>
      <c r="X7" s="1" t="s">
        <v>25</v>
      </c>
      <c r="Y7" s="1">
        <v>3</v>
      </c>
      <c r="Z7" s="1" t="s">
        <v>17</v>
      </c>
      <c r="AA7" s="1">
        <v>2</v>
      </c>
    </row>
    <row r="8" spans="1:27" ht="18.600000000000001" customHeight="1">
      <c r="A8" s="15" t="s">
        <v>1</v>
      </c>
      <c r="B8" s="3" t="s">
        <v>10</v>
      </c>
      <c r="C8" s="3" t="s">
        <v>13</v>
      </c>
      <c r="D8" s="3"/>
      <c r="E8" s="3"/>
      <c r="F8" s="3" t="s">
        <v>10</v>
      </c>
      <c r="G8" s="3" t="s">
        <v>13</v>
      </c>
      <c r="H8" s="3" t="s">
        <v>13</v>
      </c>
      <c r="I8" s="3" t="s">
        <v>13</v>
      </c>
      <c r="J8" s="3"/>
      <c r="K8" s="3"/>
      <c r="L8" s="3"/>
      <c r="M8" s="13"/>
      <c r="N8" s="3" t="s">
        <v>110</v>
      </c>
      <c r="O8" s="3"/>
      <c r="P8" s="3"/>
      <c r="Q8" s="3" t="s">
        <v>112</v>
      </c>
      <c r="R8" s="3" t="s">
        <v>13</v>
      </c>
      <c r="T8" s="1" t="s">
        <v>94</v>
      </c>
      <c r="V8" s="1" t="s">
        <v>21</v>
      </c>
      <c r="W8" s="1">
        <v>2</v>
      </c>
      <c r="X8" s="1" t="s">
        <v>23</v>
      </c>
      <c r="Y8" s="1">
        <v>1</v>
      </c>
      <c r="Z8" s="1" t="s">
        <v>38</v>
      </c>
      <c r="AA8" s="1">
        <v>3</v>
      </c>
    </row>
    <row r="9" spans="1:27" ht="18.600000000000001" customHeight="1">
      <c r="A9" s="12" t="s">
        <v>87</v>
      </c>
      <c r="B9" s="11">
        <v>43165</v>
      </c>
      <c r="C9" s="11">
        <v>43166</v>
      </c>
      <c r="D9" s="11">
        <v>43167</v>
      </c>
      <c r="E9" s="11">
        <v>43168</v>
      </c>
      <c r="F9" s="9">
        <v>43169</v>
      </c>
      <c r="G9" s="9">
        <v>43170</v>
      </c>
      <c r="H9" s="11">
        <v>43171</v>
      </c>
      <c r="I9" s="11">
        <v>43172</v>
      </c>
      <c r="J9" s="11">
        <v>43173</v>
      </c>
      <c r="K9" s="11">
        <v>43174</v>
      </c>
      <c r="L9" s="11">
        <v>43175</v>
      </c>
      <c r="M9" s="9">
        <v>43176</v>
      </c>
      <c r="N9" s="9">
        <v>43177</v>
      </c>
      <c r="O9" s="11">
        <v>43178</v>
      </c>
      <c r="P9" s="11">
        <v>43179</v>
      </c>
      <c r="Q9" s="3"/>
      <c r="R9" s="3"/>
      <c r="T9" s="17">
        <v>43169</v>
      </c>
      <c r="V9" s="1" t="s">
        <v>26</v>
      </c>
      <c r="W9" s="1">
        <v>2</v>
      </c>
      <c r="X9" s="1" t="s">
        <v>27</v>
      </c>
      <c r="Y9" s="1">
        <v>2</v>
      </c>
      <c r="Z9" s="1" t="s">
        <v>36</v>
      </c>
      <c r="AA9" s="1">
        <v>2</v>
      </c>
    </row>
    <row r="10" spans="1:27" ht="18.600000000000001" customHeight="1">
      <c r="A10" s="13">
        <v>1</v>
      </c>
      <c r="B10" s="3"/>
      <c r="C10" s="3"/>
      <c r="D10" s="3"/>
      <c r="E10" s="3"/>
      <c r="F10" s="3" t="s">
        <v>14</v>
      </c>
      <c r="G10" s="3" t="s">
        <v>47</v>
      </c>
      <c r="H10" s="3"/>
      <c r="I10" s="3"/>
      <c r="J10" s="3"/>
      <c r="K10" s="3"/>
      <c r="L10" s="3"/>
      <c r="M10" s="3" t="s">
        <v>2</v>
      </c>
      <c r="N10" s="3" t="s">
        <v>27</v>
      </c>
      <c r="O10" s="3"/>
      <c r="P10" s="3"/>
      <c r="Q10" s="3"/>
      <c r="R10" s="3"/>
      <c r="T10" s="17">
        <v>43170</v>
      </c>
      <c r="V10" s="1" t="s">
        <v>28</v>
      </c>
      <c r="W10" s="1">
        <v>2</v>
      </c>
      <c r="X10" s="1" t="s">
        <v>16</v>
      </c>
      <c r="Z10" s="1" t="s">
        <v>37</v>
      </c>
      <c r="AA10" s="1">
        <v>3</v>
      </c>
    </row>
    <row r="11" spans="1:27" ht="18.600000000000001" customHeight="1">
      <c r="A11" s="13">
        <v>2</v>
      </c>
      <c r="B11" s="3"/>
      <c r="C11" s="3"/>
      <c r="D11" s="3"/>
      <c r="E11" s="3"/>
      <c r="F11" s="3" t="s">
        <v>16</v>
      </c>
      <c r="G11" s="3" t="s">
        <v>93</v>
      </c>
      <c r="H11" s="3"/>
      <c r="I11" s="3"/>
      <c r="J11" s="3"/>
      <c r="K11" s="3"/>
      <c r="L11" s="3"/>
      <c r="M11" s="3" t="s">
        <v>106</v>
      </c>
      <c r="N11" s="3" t="s">
        <v>6</v>
      </c>
      <c r="O11" s="3"/>
      <c r="P11" s="3"/>
      <c r="Q11" s="3"/>
      <c r="R11" s="3"/>
      <c r="T11" s="17">
        <v>43183</v>
      </c>
    </row>
    <row r="12" spans="1:27" ht="18.600000000000001" customHeight="1">
      <c r="A12" s="13">
        <v>3</v>
      </c>
      <c r="B12" s="18"/>
      <c r="C12" s="3"/>
      <c r="D12" s="3"/>
      <c r="E12" s="3"/>
      <c r="F12" s="3" t="s">
        <v>105</v>
      </c>
      <c r="G12" s="3" t="s">
        <v>104</v>
      </c>
      <c r="H12" s="3"/>
      <c r="I12" s="3"/>
      <c r="J12" s="3"/>
      <c r="K12" s="3"/>
      <c r="L12" s="3"/>
      <c r="M12" s="3" t="s">
        <v>103</v>
      </c>
      <c r="N12" s="3" t="s">
        <v>101</v>
      </c>
      <c r="O12" s="3"/>
      <c r="P12" s="3"/>
      <c r="Q12" s="3"/>
      <c r="R12" s="3"/>
      <c r="T12" s="17">
        <v>43184</v>
      </c>
      <c r="X12" s="1" t="s">
        <v>79</v>
      </c>
    </row>
    <row r="13" spans="1:27" ht="18.600000000000001" customHeight="1">
      <c r="A13" s="13" t="s">
        <v>20</v>
      </c>
      <c r="B13" s="3" t="s">
        <v>21</v>
      </c>
      <c r="C13" s="3" t="s">
        <v>13</v>
      </c>
      <c r="D13" s="3" t="s">
        <v>13</v>
      </c>
      <c r="E13" s="3" t="s">
        <v>13</v>
      </c>
      <c r="F13" s="3" t="s">
        <v>13</v>
      </c>
      <c r="G13" s="3" t="s">
        <v>13</v>
      </c>
      <c r="H13" s="3" t="s">
        <v>23</v>
      </c>
      <c r="I13" s="3" t="s">
        <v>13</v>
      </c>
      <c r="J13" s="3" t="s">
        <v>13</v>
      </c>
      <c r="K13" s="3" t="s">
        <v>13</v>
      </c>
      <c r="L13" s="3" t="s">
        <v>13</v>
      </c>
      <c r="M13" s="3" t="s">
        <v>13</v>
      </c>
      <c r="N13" s="3" t="s">
        <v>13</v>
      </c>
      <c r="O13" s="3" t="s">
        <v>14</v>
      </c>
      <c r="P13" s="3" t="s">
        <v>13</v>
      </c>
      <c r="Q13" s="3"/>
      <c r="R13" s="3"/>
      <c r="T13" s="1" t="s">
        <v>48</v>
      </c>
      <c r="V13" s="1" t="s">
        <v>63</v>
      </c>
      <c r="X13" s="1" t="s">
        <v>64</v>
      </c>
      <c r="Z13" s="1" t="s">
        <v>65</v>
      </c>
    </row>
    <row r="14" spans="1:27" ht="18.600000000000001" customHeight="1">
      <c r="A14" s="13" t="s">
        <v>0</v>
      </c>
      <c r="B14" s="3"/>
      <c r="C14" s="3"/>
      <c r="D14" s="3" t="s">
        <v>9</v>
      </c>
      <c r="E14" s="3" t="s">
        <v>13</v>
      </c>
      <c r="F14" s="3" t="s">
        <v>13</v>
      </c>
      <c r="G14" s="3" t="s">
        <v>13</v>
      </c>
      <c r="H14" s="3"/>
      <c r="I14" s="3"/>
      <c r="J14" s="3"/>
      <c r="K14" s="3" t="s">
        <v>9</v>
      </c>
      <c r="L14" s="3" t="s">
        <v>13</v>
      </c>
      <c r="M14" s="3" t="s">
        <v>13</v>
      </c>
      <c r="N14" s="3" t="s">
        <v>114</v>
      </c>
      <c r="O14" s="3" t="s">
        <v>115</v>
      </c>
      <c r="P14" s="3" t="s">
        <v>13</v>
      </c>
      <c r="Q14" s="3"/>
      <c r="R14" s="3"/>
      <c r="T14" s="1" t="s">
        <v>96</v>
      </c>
      <c r="V14" s="1" t="s">
        <v>47</v>
      </c>
      <c r="W14" s="1">
        <v>3</v>
      </c>
      <c r="X14" s="1" t="s">
        <v>45</v>
      </c>
      <c r="Y14" s="1">
        <v>3</v>
      </c>
      <c r="Z14" s="1" t="s">
        <v>34</v>
      </c>
      <c r="AA14" s="1">
        <v>3</v>
      </c>
    </row>
    <row r="15" spans="1:27" ht="18.600000000000001" customHeight="1">
      <c r="A15" s="13" t="s">
        <v>1</v>
      </c>
      <c r="B15" s="3" t="s">
        <v>113</v>
      </c>
      <c r="C15" s="3" t="s">
        <v>13</v>
      </c>
      <c r="D15" s="3" t="s">
        <v>13</v>
      </c>
      <c r="E15" s="3"/>
      <c r="F15" s="3"/>
      <c r="G15" s="3" t="s">
        <v>110</v>
      </c>
      <c r="H15" s="3" t="s">
        <v>13</v>
      </c>
      <c r="I15" s="3" t="s">
        <v>13</v>
      </c>
      <c r="J15" s="3" t="s">
        <v>13</v>
      </c>
      <c r="K15" s="3" t="s">
        <v>13</v>
      </c>
      <c r="L15" s="3"/>
      <c r="M15" s="3"/>
      <c r="N15" s="3"/>
      <c r="O15" s="3"/>
      <c r="P15" s="3"/>
      <c r="Q15" s="3"/>
      <c r="R15" s="3"/>
      <c r="T15" s="17">
        <v>43190</v>
      </c>
      <c r="V15" s="1" t="s">
        <v>2</v>
      </c>
      <c r="W15" s="1">
        <v>3</v>
      </c>
      <c r="X15" s="1" t="s">
        <v>46</v>
      </c>
      <c r="Y15" s="1">
        <v>2</v>
      </c>
      <c r="Z15" s="1" t="s">
        <v>35</v>
      </c>
      <c r="AA15" s="1">
        <v>3</v>
      </c>
    </row>
    <row r="16" spans="1:27" ht="18.600000000000001" customHeight="1">
      <c r="A16" s="20" t="s">
        <v>91</v>
      </c>
      <c r="B16" s="4"/>
      <c r="C16" s="4"/>
      <c r="D16" s="4"/>
      <c r="E16" s="4"/>
      <c r="F16" s="4"/>
      <c r="G16" s="4"/>
      <c r="H16" s="21" t="s">
        <v>111</v>
      </c>
      <c r="I16" s="21"/>
      <c r="J16" s="21"/>
      <c r="K16" s="21"/>
      <c r="L16" s="21"/>
      <c r="M16" s="21"/>
      <c r="N16" s="21"/>
      <c r="O16" s="21"/>
      <c r="P16" s="4"/>
      <c r="Q16" s="4"/>
      <c r="R16" s="5"/>
      <c r="T16" s="17">
        <v>43197</v>
      </c>
      <c r="V16" s="1" t="s">
        <v>14</v>
      </c>
      <c r="W16" s="1">
        <v>2</v>
      </c>
      <c r="X16" s="1" t="s">
        <v>6</v>
      </c>
      <c r="Y16" s="1">
        <v>3</v>
      </c>
      <c r="Z16" s="1" t="s">
        <v>8</v>
      </c>
      <c r="AA16" s="1">
        <v>2</v>
      </c>
    </row>
    <row r="17" spans="1:29" ht="18.600000000000001" customHeight="1">
      <c r="A17" s="12" t="s">
        <v>87</v>
      </c>
      <c r="B17" s="11">
        <v>43180</v>
      </c>
      <c r="C17" s="11">
        <v>43181</v>
      </c>
      <c r="D17" s="11">
        <v>43182</v>
      </c>
      <c r="E17" s="9">
        <v>43183</v>
      </c>
      <c r="F17" s="9">
        <v>43184</v>
      </c>
      <c r="G17" s="11">
        <v>43185</v>
      </c>
      <c r="H17" s="11">
        <v>43186</v>
      </c>
      <c r="I17" s="11">
        <v>43187</v>
      </c>
      <c r="J17" s="11">
        <v>43188</v>
      </c>
      <c r="K17" s="11">
        <v>43189</v>
      </c>
      <c r="L17" s="9">
        <v>43190</v>
      </c>
      <c r="M17" s="14" t="s">
        <v>88</v>
      </c>
      <c r="N17" s="7">
        <v>43191</v>
      </c>
      <c r="O17" s="6">
        <v>43192</v>
      </c>
      <c r="P17" s="6">
        <v>43193</v>
      </c>
      <c r="Q17" s="6">
        <v>43194</v>
      </c>
      <c r="R17" s="6">
        <v>43195</v>
      </c>
      <c r="T17" s="1" t="s">
        <v>48</v>
      </c>
      <c r="V17" s="1" t="s">
        <v>7</v>
      </c>
      <c r="W17" s="1">
        <v>3</v>
      </c>
      <c r="X17" s="1" t="s">
        <v>25</v>
      </c>
      <c r="Y17" s="1">
        <v>2</v>
      </c>
      <c r="Z17" s="1" t="s">
        <v>17</v>
      </c>
      <c r="AA17" s="1">
        <v>3</v>
      </c>
    </row>
    <row r="18" spans="1:29" ht="18.600000000000001" customHeight="1">
      <c r="A18" s="13">
        <v>1</v>
      </c>
      <c r="B18" s="3"/>
      <c r="C18" s="3"/>
      <c r="D18" s="3"/>
      <c r="E18" s="3" t="s">
        <v>7</v>
      </c>
      <c r="F18" s="3" t="s">
        <v>21</v>
      </c>
      <c r="G18" s="3"/>
      <c r="H18" s="3"/>
      <c r="I18" s="3"/>
      <c r="J18" s="3"/>
      <c r="K18" s="3"/>
      <c r="L18" s="3" t="s">
        <v>47</v>
      </c>
      <c r="M18" s="15"/>
      <c r="N18" s="3" t="s">
        <v>28</v>
      </c>
      <c r="O18" s="3"/>
      <c r="P18" s="3"/>
      <c r="Q18" s="3"/>
      <c r="R18" s="3"/>
      <c r="T18" s="1" t="s">
        <v>98</v>
      </c>
      <c r="V18" s="1" t="s">
        <v>21</v>
      </c>
      <c r="W18" s="1">
        <v>2</v>
      </c>
      <c r="X18" s="1" t="s">
        <v>23</v>
      </c>
      <c r="Y18" s="1">
        <v>2</v>
      </c>
      <c r="Z18" s="1" t="s">
        <v>38</v>
      </c>
      <c r="AA18" s="1">
        <v>2</v>
      </c>
    </row>
    <row r="19" spans="1:29" ht="18.600000000000001" customHeight="1">
      <c r="A19" s="13">
        <v>2</v>
      </c>
      <c r="B19" s="3"/>
      <c r="C19" s="3"/>
      <c r="D19" s="3"/>
      <c r="E19" s="3" t="s">
        <v>25</v>
      </c>
      <c r="F19" s="3" t="s">
        <v>46</v>
      </c>
      <c r="G19" s="3"/>
      <c r="H19" s="3"/>
      <c r="I19" s="3"/>
      <c r="J19" s="3"/>
      <c r="K19" s="3"/>
      <c r="L19" s="3" t="s">
        <v>23</v>
      </c>
      <c r="M19" s="15"/>
      <c r="N19" s="3" t="s">
        <v>93</v>
      </c>
      <c r="O19" s="3"/>
      <c r="P19" s="3"/>
      <c r="Q19" s="3"/>
      <c r="R19" s="3"/>
      <c r="T19" s="17">
        <v>43155</v>
      </c>
      <c r="V19" s="1" t="s">
        <v>26</v>
      </c>
      <c r="W19" s="1">
        <v>3</v>
      </c>
      <c r="X19" s="1" t="s">
        <v>27</v>
      </c>
      <c r="Y19" s="1">
        <v>3</v>
      </c>
      <c r="Z19" s="1" t="s">
        <v>36</v>
      </c>
      <c r="AA19" s="1">
        <v>3</v>
      </c>
    </row>
    <row r="20" spans="1:29" ht="18.600000000000001" customHeight="1">
      <c r="A20" s="13">
        <v>3</v>
      </c>
      <c r="B20" s="3"/>
      <c r="C20" s="3"/>
      <c r="D20" s="3"/>
      <c r="E20" s="3" t="s">
        <v>99</v>
      </c>
      <c r="F20" s="3" t="s">
        <v>100</v>
      </c>
      <c r="G20" s="3"/>
      <c r="H20" s="19"/>
      <c r="I20" s="3"/>
      <c r="J20" s="3"/>
      <c r="K20" s="3"/>
      <c r="L20" s="3" t="s">
        <v>102</v>
      </c>
      <c r="M20" s="15"/>
      <c r="N20" s="3" t="s">
        <v>105</v>
      </c>
      <c r="O20" s="3"/>
      <c r="P20" s="3"/>
      <c r="Q20" s="3"/>
      <c r="R20" s="3"/>
      <c r="T20" s="17" t="s">
        <v>48</v>
      </c>
      <c r="V20" s="1" t="s">
        <v>28</v>
      </c>
      <c r="W20" s="1">
        <v>2</v>
      </c>
      <c r="X20" s="1" t="s">
        <v>16</v>
      </c>
      <c r="Y20" s="1">
        <v>3</v>
      </c>
      <c r="Z20" s="1" t="s">
        <v>37</v>
      </c>
      <c r="AA20" s="1">
        <v>2</v>
      </c>
    </row>
    <row r="21" spans="1:29" ht="18.600000000000001" customHeight="1">
      <c r="A21" s="13" t="s">
        <v>20</v>
      </c>
      <c r="B21" s="3" t="s">
        <v>14</v>
      </c>
      <c r="C21" s="3" t="s">
        <v>13</v>
      </c>
      <c r="D21" s="3" t="s">
        <v>13</v>
      </c>
      <c r="E21" s="3" t="s">
        <v>13</v>
      </c>
      <c r="F21" s="3" t="s">
        <v>13</v>
      </c>
      <c r="G21" s="3" t="s">
        <v>26</v>
      </c>
      <c r="H21" s="3" t="s">
        <v>13</v>
      </c>
      <c r="I21" s="3" t="s">
        <v>13</v>
      </c>
      <c r="J21" s="3" t="s">
        <v>13</v>
      </c>
      <c r="K21" s="3" t="s">
        <v>13</v>
      </c>
      <c r="L21" s="3" t="s">
        <v>13</v>
      </c>
      <c r="M21" s="15"/>
      <c r="N21" s="3" t="s">
        <v>26</v>
      </c>
      <c r="O21" s="3" t="s">
        <v>27</v>
      </c>
      <c r="P21" s="3" t="s">
        <v>13</v>
      </c>
      <c r="Q21" s="3" t="s">
        <v>13</v>
      </c>
      <c r="R21" s="3" t="s">
        <v>13</v>
      </c>
      <c r="T21" s="17" t="s">
        <v>107</v>
      </c>
    </row>
    <row r="22" spans="1:29" ht="18.600000000000001" customHeight="1">
      <c r="A22" s="13" t="s">
        <v>0</v>
      </c>
      <c r="B22" s="3" t="s">
        <v>115</v>
      </c>
      <c r="C22" s="3" t="s">
        <v>9</v>
      </c>
      <c r="D22" s="3" t="s">
        <v>13</v>
      </c>
      <c r="E22" s="3" t="s">
        <v>13</v>
      </c>
      <c r="F22" s="3" t="s">
        <v>114</v>
      </c>
      <c r="G22" s="3" t="s">
        <v>115</v>
      </c>
      <c r="H22" s="3" t="s">
        <v>13</v>
      </c>
      <c r="I22" s="3" t="s">
        <v>13</v>
      </c>
      <c r="J22" s="3" t="s">
        <v>9</v>
      </c>
      <c r="K22" s="3" t="s">
        <v>13</v>
      </c>
      <c r="L22" s="3" t="s">
        <v>13</v>
      </c>
      <c r="M22" s="15"/>
      <c r="N22" s="3" t="s">
        <v>114</v>
      </c>
      <c r="O22" s="3" t="s">
        <v>115</v>
      </c>
      <c r="P22" s="3" t="s">
        <v>13</v>
      </c>
      <c r="Q22" s="3" t="s">
        <v>13</v>
      </c>
      <c r="R22" s="3" t="s">
        <v>9</v>
      </c>
      <c r="T22" s="17">
        <v>43163</v>
      </c>
      <c r="X22" s="1" t="s">
        <v>85</v>
      </c>
    </row>
    <row r="23" spans="1:29" ht="18.600000000000001" customHeight="1">
      <c r="A23" s="13" t="s">
        <v>1</v>
      </c>
      <c r="B23" s="3"/>
      <c r="C23" s="3"/>
      <c r="D23" s="3"/>
      <c r="E23" s="3"/>
      <c r="F23" s="3" t="s">
        <v>10</v>
      </c>
      <c r="G23" s="3" t="s">
        <v>13</v>
      </c>
      <c r="H23" s="3" t="s">
        <v>13</v>
      </c>
      <c r="I23" s="3" t="s">
        <v>13</v>
      </c>
      <c r="J23" s="3" t="s">
        <v>13</v>
      </c>
      <c r="K23" s="3"/>
      <c r="L23" s="3"/>
      <c r="M23" s="15"/>
      <c r="N23" s="3"/>
      <c r="O23" s="3"/>
      <c r="P23" s="3"/>
      <c r="Q23" s="3"/>
      <c r="R23" s="3"/>
      <c r="V23" s="1" t="s">
        <v>63</v>
      </c>
      <c r="X23" s="1" t="s">
        <v>64</v>
      </c>
      <c r="Z23" s="1" t="s">
        <v>65</v>
      </c>
    </row>
    <row r="24" spans="1:29" ht="18.600000000000001" customHeight="1">
      <c r="A24" s="2" t="s">
        <v>88</v>
      </c>
      <c r="B24" s="16">
        <v>43196</v>
      </c>
      <c r="C24" s="7">
        <v>43197</v>
      </c>
      <c r="D24" s="7">
        <v>43198</v>
      </c>
      <c r="E24" s="16">
        <v>43199</v>
      </c>
      <c r="F24" s="16">
        <v>43200</v>
      </c>
      <c r="G24" s="16">
        <v>43201</v>
      </c>
      <c r="H24" s="16">
        <v>43202</v>
      </c>
      <c r="I24" s="16">
        <v>43203</v>
      </c>
      <c r="J24" s="7">
        <v>43204</v>
      </c>
      <c r="K24" s="7">
        <v>43205</v>
      </c>
      <c r="L24" s="16">
        <v>43206</v>
      </c>
      <c r="M24" s="16">
        <v>43207</v>
      </c>
      <c r="N24" s="16">
        <v>43208</v>
      </c>
      <c r="O24" s="16">
        <v>43209</v>
      </c>
      <c r="P24" s="16">
        <v>43210</v>
      </c>
      <c r="Q24" s="3"/>
      <c r="R24" s="3"/>
      <c r="T24" s="1" t="s">
        <v>95</v>
      </c>
      <c r="V24" s="1" t="s">
        <v>47</v>
      </c>
      <c r="W24" s="1">
        <v>2</v>
      </c>
      <c r="X24" s="1" t="s">
        <v>45</v>
      </c>
      <c r="Y24" s="1">
        <v>2</v>
      </c>
      <c r="Z24" s="1" t="s">
        <v>34</v>
      </c>
      <c r="AA24" s="1">
        <v>2</v>
      </c>
    </row>
    <row r="25" spans="1:29" ht="18.600000000000001" customHeight="1">
      <c r="A25" s="15">
        <v>1</v>
      </c>
      <c r="B25" s="3"/>
      <c r="C25" s="3" t="s">
        <v>2</v>
      </c>
      <c r="D25" s="3" t="s">
        <v>109</v>
      </c>
      <c r="E25" s="3"/>
      <c r="F25" s="3"/>
      <c r="G25" s="3"/>
      <c r="H25" s="3"/>
      <c r="I25" s="3"/>
      <c r="J25" s="3" t="s">
        <v>14</v>
      </c>
      <c r="K25" s="3" t="s">
        <v>7</v>
      </c>
      <c r="L25" s="3"/>
      <c r="M25" s="3"/>
      <c r="N25" s="3"/>
      <c r="O25" s="3"/>
      <c r="P25" s="3"/>
      <c r="Q25" s="3"/>
      <c r="R25" s="3"/>
      <c r="T25" s="1" t="s">
        <v>97</v>
      </c>
      <c r="V25" s="1" t="s">
        <v>2</v>
      </c>
      <c r="W25" s="1">
        <v>2</v>
      </c>
      <c r="X25" s="1" t="s">
        <v>46</v>
      </c>
      <c r="Y25" s="1">
        <v>3</v>
      </c>
      <c r="Z25" s="1" t="s">
        <v>35</v>
      </c>
      <c r="AA25" s="1">
        <v>2</v>
      </c>
    </row>
    <row r="26" spans="1:29" ht="18.600000000000001" customHeight="1">
      <c r="A26" s="15">
        <v>2</v>
      </c>
      <c r="B26" s="3"/>
      <c r="C26" s="3" t="s">
        <v>6</v>
      </c>
      <c r="D26" s="3" t="s">
        <v>16</v>
      </c>
      <c r="E26" s="3"/>
      <c r="F26" s="3"/>
      <c r="G26" s="3"/>
      <c r="H26" s="3"/>
      <c r="I26" s="3"/>
      <c r="J26" s="3" t="s">
        <v>46</v>
      </c>
      <c r="K26" s="3" t="s">
        <v>26</v>
      </c>
      <c r="L26" s="3"/>
      <c r="M26" s="3"/>
      <c r="N26" s="3"/>
      <c r="O26" s="3"/>
      <c r="P26" s="3"/>
      <c r="Q26" s="3"/>
      <c r="R26" s="3"/>
      <c r="T26" s="17">
        <v>43162</v>
      </c>
      <c r="V26" s="1" t="s">
        <v>14</v>
      </c>
      <c r="W26" s="1">
        <v>3</v>
      </c>
      <c r="X26" s="1" t="s">
        <v>6</v>
      </c>
      <c r="Y26" s="1">
        <v>2</v>
      </c>
      <c r="Z26" s="1" t="s">
        <v>8</v>
      </c>
      <c r="AA26" s="1">
        <v>3</v>
      </c>
    </row>
    <row r="27" spans="1:29" ht="18.600000000000001" customHeight="1">
      <c r="A27" s="15">
        <v>3</v>
      </c>
      <c r="B27" s="3"/>
      <c r="C27" s="3" t="s">
        <v>104</v>
      </c>
      <c r="D27" s="3" t="s">
        <v>103</v>
      </c>
      <c r="E27" s="3"/>
      <c r="F27" s="3"/>
      <c r="G27" s="3"/>
      <c r="H27" s="3"/>
      <c r="I27" s="3"/>
      <c r="J27" s="3" t="s">
        <v>101</v>
      </c>
      <c r="K27" s="3" t="s">
        <v>100</v>
      </c>
      <c r="L27" s="3"/>
      <c r="M27" s="19"/>
      <c r="N27" s="3"/>
      <c r="O27" s="3"/>
      <c r="P27" s="3"/>
      <c r="Q27" s="3"/>
      <c r="R27" s="3"/>
      <c r="T27" s="17">
        <v>43183</v>
      </c>
      <c r="V27" s="1" t="s">
        <v>7</v>
      </c>
      <c r="W27" s="1">
        <v>3</v>
      </c>
      <c r="X27" s="1" t="s">
        <v>25</v>
      </c>
      <c r="Y27" s="1">
        <v>2</v>
      </c>
      <c r="Z27" s="1" t="s">
        <v>17</v>
      </c>
      <c r="AA27" s="1">
        <v>2</v>
      </c>
    </row>
    <row r="28" spans="1:29" ht="18.600000000000001" customHeight="1">
      <c r="A28" s="15" t="s">
        <v>20</v>
      </c>
      <c r="B28" s="3" t="s">
        <v>27</v>
      </c>
      <c r="C28" s="3" t="s">
        <v>13</v>
      </c>
      <c r="D28" s="3" t="s">
        <v>13</v>
      </c>
      <c r="E28" s="3" t="s">
        <v>28</v>
      </c>
      <c r="F28" s="3" t="s">
        <v>13</v>
      </c>
      <c r="G28" s="3" t="s">
        <v>13</v>
      </c>
      <c r="H28" s="3" t="s">
        <v>13</v>
      </c>
      <c r="I28" s="3" t="s">
        <v>13</v>
      </c>
      <c r="J28" s="3" t="s">
        <v>13</v>
      </c>
      <c r="K28" s="3" t="s">
        <v>13</v>
      </c>
      <c r="L28" s="3" t="s">
        <v>25</v>
      </c>
      <c r="M28" s="3" t="s">
        <v>13</v>
      </c>
      <c r="N28" s="3" t="s">
        <v>13</v>
      </c>
      <c r="O28" s="3" t="s">
        <v>13</v>
      </c>
      <c r="P28" s="3" t="s">
        <v>13</v>
      </c>
      <c r="Q28" s="3"/>
      <c r="R28" s="3"/>
      <c r="V28" s="1" t="s">
        <v>21</v>
      </c>
      <c r="W28" s="1">
        <v>3</v>
      </c>
      <c r="X28" s="1" t="s">
        <v>23</v>
      </c>
      <c r="Y28" s="1">
        <v>2</v>
      </c>
      <c r="Z28" s="1" t="s">
        <v>38</v>
      </c>
      <c r="AA28" s="1">
        <v>2</v>
      </c>
    </row>
    <row r="29" spans="1:29" ht="18.600000000000001" customHeight="1">
      <c r="A29" s="15" t="s">
        <v>0</v>
      </c>
      <c r="B29" s="3" t="s">
        <v>9</v>
      </c>
      <c r="C29" s="3" t="s">
        <v>13</v>
      </c>
      <c r="D29" s="3" t="s">
        <v>114</v>
      </c>
      <c r="E29" s="3" t="s">
        <v>115</v>
      </c>
      <c r="F29" s="3" t="s">
        <v>13</v>
      </c>
      <c r="G29" s="3" t="s">
        <v>13</v>
      </c>
      <c r="H29" s="3" t="s">
        <v>9</v>
      </c>
      <c r="I29" s="3" t="s">
        <v>13</v>
      </c>
      <c r="J29" s="3" t="s">
        <v>13</v>
      </c>
      <c r="K29" s="3" t="s">
        <v>114</v>
      </c>
      <c r="L29" s="3" t="s">
        <v>115</v>
      </c>
      <c r="M29" s="3" t="s">
        <v>13</v>
      </c>
      <c r="N29" s="3" t="s">
        <v>13</v>
      </c>
      <c r="O29" s="3" t="s">
        <v>9</v>
      </c>
      <c r="P29" s="3" t="s">
        <v>13</v>
      </c>
      <c r="Q29" s="3"/>
      <c r="R29" s="3"/>
      <c r="V29" s="1" t="s">
        <v>26</v>
      </c>
      <c r="W29" s="1">
        <v>2</v>
      </c>
      <c r="X29" s="1" t="s">
        <v>27</v>
      </c>
      <c r="Y29" s="1">
        <v>2</v>
      </c>
      <c r="Z29" s="1" t="s">
        <v>36</v>
      </c>
      <c r="AA29" s="1">
        <v>2</v>
      </c>
    </row>
    <row r="30" spans="1:29" ht="18.600000000000001" customHeight="1">
      <c r="A30" s="15" t="s">
        <v>1</v>
      </c>
      <c r="B30" s="3"/>
      <c r="C30" s="3"/>
      <c r="D30" s="3" t="s">
        <v>10</v>
      </c>
      <c r="E30" s="3" t="s">
        <v>13</v>
      </c>
      <c r="F30" s="3" t="s">
        <v>13</v>
      </c>
      <c r="G30" s="3" t="s">
        <v>13</v>
      </c>
      <c r="H30" s="3" t="s">
        <v>13</v>
      </c>
      <c r="I30" s="3"/>
      <c r="J30" s="3"/>
      <c r="K30" s="3"/>
      <c r="L30" s="3"/>
      <c r="M30" s="3"/>
      <c r="N30" s="3"/>
      <c r="O30" s="3"/>
      <c r="P30" s="3"/>
      <c r="Q30" s="3"/>
      <c r="R30" s="3"/>
      <c r="V30" s="1" t="s">
        <v>28</v>
      </c>
      <c r="W30" s="1">
        <v>2</v>
      </c>
      <c r="X30" s="1" t="s">
        <v>16</v>
      </c>
      <c r="Y30" s="1">
        <v>2</v>
      </c>
      <c r="Z30" s="1" t="s">
        <v>37</v>
      </c>
      <c r="AA30" s="1">
        <v>3</v>
      </c>
    </row>
    <row r="31" spans="1:29" ht="12.75" customHeight="1">
      <c r="Q31" s="145" t="s">
        <v>82</v>
      </c>
      <c r="R31" s="145"/>
      <c r="V31" s="1" t="s">
        <v>108</v>
      </c>
      <c r="W31" s="1">
        <f>SUM(W24:W30)</f>
        <v>17</v>
      </c>
      <c r="Y31" s="1">
        <f>SUM(Y24:Y30)</f>
        <v>15</v>
      </c>
      <c r="AA31" s="1">
        <f>SUM(AA24:AA30)</f>
        <v>16</v>
      </c>
      <c r="AC31" s="1">
        <f>SUM(W31:AA31)</f>
        <v>48</v>
      </c>
    </row>
  </sheetData>
  <mergeCells count="2">
    <mergeCell ref="A1:R1"/>
    <mergeCell ref="Q31:R31"/>
  </mergeCells>
  <phoneticPr fontId="2"/>
  <pageMargins left="0.70866141732283472" right="0.70866141732283472" top="0" bottom="0.19685039370078741" header="0.31496062992125984" footer="0.31496062992125984"/>
  <pageSetup paperSize="9" orientation="landscape"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4"/>
  <dimension ref="A1:AB31"/>
  <sheetViews>
    <sheetView workbookViewId="0">
      <selection activeCell="L4" sqref="L4"/>
    </sheetView>
  </sheetViews>
  <sheetFormatPr defaultColWidth="9" defaultRowHeight="18.75"/>
  <cols>
    <col min="1" max="18" width="6.625" style="1" customWidth="1"/>
    <col min="19" max="19" width="3.625" style="1" customWidth="1"/>
    <col min="20" max="20" width="6.625" style="1" customWidth="1"/>
    <col min="21" max="21" width="3.625" style="1" customWidth="1"/>
    <col min="22" max="37" width="6.625" style="1" customWidth="1"/>
    <col min="38" max="38" width="3.625" style="1" customWidth="1"/>
    <col min="39" max="16384" width="9" style="1"/>
  </cols>
  <sheetData>
    <row r="1" spans="1:27">
      <c r="A1" s="156" t="s">
        <v>83</v>
      </c>
      <c r="B1" s="156"/>
      <c r="C1" s="156"/>
      <c r="D1" s="156"/>
      <c r="E1" s="156"/>
      <c r="F1" s="156"/>
      <c r="G1" s="156"/>
      <c r="H1" s="156"/>
      <c r="I1" s="156"/>
      <c r="J1" s="156"/>
      <c r="K1" s="156"/>
      <c r="L1" s="156"/>
      <c r="M1" s="156"/>
      <c r="N1" s="156"/>
      <c r="O1" s="156"/>
      <c r="P1" s="156"/>
      <c r="Q1" s="156"/>
      <c r="R1" s="156"/>
    </row>
    <row r="2" spans="1:27" ht="18.600000000000001" customHeight="1">
      <c r="A2" s="2" t="s">
        <v>3</v>
      </c>
      <c r="B2" s="6">
        <v>43090</v>
      </c>
      <c r="C2" s="6">
        <v>43091</v>
      </c>
      <c r="D2" s="7">
        <v>43092</v>
      </c>
      <c r="E2" s="7">
        <v>43093</v>
      </c>
      <c r="F2" s="6">
        <v>43094</v>
      </c>
      <c r="G2" s="6">
        <v>43095</v>
      </c>
      <c r="H2" s="6">
        <v>43096</v>
      </c>
      <c r="I2" s="6">
        <v>43097</v>
      </c>
      <c r="J2" s="6">
        <v>43098</v>
      </c>
      <c r="K2" s="7">
        <v>43099</v>
      </c>
      <c r="L2" s="7">
        <v>43100</v>
      </c>
      <c r="M2" s="8" t="s">
        <v>18</v>
      </c>
      <c r="N2" s="9">
        <v>43101</v>
      </c>
      <c r="O2" s="9">
        <v>43102</v>
      </c>
      <c r="P2" s="9">
        <v>43103</v>
      </c>
      <c r="Q2" s="10">
        <v>43104</v>
      </c>
      <c r="R2" s="10">
        <v>43105</v>
      </c>
      <c r="T2" s="1" t="s">
        <v>48</v>
      </c>
      <c r="X2" s="1" t="s">
        <v>80</v>
      </c>
    </row>
    <row r="3" spans="1:27" ht="18.600000000000001" customHeight="1">
      <c r="A3" s="15">
        <v>1</v>
      </c>
      <c r="B3" s="3"/>
      <c r="C3" s="3"/>
      <c r="D3" s="3" t="s">
        <v>7</v>
      </c>
      <c r="E3" s="3" t="s">
        <v>47</v>
      </c>
      <c r="F3" s="3"/>
      <c r="G3" s="3"/>
      <c r="H3" s="3"/>
      <c r="I3" s="3"/>
      <c r="J3" s="3"/>
      <c r="K3" s="3" t="s">
        <v>26</v>
      </c>
      <c r="L3" s="3" t="s">
        <v>14</v>
      </c>
      <c r="M3" s="13"/>
      <c r="N3" s="3"/>
      <c r="O3" s="3"/>
      <c r="P3" s="3"/>
      <c r="Q3" s="3"/>
      <c r="R3" s="3"/>
      <c r="T3" s="1" t="s">
        <v>49</v>
      </c>
      <c r="V3" s="1" t="s">
        <v>63</v>
      </c>
      <c r="X3" s="1" t="s">
        <v>64</v>
      </c>
      <c r="Z3" s="1" t="s">
        <v>65</v>
      </c>
    </row>
    <row r="4" spans="1:27" ht="18.600000000000001" customHeight="1">
      <c r="A4" s="15">
        <v>2</v>
      </c>
      <c r="B4" s="3"/>
      <c r="C4" s="3"/>
      <c r="D4" s="3" t="s">
        <v>23</v>
      </c>
      <c r="E4" s="3" t="s">
        <v>27</v>
      </c>
      <c r="F4" s="3"/>
      <c r="G4" s="3"/>
      <c r="H4" s="3"/>
      <c r="I4" s="3"/>
      <c r="J4" s="3"/>
      <c r="K4" s="3" t="s">
        <v>46</v>
      </c>
      <c r="L4" s="3" t="s">
        <v>45</v>
      </c>
      <c r="M4" s="13"/>
      <c r="N4" s="3"/>
      <c r="O4" s="3"/>
      <c r="P4" s="3"/>
      <c r="Q4" s="3"/>
      <c r="R4" s="3"/>
      <c r="T4" s="17">
        <v>43100</v>
      </c>
      <c r="U4" s="17"/>
      <c r="V4" s="1" t="s">
        <v>58</v>
      </c>
      <c r="W4" s="1">
        <v>2</v>
      </c>
      <c r="X4" s="1" t="s">
        <v>53</v>
      </c>
      <c r="Y4" s="1">
        <v>2</v>
      </c>
      <c r="Z4" s="1" t="s">
        <v>68</v>
      </c>
      <c r="AA4" s="1">
        <v>2</v>
      </c>
    </row>
    <row r="5" spans="1:27" ht="18.600000000000001" customHeight="1">
      <c r="A5" s="15">
        <v>3</v>
      </c>
      <c r="B5" s="3"/>
      <c r="C5" s="3"/>
      <c r="D5" s="3" t="s">
        <v>35</v>
      </c>
      <c r="E5" s="3" t="s">
        <v>36</v>
      </c>
      <c r="F5" s="3"/>
      <c r="G5" s="3"/>
      <c r="H5" s="3"/>
      <c r="I5" s="3"/>
      <c r="J5" s="3"/>
      <c r="K5" s="3" t="s">
        <v>8</v>
      </c>
      <c r="L5" s="3" t="s">
        <v>17</v>
      </c>
      <c r="M5" s="13"/>
      <c r="N5" s="3"/>
      <c r="O5" s="3"/>
      <c r="P5" s="3"/>
      <c r="Q5" s="3"/>
      <c r="R5" s="3"/>
      <c r="T5" s="17">
        <v>42762</v>
      </c>
      <c r="U5" s="17"/>
      <c r="V5" s="1" t="s">
        <v>55</v>
      </c>
      <c r="W5" s="1">
        <v>2</v>
      </c>
      <c r="X5" s="1" t="s">
        <v>56</v>
      </c>
      <c r="Y5" s="1">
        <v>3</v>
      </c>
      <c r="Z5" s="1" t="s">
        <v>69</v>
      </c>
      <c r="AA5" s="1">
        <v>3</v>
      </c>
    </row>
    <row r="6" spans="1:27" ht="18.600000000000001" customHeight="1">
      <c r="A6" s="15" t="s">
        <v>20</v>
      </c>
      <c r="B6" s="3" t="s">
        <v>16</v>
      </c>
      <c r="C6" s="3" t="s">
        <v>13</v>
      </c>
      <c r="D6" s="3" t="s">
        <v>13</v>
      </c>
      <c r="E6" s="3" t="s">
        <v>13</v>
      </c>
      <c r="F6" s="3" t="s">
        <v>6</v>
      </c>
      <c r="G6" s="3" t="s">
        <v>13</v>
      </c>
      <c r="H6" s="3" t="s">
        <v>13</v>
      </c>
      <c r="I6" s="3" t="s">
        <v>13</v>
      </c>
      <c r="J6" s="3" t="s">
        <v>13</v>
      </c>
      <c r="K6" s="3" t="s">
        <v>13</v>
      </c>
      <c r="L6" s="3"/>
      <c r="M6" s="13"/>
      <c r="N6" s="3"/>
      <c r="O6" s="3"/>
      <c r="P6" s="3"/>
      <c r="Q6" s="3" t="s">
        <v>21</v>
      </c>
      <c r="R6" s="3" t="s">
        <v>22</v>
      </c>
      <c r="T6" s="17">
        <v>42763</v>
      </c>
      <c r="U6" s="17"/>
      <c r="V6" s="1" t="s">
        <v>60</v>
      </c>
      <c r="W6" s="1">
        <v>2</v>
      </c>
      <c r="X6" s="1" t="s">
        <v>57</v>
      </c>
      <c r="Y6" s="1">
        <v>2</v>
      </c>
      <c r="Z6" s="1" t="s">
        <v>70</v>
      </c>
      <c r="AA6" s="1">
        <v>2</v>
      </c>
    </row>
    <row r="7" spans="1:27" ht="18.600000000000001" customHeight="1">
      <c r="A7" s="15" t="s">
        <v>0</v>
      </c>
      <c r="B7" s="3" t="s">
        <v>9</v>
      </c>
      <c r="C7" s="3" t="s">
        <v>13</v>
      </c>
      <c r="D7" s="3" t="s">
        <v>15</v>
      </c>
      <c r="E7" s="3" t="s">
        <v>15</v>
      </c>
      <c r="F7" s="3" t="s">
        <v>12</v>
      </c>
      <c r="G7" s="3" t="s">
        <v>13</v>
      </c>
      <c r="H7" s="3" t="s">
        <v>13</v>
      </c>
      <c r="I7" s="3" t="s">
        <v>9</v>
      </c>
      <c r="J7" s="3" t="s">
        <v>13</v>
      </c>
      <c r="K7" s="3" t="s">
        <v>15</v>
      </c>
      <c r="L7" s="3"/>
      <c r="M7" s="13"/>
      <c r="N7" s="3"/>
      <c r="O7" s="3"/>
      <c r="P7" s="3"/>
      <c r="Q7" s="3" t="s">
        <v>30</v>
      </c>
      <c r="R7" s="3" t="s">
        <v>15</v>
      </c>
      <c r="T7" s="1" t="s">
        <v>48</v>
      </c>
      <c r="U7" s="17"/>
      <c r="V7" s="1" t="s">
        <v>59</v>
      </c>
      <c r="W7" s="1">
        <v>2</v>
      </c>
      <c r="X7" s="1" t="s">
        <v>54</v>
      </c>
      <c r="Y7" s="1">
        <v>2</v>
      </c>
      <c r="Z7" s="1" t="s">
        <v>71</v>
      </c>
      <c r="AA7" s="1">
        <v>3</v>
      </c>
    </row>
    <row r="8" spans="1:27" ht="18.600000000000001" customHeight="1">
      <c r="A8" s="15" t="s">
        <v>1</v>
      </c>
      <c r="B8" s="3" t="s">
        <v>10</v>
      </c>
      <c r="C8" s="3"/>
      <c r="D8" s="3"/>
      <c r="E8" s="3" t="s">
        <v>11</v>
      </c>
      <c r="F8" s="3" t="s">
        <v>13</v>
      </c>
      <c r="G8" s="3" t="s">
        <v>13</v>
      </c>
      <c r="H8" s="3" t="s">
        <v>13</v>
      </c>
      <c r="I8" s="3" t="s">
        <v>13</v>
      </c>
      <c r="J8" s="3"/>
      <c r="K8" s="3"/>
      <c r="L8" s="3"/>
      <c r="M8" s="13"/>
      <c r="N8" s="3"/>
      <c r="O8" s="3"/>
      <c r="P8" s="3"/>
      <c r="Q8" s="3"/>
      <c r="R8" s="3"/>
      <c r="T8" s="1" t="s">
        <v>7</v>
      </c>
      <c r="V8" s="1" t="s">
        <v>62</v>
      </c>
      <c r="W8" s="1">
        <v>2</v>
      </c>
      <c r="X8" s="1" t="s">
        <v>61</v>
      </c>
      <c r="Y8" s="1">
        <v>3</v>
      </c>
      <c r="Z8" s="1" t="s">
        <v>72</v>
      </c>
      <c r="AA8" s="1">
        <v>3</v>
      </c>
    </row>
    <row r="9" spans="1:27" ht="18.600000000000001" customHeight="1">
      <c r="A9" s="12" t="s">
        <v>4</v>
      </c>
      <c r="B9" s="9">
        <v>43106</v>
      </c>
      <c r="C9" s="9">
        <v>43107</v>
      </c>
      <c r="D9" s="11">
        <v>43108</v>
      </c>
      <c r="E9" s="11">
        <v>43109</v>
      </c>
      <c r="F9" s="11">
        <v>43110</v>
      </c>
      <c r="G9" s="11">
        <v>43111</v>
      </c>
      <c r="H9" s="11">
        <v>43112</v>
      </c>
      <c r="I9" s="9">
        <v>43113</v>
      </c>
      <c r="J9" s="9">
        <v>43114</v>
      </c>
      <c r="K9" s="11">
        <v>43115</v>
      </c>
      <c r="L9" s="11">
        <v>43116</v>
      </c>
      <c r="M9" s="11">
        <v>43117</v>
      </c>
      <c r="N9" s="11">
        <v>43118</v>
      </c>
      <c r="O9" s="11">
        <v>43119</v>
      </c>
      <c r="P9" s="9">
        <v>43120</v>
      </c>
      <c r="Q9" s="3"/>
      <c r="R9" s="3"/>
      <c r="T9" s="17">
        <v>42748</v>
      </c>
      <c r="V9" s="1" t="s">
        <v>66</v>
      </c>
      <c r="W9" s="1">
        <v>2</v>
      </c>
      <c r="X9" s="1" t="s">
        <v>52</v>
      </c>
      <c r="Y9" s="1">
        <v>2</v>
      </c>
      <c r="Z9" s="1" t="s">
        <v>73</v>
      </c>
      <c r="AA9" s="1">
        <v>3</v>
      </c>
    </row>
    <row r="10" spans="1:27" ht="18.600000000000001" customHeight="1">
      <c r="A10" s="13">
        <v>1</v>
      </c>
      <c r="B10" s="3" t="s">
        <v>2</v>
      </c>
      <c r="C10" s="3" t="s">
        <v>7</v>
      </c>
      <c r="D10" s="3"/>
      <c r="E10" s="3"/>
      <c r="F10" s="3"/>
      <c r="G10" s="3"/>
      <c r="H10" s="3"/>
      <c r="I10" s="3" t="s">
        <v>47</v>
      </c>
      <c r="J10" s="3" t="s">
        <v>52</v>
      </c>
      <c r="K10" s="3"/>
      <c r="L10" s="3"/>
      <c r="M10" s="3"/>
      <c r="N10" s="3"/>
      <c r="O10" s="3"/>
      <c r="P10" s="3" t="s">
        <v>26</v>
      </c>
      <c r="Q10" s="3"/>
      <c r="R10" s="3"/>
      <c r="T10" s="17">
        <v>42749</v>
      </c>
      <c r="V10" s="1" t="s">
        <v>67</v>
      </c>
      <c r="W10" s="1">
        <v>2</v>
      </c>
      <c r="X10" s="1" t="s">
        <v>51</v>
      </c>
      <c r="Z10" s="1" t="s">
        <v>74</v>
      </c>
    </row>
    <row r="11" spans="1:27" ht="18.600000000000001" customHeight="1">
      <c r="A11" s="13">
        <v>2</v>
      </c>
      <c r="B11" s="3" t="s">
        <v>50</v>
      </c>
      <c r="C11" s="3" t="s">
        <v>16</v>
      </c>
      <c r="D11" s="3"/>
      <c r="E11" s="3"/>
      <c r="F11" s="3"/>
      <c r="G11" s="3"/>
      <c r="H11" s="3"/>
      <c r="I11" s="3" t="s">
        <v>43</v>
      </c>
      <c r="J11" s="3" t="s">
        <v>25</v>
      </c>
      <c r="K11" s="3"/>
      <c r="L11" s="3"/>
      <c r="M11" s="3"/>
      <c r="N11" s="3"/>
      <c r="O11" s="3"/>
      <c r="P11" s="3" t="s">
        <v>53</v>
      </c>
      <c r="Q11" s="3"/>
      <c r="R11" s="3"/>
      <c r="T11" s="17">
        <v>42756</v>
      </c>
    </row>
    <row r="12" spans="1:27" ht="18.600000000000001" customHeight="1">
      <c r="A12" s="13">
        <v>3</v>
      </c>
      <c r="B12" s="18" t="s">
        <v>34</v>
      </c>
      <c r="C12" s="3" t="s">
        <v>37</v>
      </c>
      <c r="D12" s="3"/>
      <c r="E12" s="3"/>
      <c r="F12" s="3"/>
      <c r="G12" s="3"/>
      <c r="H12" s="3"/>
      <c r="I12" s="3" t="s">
        <v>38</v>
      </c>
      <c r="J12" s="3" t="s">
        <v>39</v>
      </c>
      <c r="K12" s="3"/>
      <c r="L12" s="3"/>
      <c r="M12" s="3"/>
      <c r="N12" s="3"/>
      <c r="O12" s="3"/>
      <c r="P12" s="3" t="s">
        <v>40</v>
      </c>
      <c r="Q12" s="3"/>
      <c r="R12" s="3"/>
      <c r="T12" s="17">
        <v>42762</v>
      </c>
      <c r="X12" s="1" t="s">
        <v>78</v>
      </c>
    </row>
    <row r="13" spans="1:27" ht="18.600000000000001" customHeight="1">
      <c r="A13" s="13" t="s">
        <v>20</v>
      </c>
      <c r="B13" s="3" t="s">
        <v>21</v>
      </c>
      <c r="C13" s="3" t="s">
        <v>13</v>
      </c>
      <c r="D13" s="3" t="s">
        <v>23</v>
      </c>
      <c r="E13" s="3" t="s">
        <v>13</v>
      </c>
      <c r="F13" s="3" t="s">
        <v>13</v>
      </c>
      <c r="G13" s="3" t="s">
        <v>13</v>
      </c>
      <c r="H13" s="3" t="s">
        <v>13</v>
      </c>
      <c r="I13" s="3" t="s">
        <v>13</v>
      </c>
      <c r="J13" s="3" t="s">
        <v>13</v>
      </c>
      <c r="K13" s="3" t="s">
        <v>24</v>
      </c>
      <c r="L13" s="3" t="s">
        <v>22</v>
      </c>
      <c r="M13" s="3" t="s">
        <v>22</v>
      </c>
      <c r="N13" s="3" t="s">
        <v>22</v>
      </c>
      <c r="O13" s="3" t="s">
        <v>22</v>
      </c>
      <c r="P13" s="3" t="s">
        <v>22</v>
      </c>
      <c r="Q13" s="3"/>
      <c r="R13" s="3"/>
      <c r="T13" s="1" t="s">
        <v>48</v>
      </c>
      <c r="V13" s="1" t="s">
        <v>63</v>
      </c>
      <c r="X13" s="1" t="s">
        <v>64</v>
      </c>
      <c r="Z13" s="1" t="s">
        <v>65</v>
      </c>
    </row>
    <row r="14" spans="1:27" ht="18.600000000000001" customHeight="1">
      <c r="A14" s="13" t="s">
        <v>0</v>
      </c>
      <c r="B14" s="3" t="s">
        <v>15</v>
      </c>
      <c r="C14" s="3" t="s">
        <v>9</v>
      </c>
      <c r="D14" s="3" t="s">
        <v>12</v>
      </c>
      <c r="E14" s="3" t="s">
        <v>13</v>
      </c>
      <c r="F14" s="3" t="s">
        <v>13</v>
      </c>
      <c r="G14" s="3" t="s">
        <v>9</v>
      </c>
      <c r="H14" s="3" t="s">
        <v>15</v>
      </c>
      <c r="I14" s="3" t="s">
        <v>15</v>
      </c>
      <c r="J14" s="3" t="s">
        <v>9</v>
      </c>
      <c r="K14" s="3" t="s">
        <v>12</v>
      </c>
      <c r="L14" s="3" t="s">
        <v>13</v>
      </c>
      <c r="M14" s="3" t="s">
        <v>13</v>
      </c>
      <c r="N14" s="3" t="s">
        <v>9</v>
      </c>
      <c r="O14" s="3" t="s">
        <v>15</v>
      </c>
      <c r="P14" s="3" t="s">
        <v>15</v>
      </c>
      <c r="Q14" s="3"/>
      <c r="R14" s="3"/>
      <c r="T14" s="1" t="s">
        <v>76</v>
      </c>
      <c r="V14" s="1" t="s">
        <v>47</v>
      </c>
      <c r="W14" s="1">
        <v>3</v>
      </c>
      <c r="X14" s="1" t="s">
        <v>45</v>
      </c>
      <c r="Y14" s="1">
        <v>3</v>
      </c>
      <c r="Z14" s="1" t="s">
        <v>34</v>
      </c>
      <c r="AA14" s="1">
        <v>3</v>
      </c>
    </row>
    <row r="15" spans="1:27" ht="18.600000000000001" customHeight="1">
      <c r="A15" s="13" t="s">
        <v>1</v>
      </c>
      <c r="B15" s="3"/>
      <c r="C15" s="3" t="s">
        <v>33</v>
      </c>
      <c r="D15" s="3" t="s">
        <v>13</v>
      </c>
      <c r="E15" s="3" t="s">
        <v>13</v>
      </c>
      <c r="F15" s="3" t="s">
        <v>13</v>
      </c>
      <c r="G15" s="3" t="s">
        <v>13</v>
      </c>
      <c r="H15" s="3"/>
      <c r="I15" s="3"/>
      <c r="J15" s="3" t="s">
        <v>32</v>
      </c>
      <c r="K15" s="3" t="s">
        <v>13</v>
      </c>
      <c r="L15" s="3" t="s">
        <v>13</v>
      </c>
      <c r="M15" s="3" t="s">
        <v>13</v>
      </c>
      <c r="N15" s="3" t="s">
        <v>13</v>
      </c>
      <c r="O15" s="3"/>
      <c r="P15" s="3"/>
      <c r="Q15" s="3"/>
      <c r="R15" s="3"/>
      <c r="T15" s="17">
        <v>43100</v>
      </c>
      <c r="V15" s="1" t="s">
        <v>2</v>
      </c>
      <c r="W15" s="1">
        <v>4</v>
      </c>
      <c r="X15" s="1" t="s">
        <v>46</v>
      </c>
      <c r="Y15" s="1">
        <v>3</v>
      </c>
      <c r="Z15" s="1" t="s">
        <v>35</v>
      </c>
      <c r="AA15" s="1">
        <v>2</v>
      </c>
    </row>
    <row r="16" spans="1:27" ht="18.600000000000001" customHeight="1">
      <c r="A16" s="20" t="s">
        <v>84</v>
      </c>
      <c r="B16" s="4"/>
      <c r="C16" s="4"/>
      <c r="D16" s="4"/>
      <c r="E16" s="4"/>
      <c r="F16" s="4"/>
      <c r="G16" s="4"/>
      <c r="H16" s="4"/>
      <c r="I16" s="4"/>
      <c r="J16" s="4"/>
      <c r="K16" s="4"/>
      <c r="L16" s="4"/>
      <c r="M16" s="4"/>
      <c r="N16" s="4"/>
      <c r="O16" s="4"/>
      <c r="P16" s="4"/>
      <c r="Q16" s="4"/>
      <c r="R16" s="5"/>
      <c r="V16" s="1" t="s">
        <v>14</v>
      </c>
      <c r="W16" s="1">
        <v>2</v>
      </c>
      <c r="X16" s="1" t="s">
        <v>6</v>
      </c>
      <c r="Y16" s="1">
        <v>3</v>
      </c>
      <c r="Z16" s="1" t="s">
        <v>8</v>
      </c>
      <c r="AA16" s="1">
        <v>3</v>
      </c>
    </row>
    <row r="17" spans="1:28" ht="18.600000000000001" customHeight="1">
      <c r="A17" s="12" t="s">
        <v>4</v>
      </c>
      <c r="B17" s="9">
        <v>43121</v>
      </c>
      <c r="C17" s="10">
        <v>43122</v>
      </c>
      <c r="D17" s="10">
        <v>43123</v>
      </c>
      <c r="E17" s="10">
        <v>43124</v>
      </c>
      <c r="F17" s="10">
        <v>43125</v>
      </c>
      <c r="G17" s="10">
        <v>43126</v>
      </c>
      <c r="H17" s="9">
        <v>43127</v>
      </c>
      <c r="I17" s="9">
        <v>43128</v>
      </c>
      <c r="J17" s="10">
        <v>43129</v>
      </c>
      <c r="K17" s="10">
        <v>43130</v>
      </c>
      <c r="L17" s="10">
        <v>43131</v>
      </c>
      <c r="M17" s="14" t="s">
        <v>19</v>
      </c>
      <c r="N17" s="6">
        <v>43132</v>
      </c>
      <c r="O17" s="6">
        <v>43133</v>
      </c>
      <c r="P17" s="7">
        <v>43134</v>
      </c>
      <c r="Q17" s="7">
        <v>43135</v>
      </c>
      <c r="R17" s="6">
        <v>43136</v>
      </c>
      <c r="T17" s="1" t="s">
        <v>75</v>
      </c>
      <c r="V17" s="1" t="s">
        <v>7</v>
      </c>
      <c r="W17" s="1">
        <v>3</v>
      </c>
      <c r="X17" s="1" t="s">
        <v>25</v>
      </c>
      <c r="Y17" s="1">
        <v>3</v>
      </c>
      <c r="Z17" s="1" t="s">
        <v>17</v>
      </c>
      <c r="AA17" s="1">
        <v>2</v>
      </c>
    </row>
    <row r="18" spans="1:28" ht="18.600000000000001" customHeight="1">
      <c r="A18" s="13">
        <v>1</v>
      </c>
      <c r="B18" s="3" t="s">
        <v>21</v>
      </c>
      <c r="C18" s="3"/>
      <c r="D18" s="3"/>
      <c r="E18" s="3"/>
      <c r="F18" s="3"/>
      <c r="G18" s="3"/>
      <c r="H18" s="3" t="s">
        <v>2</v>
      </c>
      <c r="I18" s="3" t="s">
        <v>59</v>
      </c>
      <c r="J18" s="3"/>
      <c r="K18" s="3"/>
      <c r="L18" s="3"/>
      <c r="M18" s="15"/>
      <c r="N18" s="3"/>
      <c r="O18" s="3"/>
      <c r="P18" s="3" t="s">
        <v>44</v>
      </c>
      <c r="Q18" s="3" t="s">
        <v>50</v>
      </c>
      <c r="R18" s="3"/>
      <c r="T18" s="1" t="s">
        <v>68</v>
      </c>
      <c r="V18" s="1" t="s">
        <v>21</v>
      </c>
      <c r="W18" s="1">
        <v>2</v>
      </c>
      <c r="X18" s="1" t="s">
        <v>23</v>
      </c>
      <c r="Y18" s="1">
        <v>1</v>
      </c>
      <c r="Z18" s="1" t="s">
        <v>38</v>
      </c>
      <c r="AA18" s="1">
        <v>3</v>
      </c>
    </row>
    <row r="19" spans="1:28" ht="18.600000000000001" customHeight="1">
      <c r="A19" s="13">
        <v>2</v>
      </c>
      <c r="B19" s="3" t="s">
        <v>81</v>
      </c>
      <c r="C19" s="3"/>
      <c r="D19" s="3"/>
      <c r="E19" s="3"/>
      <c r="F19" s="3"/>
      <c r="G19" s="3"/>
      <c r="H19" s="3" t="s">
        <v>27</v>
      </c>
      <c r="I19" s="3" t="s">
        <v>23</v>
      </c>
      <c r="J19" s="3"/>
      <c r="K19" s="3"/>
      <c r="L19" s="3"/>
      <c r="M19" s="15"/>
      <c r="N19" s="3"/>
      <c r="O19" s="3"/>
      <c r="P19" s="3" t="s">
        <v>56</v>
      </c>
      <c r="Q19" s="3" t="s">
        <v>57</v>
      </c>
      <c r="R19" s="3"/>
      <c r="T19" s="17">
        <v>42741</v>
      </c>
      <c r="V19" s="1" t="s">
        <v>26</v>
      </c>
      <c r="W19" s="1">
        <v>2</v>
      </c>
      <c r="X19" s="1" t="s">
        <v>27</v>
      </c>
      <c r="Y19" s="1">
        <v>2</v>
      </c>
      <c r="Z19" s="1" t="s">
        <v>36</v>
      </c>
      <c r="AA19" s="1">
        <v>2</v>
      </c>
    </row>
    <row r="20" spans="1:28" ht="18.600000000000001" customHeight="1">
      <c r="A20" s="13">
        <v>3</v>
      </c>
      <c r="B20" s="3" t="s">
        <v>41</v>
      </c>
      <c r="C20" s="3"/>
      <c r="D20" s="3"/>
      <c r="E20" s="3"/>
      <c r="F20" s="3"/>
      <c r="G20" s="3"/>
      <c r="H20" s="19" t="s">
        <v>34</v>
      </c>
      <c r="I20" s="3" t="s">
        <v>42</v>
      </c>
      <c r="J20" s="3"/>
      <c r="K20" s="3"/>
      <c r="L20" s="3"/>
      <c r="M20" s="15"/>
      <c r="N20" s="3"/>
      <c r="O20" s="3"/>
      <c r="P20" s="3" t="s">
        <v>37</v>
      </c>
      <c r="Q20" s="3" t="s">
        <v>38</v>
      </c>
      <c r="R20" s="3"/>
      <c r="T20" s="17">
        <v>42762</v>
      </c>
      <c r="V20" s="1" t="s">
        <v>28</v>
      </c>
      <c r="W20" s="1">
        <v>2</v>
      </c>
      <c r="X20" s="1" t="s">
        <v>16</v>
      </c>
      <c r="Z20" s="1" t="s">
        <v>37</v>
      </c>
      <c r="AA20" s="1">
        <v>3</v>
      </c>
    </row>
    <row r="21" spans="1:28" ht="18.600000000000001" customHeight="1">
      <c r="A21" s="13" t="s">
        <v>20</v>
      </c>
      <c r="B21" s="3" t="s">
        <v>24</v>
      </c>
      <c r="C21" s="3" t="s">
        <v>25</v>
      </c>
      <c r="D21" s="3" t="s">
        <v>22</v>
      </c>
      <c r="E21" s="3" t="s">
        <v>22</v>
      </c>
      <c r="F21" s="3" t="s">
        <v>22</v>
      </c>
      <c r="G21" s="3" t="s">
        <v>22</v>
      </c>
      <c r="H21" s="3" t="s">
        <v>22</v>
      </c>
      <c r="I21" s="3" t="s">
        <v>22</v>
      </c>
      <c r="J21" s="3" t="s">
        <v>26</v>
      </c>
      <c r="K21" s="3" t="s">
        <v>22</v>
      </c>
      <c r="L21" s="3" t="s">
        <v>22</v>
      </c>
      <c r="M21" s="15"/>
      <c r="N21" s="3" t="s">
        <v>22</v>
      </c>
      <c r="O21" s="3" t="s">
        <v>22</v>
      </c>
      <c r="P21" s="3" t="s">
        <v>22</v>
      </c>
      <c r="Q21" s="3" t="s">
        <v>13</v>
      </c>
      <c r="R21" s="3" t="s">
        <v>27</v>
      </c>
      <c r="T21" s="17">
        <v>42783</v>
      </c>
    </row>
    <row r="22" spans="1:28" ht="18.600000000000001" customHeight="1">
      <c r="A22" s="13" t="s">
        <v>0</v>
      </c>
      <c r="B22" s="3" t="s">
        <v>9</v>
      </c>
      <c r="C22" s="3" t="s">
        <v>12</v>
      </c>
      <c r="D22" s="3" t="s">
        <v>13</v>
      </c>
      <c r="E22" s="3" t="s">
        <v>13</v>
      </c>
      <c r="F22" s="3" t="s">
        <v>9</v>
      </c>
      <c r="G22" s="3" t="s">
        <v>15</v>
      </c>
      <c r="H22" s="3" t="s">
        <v>15</v>
      </c>
      <c r="I22" s="3" t="s">
        <v>9</v>
      </c>
      <c r="J22" s="3" t="s">
        <v>12</v>
      </c>
      <c r="K22" s="3" t="s">
        <v>13</v>
      </c>
      <c r="L22" s="3" t="s">
        <v>13</v>
      </c>
      <c r="M22" s="15"/>
      <c r="N22" s="3" t="s">
        <v>9</v>
      </c>
      <c r="O22" s="3" t="s">
        <v>15</v>
      </c>
      <c r="P22" s="3" t="s">
        <v>15</v>
      </c>
      <c r="Q22" s="3" t="s">
        <v>9</v>
      </c>
      <c r="R22" s="3" t="s">
        <v>31</v>
      </c>
      <c r="X22" s="1" t="s">
        <v>79</v>
      </c>
    </row>
    <row r="23" spans="1:28" ht="18.600000000000001" customHeight="1">
      <c r="A23" s="13" t="s">
        <v>1</v>
      </c>
      <c r="B23" s="3" t="s">
        <v>33</v>
      </c>
      <c r="C23" s="3" t="s">
        <v>13</v>
      </c>
      <c r="D23" s="3" t="s">
        <v>13</v>
      </c>
      <c r="E23" s="3" t="s">
        <v>13</v>
      </c>
      <c r="F23" s="3" t="s">
        <v>13</v>
      </c>
      <c r="G23" s="3"/>
      <c r="H23" s="3"/>
      <c r="I23" s="3" t="s">
        <v>32</v>
      </c>
      <c r="J23" s="3" t="s">
        <v>13</v>
      </c>
      <c r="K23" s="3" t="s">
        <v>13</v>
      </c>
      <c r="L23" s="3" t="s">
        <v>13</v>
      </c>
      <c r="M23" s="15"/>
      <c r="N23" s="3" t="s">
        <v>22</v>
      </c>
      <c r="O23" s="3"/>
      <c r="P23" s="3"/>
      <c r="Q23" s="3" t="s">
        <v>33</v>
      </c>
      <c r="R23" s="3" t="s">
        <v>13</v>
      </c>
      <c r="V23" s="1" t="s">
        <v>63</v>
      </c>
      <c r="X23" s="1" t="s">
        <v>64</v>
      </c>
      <c r="Z23" s="1" t="s">
        <v>65</v>
      </c>
    </row>
    <row r="24" spans="1:28" ht="18.600000000000001" customHeight="1">
      <c r="A24" s="2" t="s">
        <v>5</v>
      </c>
      <c r="B24" s="16">
        <v>43137</v>
      </c>
      <c r="C24" s="16">
        <v>43138</v>
      </c>
      <c r="D24" s="16">
        <v>43139</v>
      </c>
      <c r="E24" s="16">
        <v>43140</v>
      </c>
      <c r="F24" s="7">
        <v>43141</v>
      </c>
      <c r="G24" s="7">
        <v>43142</v>
      </c>
      <c r="H24" s="16">
        <v>43143</v>
      </c>
      <c r="I24" s="16">
        <v>43144</v>
      </c>
      <c r="J24" s="16">
        <v>43145</v>
      </c>
      <c r="K24" s="16">
        <v>43146</v>
      </c>
      <c r="L24" s="16">
        <v>43147</v>
      </c>
      <c r="M24" s="7">
        <v>43148</v>
      </c>
      <c r="N24" s="7">
        <v>43149</v>
      </c>
      <c r="O24" s="16">
        <v>43150</v>
      </c>
      <c r="P24" s="16">
        <v>43151</v>
      </c>
      <c r="Q24" s="3"/>
      <c r="R24" s="3"/>
      <c r="V24" s="1" t="s">
        <v>47</v>
      </c>
      <c r="W24" s="1">
        <v>3</v>
      </c>
      <c r="X24" s="1" t="s">
        <v>45</v>
      </c>
      <c r="Y24" s="1">
        <v>3</v>
      </c>
      <c r="Z24" s="1" t="s">
        <v>34</v>
      </c>
      <c r="AA24" s="1">
        <v>3</v>
      </c>
    </row>
    <row r="25" spans="1:28" ht="18.600000000000001" customHeight="1">
      <c r="A25" s="15">
        <v>1</v>
      </c>
      <c r="B25" s="3"/>
      <c r="C25" s="3"/>
      <c r="D25" s="3"/>
      <c r="E25" s="3"/>
      <c r="F25" s="3" t="s">
        <v>62</v>
      </c>
      <c r="G25" s="3" t="s">
        <v>58</v>
      </c>
      <c r="H25" s="3"/>
      <c r="I25" s="3"/>
      <c r="J25" s="3"/>
      <c r="K25" s="3"/>
      <c r="L25" s="3"/>
      <c r="M25" s="3" t="s">
        <v>2</v>
      </c>
      <c r="N25" s="3" t="s">
        <v>26</v>
      </c>
      <c r="O25" s="3"/>
      <c r="P25" s="3"/>
      <c r="Q25" s="3"/>
      <c r="R25" s="3"/>
      <c r="V25" s="1" t="s">
        <v>2</v>
      </c>
      <c r="W25" s="1">
        <v>3</v>
      </c>
      <c r="X25" s="1" t="s">
        <v>46</v>
      </c>
      <c r="Y25" s="1">
        <v>2</v>
      </c>
      <c r="Z25" s="1" t="s">
        <v>35</v>
      </c>
      <c r="AA25" s="1">
        <v>3</v>
      </c>
    </row>
    <row r="26" spans="1:28" ht="18.600000000000001" customHeight="1">
      <c r="A26" s="15">
        <v>2</v>
      </c>
      <c r="B26" s="3"/>
      <c r="C26" s="3"/>
      <c r="D26" s="3"/>
      <c r="E26" s="3"/>
      <c r="F26" s="3" t="s">
        <v>51</v>
      </c>
      <c r="G26" s="3" t="s">
        <v>54</v>
      </c>
      <c r="H26" s="3"/>
      <c r="I26" s="3"/>
      <c r="J26" s="3"/>
      <c r="K26" s="3"/>
      <c r="L26" s="3"/>
      <c r="M26" s="3" t="s">
        <v>45</v>
      </c>
      <c r="N26" s="3" t="s">
        <v>77</v>
      </c>
      <c r="O26" s="3"/>
      <c r="P26" s="3"/>
      <c r="Q26" s="3"/>
      <c r="R26" s="3"/>
      <c r="V26" s="1" t="s">
        <v>14</v>
      </c>
      <c r="W26" s="1">
        <v>2</v>
      </c>
      <c r="X26" s="1" t="s">
        <v>6</v>
      </c>
      <c r="Y26" s="1">
        <v>3</v>
      </c>
      <c r="Z26" s="1" t="s">
        <v>8</v>
      </c>
      <c r="AA26" s="1">
        <v>2</v>
      </c>
    </row>
    <row r="27" spans="1:28" ht="18.600000000000001" customHeight="1">
      <c r="A27" s="15">
        <v>3</v>
      </c>
      <c r="B27" s="3"/>
      <c r="C27" s="3"/>
      <c r="D27" s="3"/>
      <c r="E27" s="3"/>
      <c r="F27" s="3" t="s">
        <v>39</v>
      </c>
      <c r="G27" s="3" t="s">
        <v>40</v>
      </c>
      <c r="H27" s="3"/>
      <c r="I27" s="3"/>
      <c r="J27" s="3"/>
      <c r="K27" s="3"/>
      <c r="L27" s="3"/>
      <c r="M27" s="19" t="s">
        <v>34</v>
      </c>
      <c r="N27" s="3" t="s">
        <v>41</v>
      </c>
      <c r="O27" s="3"/>
      <c r="P27" s="3"/>
      <c r="Q27" s="3"/>
      <c r="R27" s="3"/>
      <c r="V27" s="1" t="s">
        <v>7</v>
      </c>
      <c r="W27" s="1">
        <v>3</v>
      </c>
      <c r="X27" s="1" t="s">
        <v>25</v>
      </c>
      <c r="Y27" s="1">
        <v>2</v>
      </c>
      <c r="Z27" s="1" t="s">
        <v>17</v>
      </c>
      <c r="AA27" s="1">
        <v>3</v>
      </c>
    </row>
    <row r="28" spans="1:28" ht="18.600000000000001" customHeight="1">
      <c r="A28" s="15" t="s">
        <v>20</v>
      </c>
      <c r="B28" s="3" t="s">
        <v>27</v>
      </c>
      <c r="C28" s="3" t="s">
        <v>22</v>
      </c>
      <c r="D28" s="3" t="s">
        <v>22</v>
      </c>
      <c r="E28" s="3" t="s">
        <v>22</v>
      </c>
      <c r="F28" s="3" t="s">
        <v>22</v>
      </c>
      <c r="G28" s="3" t="s">
        <v>22</v>
      </c>
      <c r="H28" s="3" t="s">
        <v>28</v>
      </c>
      <c r="I28" s="3" t="s">
        <v>22</v>
      </c>
      <c r="J28" s="3" t="s">
        <v>22</v>
      </c>
      <c r="K28" s="3" t="s">
        <v>22</v>
      </c>
      <c r="L28" s="3" t="s">
        <v>22</v>
      </c>
      <c r="M28" s="3" t="s">
        <v>22</v>
      </c>
      <c r="N28" s="3" t="s">
        <v>22</v>
      </c>
      <c r="O28" s="3" t="s">
        <v>29</v>
      </c>
      <c r="P28" s="3" t="s">
        <v>22</v>
      </c>
      <c r="Q28" s="3"/>
      <c r="R28" s="3"/>
      <c r="V28" s="1" t="s">
        <v>21</v>
      </c>
      <c r="W28" s="1">
        <v>2</v>
      </c>
      <c r="X28" s="1" t="s">
        <v>23</v>
      </c>
      <c r="Y28" s="1">
        <v>2</v>
      </c>
      <c r="Z28" s="1" t="s">
        <v>38</v>
      </c>
      <c r="AA28" s="1">
        <v>2</v>
      </c>
    </row>
    <row r="29" spans="1:28" ht="18.600000000000001" customHeight="1">
      <c r="A29" s="15" t="s">
        <v>0</v>
      </c>
      <c r="B29" s="3" t="s">
        <v>12</v>
      </c>
      <c r="C29" s="3" t="s">
        <v>22</v>
      </c>
      <c r="D29" s="3" t="s">
        <v>9</v>
      </c>
      <c r="E29" s="3" t="s">
        <v>15</v>
      </c>
      <c r="F29" s="3" t="s">
        <v>15</v>
      </c>
      <c r="G29" s="3" t="s">
        <v>9</v>
      </c>
      <c r="H29" s="3" t="s">
        <v>12</v>
      </c>
      <c r="I29" s="3" t="s">
        <v>13</v>
      </c>
      <c r="J29" s="3" t="s">
        <v>13</v>
      </c>
      <c r="K29" s="3" t="s">
        <v>9</v>
      </c>
      <c r="L29" s="3" t="s">
        <v>15</v>
      </c>
      <c r="M29" s="3" t="s">
        <v>15</v>
      </c>
      <c r="N29" s="3" t="s">
        <v>9</v>
      </c>
      <c r="O29" s="3" t="s">
        <v>12</v>
      </c>
      <c r="P29" s="3" t="s">
        <v>13</v>
      </c>
      <c r="Q29" s="3"/>
      <c r="R29" s="3"/>
      <c r="V29" s="1" t="s">
        <v>26</v>
      </c>
      <c r="W29" s="1">
        <v>3</v>
      </c>
      <c r="X29" s="1" t="s">
        <v>27</v>
      </c>
      <c r="Y29" s="1">
        <v>3</v>
      </c>
      <c r="Z29" s="1" t="s">
        <v>36</v>
      </c>
      <c r="AA29" s="1">
        <v>3</v>
      </c>
    </row>
    <row r="30" spans="1:28" ht="18.600000000000001" customHeight="1">
      <c r="A30" s="15" t="s">
        <v>1</v>
      </c>
      <c r="B30" s="3" t="s">
        <v>33</v>
      </c>
      <c r="C30" s="3" t="s">
        <v>13</v>
      </c>
      <c r="D30" s="3" t="s">
        <v>13</v>
      </c>
      <c r="E30" s="3"/>
      <c r="F30" s="3"/>
      <c r="G30" s="3" t="s">
        <v>32</v>
      </c>
      <c r="H30" s="3" t="s">
        <v>13</v>
      </c>
      <c r="I30" s="3" t="s">
        <v>13</v>
      </c>
      <c r="J30" s="3" t="s">
        <v>13</v>
      </c>
      <c r="K30" s="3" t="s">
        <v>13</v>
      </c>
      <c r="L30" s="3"/>
      <c r="M30" s="3"/>
      <c r="N30" s="3" t="s">
        <v>33</v>
      </c>
      <c r="O30" s="3" t="s">
        <v>13</v>
      </c>
      <c r="P30" s="3" t="s">
        <v>13</v>
      </c>
      <c r="Q30" s="3"/>
      <c r="R30" s="3"/>
      <c r="V30" s="1" t="s">
        <v>28</v>
      </c>
      <c r="W30" s="1">
        <v>2</v>
      </c>
      <c r="X30" s="1" t="s">
        <v>16</v>
      </c>
      <c r="Y30" s="1">
        <v>3</v>
      </c>
      <c r="Z30" s="1" t="s">
        <v>37</v>
      </c>
      <c r="AA30" s="1">
        <v>2</v>
      </c>
    </row>
    <row r="31" spans="1:28" ht="12.75" customHeight="1">
      <c r="Q31" s="145" t="s">
        <v>82</v>
      </c>
      <c r="R31" s="145"/>
      <c r="W31" s="1">
        <f>SUM(W24:W30)</f>
        <v>18</v>
      </c>
      <c r="Y31" s="1">
        <f>SUM(Y24:Y30)</f>
        <v>18</v>
      </c>
      <c r="AA31" s="1">
        <f>SUM(AA24:AA30)</f>
        <v>18</v>
      </c>
      <c r="AB31" s="1">
        <f>SUM(W31:AA31)</f>
        <v>54</v>
      </c>
    </row>
  </sheetData>
  <mergeCells count="2">
    <mergeCell ref="A1:R1"/>
    <mergeCell ref="Q31:R31"/>
  </mergeCells>
  <phoneticPr fontId="2"/>
  <pageMargins left="0.70866141732283472" right="0.70866141732283472" top="0" bottom="0.19685039370078741" header="0.31496062992125984" footer="0.31496062992125984"/>
  <pageSetup paperSize="9"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53</vt:i4>
      </vt:variant>
    </vt:vector>
  </HeadingPairs>
  <TitlesOfParts>
    <vt:vector size="53" baseType="lpstr">
      <vt:lpstr>原紙</vt:lpstr>
      <vt:lpstr>2026.1.2</vt:lpstr>
      <vt:lpstr>2025.11.12</vt:lpstr>
      <vt:lpstr>2025,9.10</vt:lpstr>
      <vt:lpstr>2025,7.8</vt:lpstr>
      <vt:lpstr>2025,5,6 </vt:lpstr>
      <vt:lpstr>2025,3,4</vt:lpstr>
      <vt:lpstr>2025,1,2</vt:lpstr>
      <vt:lpstr>2024,11,12</vt:lpstr>
      <vt:lpstr>2024,9,10</vt:lpstr>
      <vt:lpstr>2024,7,8</vt:lpstr>
      <vt:lpstr>原紙 (2)</vt:lpstr>
      <vt:lpstr>2024,5,6</vt:lpstr>
      <vt:lpstr>2024,3,4</vt:lpstr>
      <vt:lpstr>2024,1,2</vt:lpstr>
      <vt:lpstr>2023,11,12</vt:lpstr>
      <vt:lpstr>2023,9,10</vt:lpstr>
      <vt:lpstr>2023,7,8</vt:lpstr>
      <vt:lpstr>2023,5,6</vt:lpstr>
      <vt:lpstr>2023,3,4</vt:lpstr>
      <vt:lpstr>2023,1,2</vt:lpstr>
      <vt:lpstr>2022,11,12</vt:lpstr>
      <vt:lpstr>2022,9,10</vt:lpstr>
      <vt:lpstr>2022,7,8</vt:lpstr>
      <vt:lpstr>2022,5,6</vt:lpstr>
      <vt:lpstr>2022,3,4</vt:lpstr>
      <vt:lpstr>2022,1,2</vt:lpstr>
      <vt:lpstr>2021,11,12 (2)</vt:lpstr>
      <vt:lpstr>2021,11,12</vt:lpstr>
      <vt:lpstr>2021,9,10</vt:lpstr>
      <vt:lpstr>2021,7,8</vt:lpstr>
      <vt:lpstr>2021,5,6</vt:lpstr>
      <vt:lpstr>2021,3,4</vt:lpstr>
      <vt:lpstr>2021,1,2</vt:lpstr>
      <vt:lpstr>2020,11,12 (2)</vt:lpstr>
      <vt:lpstr>2020,11,12</vt:lpstr>
      <vt:lpstr>2020,9,10</vt:lpstr>
      <vt:lpstr>2020,7,8</vt:lpstr>
      <vt:lpstr>2020,5,6</vt:lpstr>
      <vt:lpstr>2020,3,4</vt:lpstr>
      <vt:lpstr>2020,1,2</vt:lpstr>
      <vt:lpstr>2019,11,12</vt:lpstr>
      <vt:lpstr>2019,9,10 </vt:lpstr>
      <vt:lpstr>2019,7,8</vt:lpstr>
      <vt:lpstr>2019,5,6</vt:lpstr>
      <vt:lpstr>2019,3,4</vt:lpstr>
      <vt:lpstr>2019,1,2 </vt:lpstr>
      <vt:lpstr>2018,11,12</vt:lpstr>
      <vt:lpstr>2018,9,10</vt:lpstr>
      <vt:lpstr>2018,7,8</vt:lpstr>
      <vt:lpstr>2018,5,6</vt:lpstr>
      <vt:lpstr>2018,3,4</vt:lpstr>
      <vt:lpstr>2018,1,2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HOZEN-01</dc:creator>
  <cp:lastModifiedBy>新井 翔太</cp:lastModifiedBy>
  <cp:lastPrinted>2025-12-09T04:45:05Z</cp:lastPrinted>
  <dcterms:created xsi:type="dcterms:W3CDTF">2017-11-21T08:27:00Z</dcterms:created>
  <dcterms:modified xsi:type="dcterms:W3CDTF">2025-12-09T04:46:42Z</dcterms:modified>
</cp:coreProperties>
</file>